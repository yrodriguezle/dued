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yalian\Projects\dued\"/>
    </mc:Choice>
  </mc:AlternateContent>
  <xr:revisionPtr revIDLastSave="0" documentId="13_ncr:1_{1375AB85-4F04-4BFB-B1C4-3F44B486AD93}" xr6:coauthVersionLast="47" xr6:coauthVersionMax="47" xr10:uidLastSave="{00000000-0000-0000-0000-000000000000}"/>
  <bookViews>
    <workbookView xWindow="-120" yWindow="-120" windowWidth="29040" windowHeight="15720" firstSheet="7" activeTab="15" xr2:uid="{00000000-000D-0000-FFFF-FFFF00000000}"/>
  </bookViews>
  <sheets>
    <sheet name="Listino" sheetId="1" r:id="rId1"/>
    <sheet name="Cassa" sheetId="3" r:id="rId2"/>
    <sheet name="09 Cassa" sheetId="4" r:id="rId3"/>
    <sheet name="102024" sheetId="5" r:id="rId4"/>
    <sheet name="112024" sheetId="6" r:id="rId5"/>
    <sheet name="12 2024" sheetId="7" r:id="rId6"/>
    <sheet name="01 2025" sheetId="8" r:id="rId7"/>
    <sheet name="02 2025" sheetId="9" r:id="rId8"/>
    <sheet name="03 2025" sheetId="10" r:id="rId9"/>
    <sheet name="04 2025" sheetId="11" r:id="rId10"/>
    <sheet name="05 2025" sheetId="12" r:id="rId11"/>
    <sheet name="06 2025" sheetId="13" r:id="rId12"/>
    <sheet name="07 2025" sheetId="14" r:id="rId13"/>
    <sheet name="08 2025" sheetId="15" r:id="rId14"/>
    <sheet name="09 2025" sheetId="16" r:id="rId15"/>
    <sheet name="10 2025" sheetId="17" r:id="rId16"/>
    <sheet name="11 2025" sheetId="18" r:id="rId17"/>
  </sheets>
  <definedNames>
    <definedName name="_xlnm._FilterDatabase" localSheetId="13" hidden="1">'08 2025'!$L$1:$L$92</definedName>
    <definedName name="_xlnm._FilterDatabase" localSheetId="14" hidden="1">'09 2025'!$L$1:$L$144</definedName>
    <definedName name="_xlnm._FilterDatabase" localSheetId="2" hidden="1">'09 Cassa'!$J$1:$J$1004</definedName>
    <definedName name="_xlnm._FilterDatabase" localSheetId="15" hidden="1">'10 2025'!$W$1:$W$149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14" i="18" l="1"/>
  <c r="AD114" i="18"/>
  <c r="V114" i="18"/>
  <c r="U114" i="18"/>
  <c r="T114" i="18"/>
  <c r="S114" i="18"/>
  <c r="R114" i="18"/>
  <c r="Q114" i="18"/>
  <c r="P114" i="18"/>
  <c r="O114" i="18"/>
  <c r="N114" i="18"/>
  <c r="M114" i="18"/>
  <c r="X114" i="18" s="1"/>
  <c r="I114" i="18"/>
  <c r="H114" i="18"/>
  <c r="G114" i="18"/>
  <c r="F114" i="18"/>
  <c r="E114" i="18"/>
  <c r="D114" i="18"/>
  <c r="C114" i="18"/>
  <c r="B114" i="18"/>
  <c r="J114" i="18" s="1"/>
  <c r="AI109" i="18"/>
  <c r="AD109" i="18"/>
  <c r="V109" i="18"/>
  <c r="U109" i="18"/>
  <c r="T109" i="18"/>
  <c r="S109" i="18"/>
  <c r="R109" i="18"/>
  <c r="Q109" i="18"/>
  <c r="P109" i="18"/>
  <c r="O109" i="18"/>
  <c r="X109" i="18" s="1"/>
  <c r="Y109" i="18" s="1"/>
  <c r="N109" i="18"/>
  <c r="M109" i="18"/>
  <c r="I109" i="18"/>
  <c r="H109" i="18"/>
  <c r="G109" i="18"/>
  <c r="F109" i="18"/>
  <c r="E109" i="18"/>
  <c r="D109" i="18"/>
  <c r="C109" i="18"/>
  <c r="B109" i="18"/>
  <c r="J109" i="18" s="1"/>
  <c r="AI104" i="18"/>
  <c r="AD104" i="18"/>
  <c r="V104" i="18"/>
  <c r="U104" i="18"/>
  <c r="T104" i="18"/>
  <c r="S104" i="18"/>
  <c r="R104" i="18"/>
  <c r="Q104" i="18"/>
  <c r="X104" i="18" s="1"/>
  <c r="Y104" i="18" s="1"/>
  <c r="P104" i="18"/>
  <c r="O104" i="18"/>
  <c r="N104" i="18"/>
  <c r="M104" i="18"/>
  <c r="I104" i="18"/>
  <c r="H104" i="18"/>
  <c r="G104" i="18"/>
  <c r="F104" i="18"/>
  <c r="E104" i="18"/>
  <c r="D104" i="18"/>
  <c r="C104" i="18"/>
  <c r="J104" i="18" s="1"/>
  <c r="B104" i="18"/>
  <c r="AI99" i="18"/>
  <c r="AD99" i="18"/>
  <c r="V99" i="18"/>
  <c r="U99" i="18"/>
  <c r="T99" i="18"/>
  <c r="S99" i="18"/>
  <c r="R99" i="18"/>
  <c r="Q99" i="18"/>
  <c r="P99" i="18"/>
  <c r="O99" i="18"/>
  <c r="N99" i="18"/>
  <c r="M99" i="18"/>
  <c r="X99" i="18" s="1"/>
  <c r="I99" i="18"/>
  <c r="H99" i="18"/>
  <c r="G99" i="18"/>
  <c r="F99" i="18"/>
  <c r="E99" i="18"/>
  <c r="D99" i="18"/>
  <c r="C99" i="18"/>
  <c r="B99" i="18"/>
  <c r="J99" i="18" s="1"/>
  <c r="AI94" i="18"/>
  <c r="AD94" i="18"/>
  <c r="V94" i="18"/>
  <c r="U94" i="18"/>
  <c r="T94" i="18"/>
  <c r="S94" i="18"/>
  <c r="R94" i="18"/>
  <c r="Q94" i="18"/>
  <c r="P94" i="18"/>
  <c r="O94" i="18"/>
  <c r="X94" i="18" s="1"/>
  <c r="Y94" i="18" s="1"/>
  <c r="N94" i="18"/>
  <c r="M94" i="18"/>
  <c r="I94" i="18"/>
  <c r="H94" i="18"/>
  <c r="G94" i="18"/>
  <c r="F94" i="18"/>
  <c r="E94" i="18"/>
  <c r="D94" i="18"/>
  <c r="C94" i="18"/>
  <c r="B94" i="18"/>
  <c r="J94" i="18" s="1"/>
  <c r="AI89" i="18"/>
  <c r="AD89" i="18"/>
  <c r="V89" i="18"/>
  <c r="U89" i="18"/>
  <c r="T89" i="18"/>
  <c r="S89" i="18"/>
  <c r="R89" i="18"/>
  <c r="Q89" i="18"/>
  <c r="X89" i="18" s="1"/>
  <c r="Y89" i="18" s="1"/>
  <c r="P89" i="18"/>
  <c r="O89" i="18"/>
  <c r="N89" i="18"/>
  <c r="M89" i="18"/>
  <c r="I89" i="18"/>
  <c r="H89" i="18"/>
  <c r="G89" i="18"/>
  <c r="F89" i="18"/>
  <c r="E89" i="18"/>
  <c r="D89" i="18"/>
  <c r="C89" i="18"/>
  <c r="J89" i="18" s="1"/>
  <c r="B89" i="18"/>
  <c r="AI84" i="18"/>
  <c r="AD84" i="18"/>
  <c r="V84" i="18"/>
  <c r="U84" i="18"/>
  <c r="T84" i="18"/>
  <c r="S84" i="18"/>
  <c r="R84" i="18"/>
  <c r="Q84" i="18"/>
  <c r="P84" i="18"/>
  <c r="O84" i="18"/>
  <c r="N84" i="18"/>
  <c r="M84" i="18"/>
  <c r="X84" i="18" s="1"/>
  <c r="I84" i="18"/>
  <c r="H84" i="18"/>
  <c r="G84" i="18"/>
  <c r="F84" i="18"/>
  <c r="E84" i="18"/>
  <c r="D84" i="18"/>
  <c r="C84" i="18"/>
  <c r="B84" i="18"/>
  <c r="J84" i="18" s="1"/>
  <c r="AI79" i="18"/>
  <c r="AD79" i="18"/>
  <c r="V79" i="18"/>
  <c r="U79" i="18"/>
  <c r="T79" i="18"/>
  <c r="S79" i="18"/>
  <c r="R79" i="18"/>
  <c r="Q79" i="18"/>
  <c r="P79" i="18"/>
  <c r="O79" i="18"/>
  <c r="X79" i="18" s="1"/>
  <c r="Y79" i="18" s="1"/>
  <c r="N79" i="18"/>
  <c r="M79" i="18"/>
  <c r="I79" i="18"/>
  <c r="H79" i="18"/>
  <c r="G79" i="18"/>
  <c r="F79" i="18"/>
  <c r="E79" i="18"/>
  <c r="D79" i="18"/>
  <c r="C79" i="18"/>
  <c r="B79" i="18"/>
  <c r="J79" i="18" s="1"/>
  <c r="AI74" i="18"/>
  <c r="AD74" i="18"/>
  <c r="V74" i="18"/>
  <c r="U74" i="18"/>
  <c r="T74" i="18"/>
  <c r="S74" i="18"/>
  <c r="R74" i="18"/>
  <c r="Q74" i="18"/>
  <c r="X74" i="18" s="1"/>
  <c r="Y74" i="18" s="1"/>
  <c r="P74" i="18"/>
  <c r="O74" i="18"/>
  <c r="N74" i="18"/>
  <c r="M74" i="18"/>
  <c r="I74" i="18"/>
  <c r="H74" i="18"/>
  <c r="G74" i="18"/>
  <c r="F74" i="18"/>
  <c r="E74" i="18"/>
  <c r="D74" i="18"/>
  <c r="C74" i="18"/>
  <c r="J74" i="18" s="1"/>
  <c r="B74" i="18"/>
  <c r="AI69" i="18"/>
  <c r="AD69" i="18"/>
  <c r="V69" i="18"/>
  <c r="U69" i="18"/>
  <c r="T69" i="18"/>
  <c r="S69" i="18"/>
  <c r="R69" i="18"/>
  <c r="Q69" i="18"/>
  <c r="P69" i="18"/>
  <c r="O69" i="18"/>
  <c r="N69" i="18"/>
  <c r="M69" i="18"/>
  <c r="X69" i="18" s="1"/>
  <c r="I69" i="18"/>
  <c r="H69" i="18"/>
  <c r="G69" i="18"/>
  <c r="F69" i="18"/>
  <c r="E69" i="18"/>
  <c r="D69" i="18"/>
  <c r="C69" i="18"/>
  <c r="B69" i="18"/>
  <c r="J69" i="18" s="1"/>
  <c r="AI64" i="18"/>
  <c r="AD64" i="18"/>
  <c r="V64" i="18"/>
  <c r="U64" i="18"/>
  <c r="T64" i="18"/>
  <c r="S64" i="18"/>
  <c r="R64" i="18"/>
  <c r="Q64" i="18"/>
  <c r="P64" i="18"/>
  <c r="O64" i="18"/>
  <c r="X64" i="18" s="1"/>
  <c r="Y64" i="18" s="1"/>
  <c r="N64" i="18"/>
  <c r="M64" i="18"/>
  <c r="I64" i="18"/>
  <c r="H64" i="18"/>
  <c r="G64" i="18"/>
  <c r="F64" i="18"/>
  <c r="E64" i="18"/>
  <c r="D64" i="18"/>
  <c r="C64" i="18"/>
  <c r="B64" i="18"/>
  <c r="J64" i="18" s="1"/>
  <c r="AI59" i="18"/>
  <c r="AD59" i="18"/>
  <c r="V59" i="18"/>
  <c r="U59" i="18"/>
  <c r="T59" i="18"/>
  <c r="S59" i="18"/>
  <c r="R59" i="18"/>
  <c r="Q59" i="18"/>
  <c r="X59" i="18" s="1"/>
  <c r="Y59" i="18" s="1"/>
  <c r="P59" i="18"/>
  <c r="O59" i="18"/>
  <c r="N59" i="18"/>
  <c r="M59" i="18"/>
  <c r="I59" i="18"/>
  <c r="H59" i="18"/>
  <c r="G59" i="18"/>
  <c r="F59" i="18"/>
  <c r="E59" i="18"/>
  <c r="D59" i="18"/>
  <c r="C59" i="18"/>
  <c r="J59" i="18" s="1"/>
  <c r="B59" i="18"/>
  <c r="AI54" i="18"/>
  <c r="AD54" i="18"/>
  <c r="V54" i="18"/>
  <c r="U54" i="18"/>
  <c r="T54" i="18"/>
  <c r="S54" i="18"/>
  <c r="R54" i="18"/>
  <c r="Q54" i="18"/>
  <c r="P54" i="18"/>
  <c r="O54" i="18"/>
  <c r="N54" i="18"/>
  <c r="M54" i="18"/>
  <c r="X54" i="18" s="1"/>
  <c r="I54" i="18"/>
  <c r="H54" i="18"/>
  <c r="G54" i="18"/>
  <c r="F54" i="18"/>
  <c r="E54" i="18"/>
  <c r="D54" i="18"/>
  <c r="C54" i="18"/>
  <c r="B54" i="18"/>
  <c r="J54" i="18" s="1"/>
  <c r="AI49" i="18"/>
  <c r="AD49" i="18"/>
  <c r="V49" i="18"/>
  <c r="U49" i="18"/>
  <c r="T49" i="18"/>
  <c r="S49" i="18"/>
  <c r="R49" i="18"/>
  <c r="Q49" i="18"/>
  <c r="P49" i="18"/>
  <c r="O49" i="18"/>
  <c r="X49" i="18" s="1"/>
  <c r="Y49" i="18" s="1"/>
  <c r="N49" i="18"/>
  <c r="M49" i="18"/>
  <c r="I49" i="18"/>
  <c r="H49" i="18"/>
  <c r="G49" i="18"/>
  <c r="F49" i="18"/>
  <c r="E49" i="18"/>
  <c r="D49" i="18"/>
  <c r="C49" i="18"/>
  <c r="B49" i="18"/>
  <c r="J49" i="18" s="1"/>
  <c r="AI44" i="18"/>
  <c r="AD44" i="18"/>
  <c r="V44" i="18"/>
  <c r="U44" i="18"/>
  <c r="T44" i="18"/>
  <c r="S44" i="18"/>
  <c r="R44" i="18"/>
  <c r="Q44" i="18"/>
  <c r="X44" i="18" s="1"/>
  <c r="P44" i="18"/>
  <c r="O44" i="18"/>
  <c r="N44" i="18"/>
  <c r="M44" i="18"/>
  <c r="I44" i="18"/>
  <c r="H44" i="18"/>
  <c r="G44" i="18"/>
  <c r="F44" i="18"/>
  <c r="E44" i="18"/>
  <c r="D44" i="18"/>
  <c r="C44" i="18"/>
  <c r="B44" i="18"/>
  <c r="J44" i="18" s="1"/>
  <c r="AI39" i="18"/>
  <c r="AD39" i="18"/>
  <c r="V39" i="18"/>
  <c r="U39" i="18"/>
  <c r="T39" i="18"/>
  <c r="S39" i="18"/>
  <c r="R39" i="18"/>
  <c r="Q39" i="18"/>
  <c r="P39" i="18"/>
  <c r="O39" i="18"/>
  <c r="N39" i="18"/>
  <c r="M39" i="18"/>
  <c r="X39" i="18" s="1"/>
  <c r="Y39" i="18" s="1"/>
  <c r="I39" i="18"/>
  <c r="H39" i="18"/>
  <c r="G39" i="18"/>
  <c r="F39" i="18"/>
  <c r="E39" i="18"/>
  <c r="D39" i="18"/>
  <c r="C39" i="18"/>
  <c r="B39" i="18"/>
  <c r="J39" i="18" s="1"/>
  <c r="AI34" i="18"/>
  <c r="AD34" i="18"/>
  <c r="V34" i="18"/>
  <c r="U34" i="18"/>
  <c r="T34" i="18"/>
  <c r="S34" i="18"/>
  <c r="R34" i="18"/>
  <c r="Q34" i="18"/>
  <c r="P34" i="18"/>
  <c r="O34" i="18"/>
  <c r="X34" i="18" s="1"/>
  <c r="Y34" i="18" s="1"/>
  <c r="N34" i="18"/>
  <c r="M34" i="18"/>
  <c r="I34" i="18"/>
  <c r="H34" i="18"/>
  <c r="G34" i="18"/>
  <c r="F34" i="18"/>
  <c r="E34" i="18"/>
  <c r="D34" i="18"/>
  <c r="C34" i="18"/>
  <c r="B34" i="18"/>
  <c r="J34" i="18" s="1"/>
  <c r="AI29" i="18"/>
  <c r="AD29" i="18"/>
  <c r="V29" i="18"/>
  <c r="U29" i="18"/>
  <c r="T29" i="18"/>
  <c r="S29" i="18"/>
  <c r="R29" i="18"/>
  <c r="Q29" i="18"/>
  <c r="X29" i="18" s="1"/>
  <c r="Y29" i="18" s="1"/>
  <c r="P29" i="18"/>
  <c r="O29" i="18"/>
  <c r="N29" i="18"/>
  <c r="M29" i="18"/>
  <c r="I29" i="18"/>
  <c r="J29" i="18" s="1"/>
  <c r="AI24" i="18"/>
  <c r="AD24" i="18"/>
  <c r="V24" i="18"/>
  <c r="U24" i="18"/>
  <c r="T24" i="18"/>
  <c r="S24" i="18"/>
  <c r="R24" i="18"/>
  <c r="Q24" i="18"/>
  <c r="P24" i="18"/>
  <c r="O24" i="18"/>
  <c r="N24" i="18"/>
  <c r="X24" i="18" s="1"/>
  <c r="Y24" i="18" s="1"/>
  <c r="M24" i="18"/>
  <c r="I24" i="18"/>
  <c r="H24" i="18"/>
  <c r="G24" i="18"/>
  <c r="F24" i="18"/>
  <c r="E24" i="18"/>
  <c r="D24" i="18"/>
  <c r="J24" i="18" s="1"/>
  <c r="C24" i="18"/>
  <c r="B24" i="18"/>
  <c r="AI19" i="18"/>
  <c r="AD19" i="18"/>
  <c r="V19" i="18"/>
  <c r="U19" i="18"/>
  <c r="T19" i="18"/>
  <c r="S19" i="18"/>
  <c r="R19" i="18"/>
  <c r="Q19" i="18"/>
  <c r="P19" i="18"/>
  <c r="O19" i="18"/>
  <c r="N19" i="18"/>
  <c r="M19" i="18"/>
  <c r="X19" i="18" s="1"/>
  <c r="Y19" i="18" s="1"/>
  <c r="I19" i="18"/>
  <c r="H19" i="18"/>
  <c r="G19" i="18"/>
  <c r="F19" i="18"/>
  <c r="E19" i="18"/>
  <c r="D19" i="18"/>
  <c r="C19" i="18"/>
  <c r="B19" i="18"/>
  <c r="J19" i="18" s="1"/>
  <c r="AI14" i="18"/>
  <c r="AD14" i="18"/>
  <c r="V14" i="18"/>
  <c r="U14" i="18"/>
  <c r="T14" i="18"/>
  <c r="S14" i="18"/>
  <c r="R14" i="18"/>
  <c r="Q14" i="18"/>
  <c r="P14" i="18"/>
  <c r="O14" i="18"/>
  <c r="N14" i="18"/>
  <c r="M14" i="18"/>
  <c r="X14" i="18" s="1"/>
  <c r="Y14" i="18" s="1"/>
  <c r="I14" i="18"/>
  <c r="H14" i="18"/>
  <c r="G14" i="18"/>
  <c r="F14" i="18"/>
  <c r="E14" i="18"/>
  <c r="D14" i="18"/>
  <c r="C14" i="18"/>
  <c r="B14" i="18"/>
  <c r="J14" i="18" s="1"/>
  <c r="AI9" i="18"/>
  <c r="AD9" i="18"/>
  <c r="V9" i="18"/>
  <c r="U9" i="18"/>
  <c r="T9" i="18"/>
  <c r="S9" i="18"/>
  <c r="R9" i="18"/>
  <c r="Q9" i="18"/>
  <c r="P9" i="18"/>
  <c r="O9" i="18"/>
  <c r="N9" i="18"/>
  <c r="X9" i="18" s="1"/>
  <c r="Y9" i="18" s="1"/>
  <c r="M9" i="18"/>
  <c r="I9" i="18"/>
  <c r="H9" i="18"/>
  <c r="G9" i="18"/>
  <c r="F9" i="18"/>
  <c r="E9" i="18"/>
  <c r="D9" i="18"/>
  <c r="J9" i="18" s="1"/>
  <c r="C9" i="18"/>
  <c r="B9" i="18"/>
  <c r="AI4" i="18"/>
  <c r="AD4" i="18"/>
  <c r="V4" i="18"/>
  <c r="U4" i="18"/>
  <c r="T4" i="18"/>
  <c r="S4" i="18"/>
  <c r="R4" i="18"/>
  <c r="Q4" i="18"/>
  <c r="P4" i="18"/>
  <c r="O4" i="18"/>
  <c r="N4" i="18"/>
  <c r="M4" i="18"/>
  <c r="X4" i="18" s="1"/>
  <c r="Y4" i="18" s="1"/>
  <c r="I4" i="18"/>
  <c r="H4" i="18"/>
  <c r="G4" i="18"/>
  <c r="F4" i="18"/>
  <c r="E4" i="18"/>
  <c r="D4" i="18"/>
  <c r="C4" i="18"/>
  <c r="B4" i="18"/>
  <c r="J4" i="18" s="1"/>
  <c r="AF141" i="17"/>
  <c r="Z141" i="17"/>
  <c r="AI134" i="17"/>
  <c r="AD134" i="17"/>
  <c r="V134" i="17"/>
  <c r="U134" i="17"/>
  <c r="T134" i="17"/>
  <c r="S134" i="17"/>
  <c r="R134" i="17"/>
  <c r="Q134" i="17"/>
  <c r="P134" i="17"/>
  <c r="O134" i="17"/>
  <c r="N134" i="17"/>
  <c r="M134" i="17"/>
  <c r="I134" i="17"/>
  <c r="H134" i="17"/>
  <c r="G134" i="17"/>
  <c r="F134" i="17"/>
  <c r="E134" i="17"/>
  <c r="D134" i="17"/>
  <c r="C134" i="17"/>
  <c r="B134" i="17"/>
  <c r="AI129" i="17"/>
  <c r="AD129" i="17"/>
  <c r="V129" i="17"/>
  <c r="U129" i="17"/>
  <c r="T129" i="17"/>
  <c r="S129" i="17"/>
  <c r="R129" i="17"/>
  <c r="Q129" i="17"/>
  <c r="O129" i="17"/>
  <c r="N129" i="17"/>
  <c r="M129" i="17"/>
  <c r="I129" i="17"/>
  <c r="H129" i="17"/>
  <c r="G129" i="17"/>
  <c r="F129" i="17"/>
  <c r="E129" i="17"/>
  <c r="D129" i="17"/>
  <c r="C129" i="17"/>
  <c r="B129" i="17"/>
  <c r="AI124" i="17"/>
  <c r="AD124" i="17"/>
  <c r="V124" i="17"/>
  <c r="U124" i="17"/>
  <c r="T124" i="17"/>
  <c r="S124" i="17"/>
  <c r="R124" i="17"/>
  <c r="Q124" i="17"/>
  <c r="P124" i="17"/>
  <c r="O124" i="17"/>
  <c r="N124" i="17"/>
  <c r="M124" i="17"/>
  <c r="I124" i="17"/>
  <c r="H124" i="17"/>
  <c r="G124" i="17"/>
  <c r="F124" i="17"/>
  <c r="E124" i="17"/>
  <c r="D124" i="17"/>
  <c r="C124" i="17"/>
  <c r="B124" i="17"/>
  <c r="AI119" i="17"/>
  <c r="AD119" i="17"/>
  <c r="V119" i="17"/>
  <c r="U119" i="17"/>
  <c r="T119" i="17"/>
  <c r="S119" i="17"/>
  <c r="R119" i="17"/>
  <c r="Q119" i="17"/>
  <c r="P119" i="17"/>
  <c r="O119" i="17"/>
  <c r="N119" i="17"/>
  <c r="M119" i="17"/>
  <c r="I119" i="17"/>
  <c r="H119" i="17"/>
  <c r="G119" i="17"/>
  <c r="F119" i="17"/>
  <c r="E119" i="17"/>
  <c r="D119" i="17"/>
  <c r="C119" i="17"/>
  <c r="B119" i="17"/>
  <c r="AI114" i="17"/>
  <c r="AD114" i="17"/>
  <c r="V114" i="17"/>
  <c r="U114" i="17"/>
  <c r="T114" i="17"/>
  <c r="S114" i="17"/>
  <c r="R114" i="17"/>
  <c r="Q114" i="17"/>
  <c r="P114" i="17"/>
  <c r="O114" i="17"/>
  <c r="N114" i="17"/>
  <c r="M114" i="17"/>
  <c r="I114" i="17"/>
  <c r="H114" i="17"/>
  <c r="G114" i="17"/>
  <c r="F114" i="17"/>
  <c r="E114" i="17"/>
  <c r="D114" i="17"/>
  <c r="C114" i="17"/>
  <c r="B114" i="17"/>
  <c r="AI109" i="17"/>
  <c r="AD109" i="17"/>
  <c r="V109" i="17"/>
  <c r="U109" i="17"/>
  <c r="T109" i="17"/>
  <c r="S109" i="17"/>
  <c r="R109" i="17"/>
  <c r="Q109" i="17"/>
  <c r="P109" i="17"/>
  <c r="O109" i="17"/>
  <c r="N109" i="17"/>
  <c r="M109" i="17"/>
  <c r="I109" i="17"/>
  <c r="H109" i="17"/>
  <c r="G109" i="17"/>
  <c r="F109" i="17"/>
  <c r="E109" i="17"/>
  <c r="D109" i="17"/>
  <c r="AI104" i="17"/>
  <c r="AD104" i="17"/>
  <c r="V104" i="17"/>
  <c r="U104" i="17"/>
  <c r="T104" i="17"/>
  <c r="S104" i="17"/>
  <c r="R104" i="17"/>
  <c r="Q104" i="17"/>
  <c r="P104" i="17"/>
  <c r="O104" i="17"/>
  <c r="N104" i="17"/>
  <c r="M104" i="17"/>
  <c r="I104" i="17"/>
  <c r="H104" i="17"/>
  <c r="G104" i="17"/>
  <c r="F104" i="17"/>
  <c r="E104" i="17"/>
  <c r="D104" i="17"/>
  <c r="C104" i="17"/>
  <c r="B104" i="17"/>
  <c r="AI99" i="17"/>
  <c r="AD99" i="17"/>
  <c r="V99" i="17"/>
  <c r="U99" i="17"/>
  <c r="T99" i="17"/>
  <c r="S99" i="17"/>
  <c r="R99" i="17"/>
  <c r="Q99" i="17"/>
  <c r="P99" i="17"/>
  <c r="O99" i="17"/>
  <c r="N99" i="17"/>
  <c r="M99" i="17"/>
  <c r="X99" i="17" s="1"/>
  <c r="I99" i="17"/>
  <c r="H99" i="17"/>
  <c r="G99" i="17"/>
  <c r="F99" i="17"/>
  <c r="E99" i="17"/>
  <c r="D99" i="17"/>
  <c r="C99" i="17"/>
  <c r="B99" i="17"/>
  <c r="AI94" i="17"/>
  <c r="AD94" i="17"/>
  <c r="V94" i="17"/>
  <c r="U94" i="17"/>
  <c r="T94" i="17"/>
  <c r="S94" i="17"/>
  <c r="R94" i="17"/>
  <c r="Q94" i="17"/>
  <c r="P94" i="17"/>
  <c r="O94" i="17"/>
  <c r="N94" i="17"/>
  <c r="M94" i="17"/>
  <c r="I94" i="17"/>
  <c r="H94" i="17"/>
  <c r="G94" i="17"/>
  <c r="F94" i="17"/>
  <c r="E94" i="17"/>
  <c r="D94" i="17"/>
  <c r="C94" i="17"/>
  <c r="B94" i="17"/>
  <c r="AI89" i="17"/>
  <c r="AD89" i="17"/>
  <c r="V89" i="17"/>
  <c r="U89" i="17"/>
  <c r="T89" i="17"/>
  <c r="S89" i="17"/>
  <c r="R89" i="17"/>
  <c r="Q89" i="17"/>
  <c r="X89" i="17" s="1"/>
  <c r="P89" i="17"/>
  <c r="O89" i="17"/>
  <c r="N89" i="17"/>
  <c r="M89" i="17"/>
  <c r="I89" i="17"/>
  <c r="H89" i="17"/>
  <c r="G89" i="17"/>
  <c r="F89" i="17"/>
  <c r="E89" i="17"/>
  <c r="D89" i="17"/>
  <c r="C89" i="17"/>
  <c r="B89" i="17"/>
  <c r="AI84" i="17"/>
  <c r="AC84" i="17"/>
  <c r="AD84" i="17" s="1"/>
  <c r="V84" i="17"/>
  <c r="U84" i="17"/>
  <c r="T84" i="17"/>
  <c r="S84" i="17"/>
  <c r="R84" i="17"/>
  <c r="Q84" i="17"/>
  <c r="P84" i="17"/>
  <c r="O84" i="17"/>
  <c r="N84" i="17"/>
  <c r="M84" i="17"/>
  <c r="I84" i="17"/>
  <c r="H84" i="17"/>
  <c r="G84" i="17"/>
  <c r="F84" i="17"/>
  <c r="E84" i="17"/>
  <c r="D84" i="17"/>
  <c r="C84" i="17"/>
  <c r="B84" i="17"/>
  <c r="AI79" i="17"/>
  <c r="AD79" i="17"/>
  <c r="V79" i="17"/>
  <c r="U79" i="17"/>
  <c r="T79" i="17"/>
  <c r="S79" i="17"/>
  <c r="R79" i="17"/>
  <c r="Q79" i="17"/>
  <c r="P79" i="17"/>
  <c r="O79" i="17"/>
  <c r="N79" i="17"/>
  <c r="M79" i="17"/>
  <c r="I79" i="17"/>
  <c r="H79" i="17"/>
  <c r="G79" i="17"/>
  <c r="F79" i="17"/>
  <c r="E79" i="17"/>
  <c r="D79" i="17"/>
  <c r="C79" i="17"/>
  <c r="B79" i="17"/>
  <c r="AI74" i="17"/>
  <c r="AD74" i="17"/>
  <c r="V74" i="17"/>
  <c r="U74" i="17"/>
  <c r="T74" i="17"/>
  <c r="S74" i="17"/>
  <c r="R74" i="17"/>
  <c r="Q74" i="17"/>
  <c r="P74" i="17"/>
  <c r="O74" i="17"/>
  <c r="N74" i="17"/>
  <c r="M74" i="17"/>
  <c r="I74" i="17"/>
  <c r="H74" i="17"/>
  <c r="G74" i="17"/>
  <c r="F74" i="17"/>
  <c r="E74" i="17"/>
  <c r="D74" i="17"/>
  <c r="C74" i="17"/>
  <c r="B74" i="17"/>
  <c r="AI69" i="17"/>
  <c r="AD69" i="17"/>
  <c r="AC69" i="17"/>
  <c r="V69" i="17"/>
  <c r="U69" i="17"/>
  <c r="T69" i="17"/>
  <c r="S69" i="17"/>
  <c r="R69" i="17"/>
  <c r="Q69" i="17"/>
  <c r="O69" i="17"/>
  <c r="N69" i="17"/>
  <c r="M69" i="17"/>
  <c r="I69" i="17"/>
  <c r="H69" i="17"/>
  <c r="G69" i="17"/>
  <c r="F69" i="17"/>
  <c r="E69" i="17"/>
  <c r="D69" i="17"/>
  <c r="C69" i="17"/>
  <c r="B69" i="17"/>
  <c r="AI64" i="17"/>
  <c r="AD64" i="17"/>
  <c r="V64" i="17"/>
  <c r="U64" i="17"/>
  <c r="T64" i="17"/>
  <c r="S64" i="17"/>
  <c r="R64" i="17"/>
  <c r="Q64" i="17"/>
  <c r="P64" i="17"/>
  <c r="O64" i="17"/>
  <c r="N64" i="17"/>
  <c r="M64" i="17"/>
  <c r="I64" i="17"/>
  <c r="H64" i="17"/>
  <c r="G64" i="17"/>
  <c r="F64" i="17"/>
  <c r="E64" i="17"/>
  <c r="D64" i="17"/>
  <c r="C64" i="17"/>
  <c r="B64" i="17"/>
  <c r="AI59" i="17"/>
  <c r="AD59" i="17"/>
  <c r="V59" i="17"/>
  <c r="U59" i="17"/>
  <c r="T59" i="17"/>
  <c r="S59" i="17"/>
  <c r="R59" i="17"/>
  <c r="Q59" i="17"/>
  <c r="P59" i="17"/>
  <c r="O59" i="17"/>
  <c r="N59" i="17"/>
  <c r="M59" i="17"/>
  <c r="I59" i="17"/>
  <c r="H59" i="17"/>
  <c r="G59" i="17"/>
  <c r="F59" i="17"/>
  <c r="E59" i="17"/>
  <c r="D59" i="17"/>
  <c r="C59" i="17"/>
  <c r="B59" i="17"/>
  <c r="AI54" i="17"/>
  <c r="AD54" i="17"/>
  <c r="V54" i="17"/>
  <c r="U54" i="17"/>
  <c r="T54" i="17"/>
  <c r="S54" i="17"/>
  <c r="R54" i="17"/>
  <c r="Q54" i="17"/>
  <c r="P54" i="17"/>
  <c r="O54" i="17"/>
  <c r="N54" i="17"/>
  <c r="M54" i="17"/>
  <c r="I54" i="17"/>
  <c r="H54" i="17"/>
  <c r="G54" i="17"/>
  <c r="F54" i="17"/>
  <c r="E54" i="17"/>
  <c r="D54" i="17"/>
  <c r="C54" i="17"/>
  <c r="B54" i="17"/>
  <c r="AI49" i="17"/>
  <c r="AD49" i="17"/>
  <c r="V49" i="17"/>
  <c r="U49" i="17"/>
  <c r="T49" i="17"/>
  <c r="S49" i="17"/>
  <c r="R49" i="17"/>
  <c r="Q49" i="17"/>
  <c r="P49" i="17"/>
  <c r="O49" i="17"/>
  <c r="N49" i="17"/>
  <c r="M49" i="17"/>
  <c r="I49" i="17"/>
  <c r="H49" i="17"/>
  <c r="G49" i="17"/>
  <c r="F49" i="17"/>
  <c r="E49" i="17"/>
  <c r="D49" i="17"/>
  <c r="C49" i="17"/>
  <c r="B49" i="17"/>
  <c r="AI44" i="17"/>
  <c r="AD44" i="17"/>
  <c r="V44" i="17"/>
  <c r="U44" i="17"/>
  <c r="T44" i="17"/>
  <c r="S44" i="17"/>
  <c r="R44" i="17"/>
  <c r="Q44" i="17"/>
  <c r="P44" i="17"/>
  <c r="O44" i="17"/>
  <c r="N44" i="17"/>
  <c r="M44" i="17"/>
  <c r="I44" i="17"/>
  <c r="H44" i="17"/>
  <c r="G44" i="17"/>
  <c r="F44" i="17"/>
  <c r="E44" i="17"/>
  <c r="D44" i="17"/>
  <c r="C44" i="17"/>
  <c r="B44" i="17"/>
  <c r="AI39" i="17"/>
  <c r="AD39" i="17"/>
  <c r="V39" i="17"/>
  <c r="U39" i="17"/>
  <c r="T39" i="17"/>
  <c r="S39" i="17"/>
  <c r="R39" i="17"/>
  <c r="Q39" i="17"/>
  <c r="P39" i="17"/>
  <c r="O39" i="17"/>
  <c r="N39" i="17"/>
  <c r="M39" i="17"/>
  <c r="I39" i="17"/>
  <c r="H39" i="17"/>
  <c r="G39" i="17"/>
  <c r="F39" i="17"/>
  <c r="E39" i="17"/>
  <c r="D39" i="17"/>
  <c r="C39" i="17"/>
  <c r="B39" i="17"/>
  <c r="AI34" i="17"/>
  <c r="AD34" i="17"/>
  <c r="V34" i="17"/>
  <c r="U34" i="17"/>
  <c r="T34" i="17"/>
  <c r="S34" i="17"/>
  <c r="R34" i="17"/>
  <c r="Q34" i="17"/>
  <c r="P34" i="17"/>
  <c r="O34" i="17"/>
  <c r="N34" i="17"/>
  <c r="M34" i="17"/>
  <c r="I34" i="17"/>
  <c r="H34" i="17"/>
  <c r="G34" i="17"/>
  <c r="F34" i="17"/>
  <c r="E34" i="17"/>
  <c r="D34" i="17"/>
  <c r="C34" i="17"/>
  <c r="B34" i="17"/>
  <c r="AI29" i="17"/>
  <c r="AD29" i="17"/>
  <c r="V29" i="17"/>
  <c r="U29" i="17"/>
  <c r="T29" i="17"/>
  <c r="S29" i="17"/>
  <c r="R29" i="17"/>
  <c r="Q29" i="17"/>
  <c r="P29" i="17"/>
  <c r="O29" i="17"/>
  <c r="N29" i="17"/>
  <c r="M29" i="17"/>
  <c r="I29" i="17"/>
  <c r="H29" i="17"/>
  <c r="G29" i="17"/>
  <c r="F29" i="17"/>
  <c r="E29" i="17"/>
  <c r="D29" i="17"/>
  <c r="C29" i="17"/>
  <c r="B29" i="17"/>
  <c r="AI24" i="17"/>
  <c r="AD24" i="17"/>
  <c r="AC24" i="17"/>
  <c r="AC141" i="17" s="1"/>
  <c r="V24" i="17"/>
  <c r="U24" i="17"/>
  <c r="T24" i="17"/>
  <c r="S24" i="17"/>
  <c r="R24" i="17"/>
  <c r="Q24" i="17"/>
  <c r="P24" i="17"/>
  <c r="O24" i="17"/>
  <c r="N24" i="17"/>
  <c r="M24" i="17"/>
  <c r="I24" i="17"/>
  <c r="H24" i="17"/>
  <c r="G24" i="17"/>
  <c r="F24" i="17"/>
  <c r="E24" i="17"/>
  <c r="D24" i="17"/>
  <c r="C24" i="17"/>
  <c r="B24" i="17"/>
  <c r="AI19" i="17"/>
  <c r="AD19" i="17"/>
  <c r="V19" i="17"/>
  <c r="U19" i="17"/>
  <c r="T19" i="17"/>
  <c r="S19" i="17"/>
  <c r="R19" i="17"/>
  <c r="Q19" i="17"/>
  <c r="P19" i="17"/>
  <c r="O19" i="17"/>
  <c r="N19" i="17"/>
  <c r="M19" i="17"/>
  <c r="I19" i="17"/>
  <c r="H19" i="17"/>
  <c r="G19" i="17"/>
  <c r="F19" i="17"/>
  <c r="E19" i="17"/>
  <c r="D19" i="17"/>
  <c r="C19" i="17"/>
  <c r="B19" i="17"/>
  <c r="AI14" i="17"/>
  <c r="AD14" i="17"/>
  <c r="V14" i="17"/>
  <c r="U14" i="17"/>
  <c r="T14" i="17"/>
  <c r="S14" i="17"/>
  <c r="R14" i="17"/>
  <c r="Q14" i="17"/>
  <c r="P14" i="17"/>
  <c r="O14" i="17"/>
  <c r="N14" i="17"/>
  <c r="M14" i="17"/>
  <c r="I14" i="17"/>
  <c r="H14" i="17"/>
  <c r="G14" i="17"/>
  <c r="F14" i="17"/>
  <c r="E14" i="17"/>
  <c r="D14" i="17"/>
  <c r="C14" i="17"/>
  <c r="B14" i="17"/>
  <c r="AI9" i="17"/>
  <c r="AD9" i="17"/>
  <c r="V9" i="17"/>
  <c r="U9" i="17"/>
  <c r="T9" i="17"/>
  <c r="S9" i="17"/>
  <c r="R9" i="17"/>
  <c r="Q9" i="17"/>
  <c r="P9" i="17"/>
  <c r="O9" i="17"/>
  <c r="N9" i="17"/>
  <c r="M9" i="17"/>
  <c r="I9" i="17"/>
  <c r="H9" i="17"/>
  <c r="G9" i="17"/>
  <c r="F9" i="17"/>
  <c r="E9" i="17"/>
  <c r="D9" i="17"/>
  <c r="C9" i="17"/>
  <c r="B9" i="17"/>
  <c r="AD4" i="17"/>
  <c r="AA4" i="17"/>
  <c r="AA141" i="17" s="1"/>
  <c r="V4" i="17"/>
  <c r="U4" i="17"/>
  <c r="T4" i="17"/>
  <c r="S4" i="17"/>
  <c r="R4" i="17"/>
  <c r="Q4" i="17"/>
  <c r="P4" i="17"/>
  <c r="O4" i="17"/>
  <c r="N4" i="17"/>
  <c r="M4" i="17"/>
  <c r="I4" i="17"/>
  <c r="H4" i="17"/>
  <c r="G4" i="17"/>
  <c r="F4" i="17"/>
  <c r="E4" i="17"/>
  <c r="D4" i="17"/>
  <c r="C4" i="17"/>
  <c r="B4" i="17"/>
  <c r="AF133" i="16"/>
  <c r="AC133" i="16"/>
  <c r="AA133" i="16"/>
  <c r="Z133" i="16"/>
  <c r="AI129" i="16"/>
  <c r="AD129" i="16"/>
  <c r="V129" i="16"/>
  <c r="U129" i="16"/>
  <c r="T129" i="16"/>
  <c r="S129" i="16"/>
  <c r="R129" i="16"/>
  <c r="Q129" i="16"/>
  <c r="P129" i="16"/>
  <c r="O129" i="16"/>
  <c r="N129" i="16"/>
  <c r="M129" i="16"/>
  <c r="I129" i="16"/>
  <c r="H129" i="16"/>
  <c r="G129" i="16"/>
  <c r="F129" i="16"/>
  <c r="E129" i="16"/>
  <c r="D129" i="16"/>
  <c r="C129" i="16"/>
  <c r="B129" i="16"/>
  <c r="AI124" i="16"/>
  <c r="AD124" i="16"/>
  <c r="V124" i="16"/>
  <c r="U124" i="16"/>
  <c r="T124" i="16"/>
  <c r="S124" i="16"/>
  <c r="R124" i="16"/>
  <c r="Q124" i="16"/>
  <c r="P124" i="16"/>
  <c r="O124" i="16"/>
  <c r="N124" i="16"/>
  <c r="M124" i="16"/>
  <c r="I124" i="16"/>
  <c r="H124" i="16"/>
  <c r="G124" i="16"/>
  <c r="F124" i="16"/>
  <c r="E124" i="16"/>
  <c r="D124" i="16"/>
  <c r="C124" i="16"/>
  <c r="B124" i="16"/>
  <c r="AI119" i="16"/>
  <c r="AD119" i="16"/>
  <c r="V119" i="16"/>
  <c r="U119" i="16"/>
  <c r="T119" i="16"/>
  <c r="S119" i="16"/>
  <c r="R119" i="16"/>
  <c r="Q119" i="16"/>
  <c r="P119" i="16"/>
  <c r="O119" i="16"/>
  <c r="N119" i="16"/>
  <c r="M119" i="16"/>
  <c r="I119" i="16"/>
  <c r="H119" i="16"/>
  <c r="G119" i="16"/>
  <c r="F119" i="16"/>
  <c r="E119" i="16"/>
  <c r="D119" i="16"/>
  <c r="C119" i="16"/>
  <c r="B119" i="16"/>
  <c r="AI114" i="16"/>
  <c r="AD114" i="16"/>
  <c r="V114" i="16"/>
  <c r="U114" i="16"/>
  <c r="T114" i="16"/>
  <c r="S114" i="16"/>
  <c r="R114" i="16"/>
  <c r="Q114" i="16"/>
  <c r="P114" i="16"/>
  <c r="O114" i="16"/>
  <c r="N114" i="16"/>
  <c r="M114" i="16"/>
  <c r="I114" i="16"/>
  <c r="H114" i="16"/>
  <c r="G114" i="16"/>
  <c r="F114" i="16"/>
  <c r="E114" i="16"/>
  <c r="D114" i="16"/>
  <c r="C114" i="16"/>
  <c r="B114" i="16"/>
  <c r="AI109" i="16"/>
  <c r="AD109" i="16"/>
  <c r="V109" i="16"/>
  <c r="U109" i="16"/>
  <c r="T109" i="16"/>
  <c r="S109" i="16"/>
  <c r="R109" i="16"/>
  <c r="Q109" i="16"/>
  <c r="P109" i="16"/>
  <c r="O109" i="16"/>
  <c r="N109" i="16"/>
  <c r="M109" i="16"/>
  <c r="I109" i="16"/>
  <c r="H109" i="16"/>
  <c r="G109" i="16"/>
  <c r="F109" i="16"/>
  <c r="E109" i="16"/>
  <c r="D109" i="16"/>
  <c r="C109" i="16"/>
  <c r="B109" i="16"/>
  <c r="AI104" i="16"/>
  <c r="AD104" i="16"/>
  <c r="V104" i="16"/>
  <c r="U104" i="16"/>
  <c r="T104" i="16"/>
  <c r="S104" i="16"/>
  <c r="R104" i="16"/>
  <c r="Q104" i="16"/>
  <c r="P104" i="16"/>
  <c r="O104" i="16"/>
  <c r="N104" i="16"/>
  <c r="M104" i="16"/>
  <c r="I104" i="16"/>
  <c r="H104" i="16"/>
  <c r="G104" i="16"/>
  <c r="F104" i="16"/>
  <c r="E104" i="16"/>
  <c r="D104" i="16"/>
  <c r="C104" i="16"/>
  <c r="B104" i="16"/>
  <c r="AI99" i="16"/>
  <c r="AD99" i="16"/>
  <c r="V99" i="16"/>
  <c r="U99" i="16"/>
  <c r="T99" i="16"/>
  <c r="S99" i="16"/>
  <c r="R99" i="16"/>
  <c r="Q99" i="16"/>
  <c r="P99" i="16"/>
  <c r="O99" i="16"/>
  <c r="N99" i="16"/>
  <c r="M99" i="16"/>
  <c r="I99" i="16"/>
  <c r="H99" i="16"/>
  <c r="G99" i="16"/>
  <c r="F99" i="16"/>
  <c r="E99" i="16"/>
  <c r="D99" i="16"/>
  <c r="C99" i="16"/>
  <c r="B99" i="16"/>
  <c r="AI94" i="16"/>
  <c r="AD94" i="16"/>
  <c r="V94" i="16"/>
  <c r="U94" i="16"/>
  <c r="T94" i="16"/>
  <c r="S94" i="16"/>
  <c r="R94" i="16"/>
  <c r="Q94" i="16"/>
  <c r="P94" i="16"/>
  <c r="O94" i="16"/>
  <c r="N94" i="16"/>
  <c r="M94" i="16"/>
  <c r="I94" i="16"/>
  <c r="H94" i="16"/>
  <c r="G94" i="16"/>
  <c r="F94" i="16"/>
  <c r="E94" i="16"/>
  <c r="D94" i="16"/>
  <c r="C94" i="16"/>
  <c r="B94" i="16"/>
  <c r="AI89" i="16"/>
  <c r="AD89" i="16"/>
  <c r="V89" i="16"/>
  <c r="U89" i="16"/>
  <c r="T89" i="16"/>
  <c r="S89" i="16"/>
  <c r="R89" i="16"/>
  <c r="Q89" i="16"/>
  <c r="P89" i="16"/>
  <c r="O89" i="16"/>
  <c r="N89" i="16"/>
  <c r="M89" i="16"/>
  <c r="I89" i="16"/>
  <c r="H89" i="16"/>
  <c r="G89" i="16"/>
  <c r="F89" i="16"/>
  <c r="E89" i="16"/>
  <c r="D89" i="16"/>
  <c r="C89" i="16"/>
  <c r="B89" i="16"/>
  <c r="AI84" i="16"/>
  <c r="AD84" i="16"/>
  <c r="V84" i="16"/>
  <c r="U84" i="16"/>
  <c r="T84" i="16"/>
  <c r="S84" i="16"/>
  <c r="R84" i="16"/>
  <c r="Q84" i="16"/>
  <c r="P84" i="16"/>
  <c r="O84" i="16"/>
  <c r="N84" i="16"/>
  <c r="M84" i="16"/>
  <c r="I84" i="16"/>
  <c r="H84" i="16"/>
  <c r="G84" i="16"/>
  <c r="F84" i="16"/>
  <c r="E84" i="16"/>
  <c r="D84" i="16"/>
  <c r="C84" i="16"/>
  <c r="B84" i="16"/>
  <c r="AI79" i="16"/>
  <c r="AD79" i="16"/>
  <c r="V79" i="16"/>
  <c r="U79" i="16"/>
  <c r="T79" i="16"/>
  <c r="S79" i="16"/>
  <c r="R79" i="16"/>
  <c r="Q79" i="16"/>
  <c r="P79" i="16"/>
  <c r="O79" i="16"/>
  <c r="N79" i="16"/>
  <c r="M79" i="16"/>
  <c r="I79" i="16"/>
  <c r="H79" i="16"/>
  <c r="G79" i="16"/>
  <c r="F79" i="16"/>
  <c r="E79" i="16"/>
  <c r="D79" i="16"/>
  <c r="C79" i="16"/>
  <c r="B79" i="16"/>
  <c r="AI74" i="16"/>
  <c r="AD74" i="16"/>
  <c r="V74" i="16"/>
  <c r="U74" i="16"/>
  <c r="T74" i="16"/>
  <c r="S74" i="16"/>
  <c r="R74" i="16"/>
  <c r="Q74" i="16"/>
  <c r="P74" i="16"/>
  <c r="O74" i="16"/>
  <c r="N74" i="16"/>
  <c r="M74" i="16"/>
  <c r="I74" i="16"/>
  <c r="H74" i="16"/>
  <c r="G74" i="16"/>
  <c r="F74" i="16"/>
  <c r="E74" i="16"/>
  <c r="D74" i="16"/>
  <c r="C74" i="16"/>
  <c r="B74" i="16"/>
  <c r="AI69" i="16"/>
  <c r="AD69" i="16"/>
  <c r="V69" i="16"/>
  <c r="U69" i="16"/>
  <c r="T69" i="16"/>
  <c r="S69" i="16"/>
  <c r="R69" i="16"/>
  <c r="Q69" i="16"/>
  <c r="P69" i="16"/>
  <c r="O69" i="16"/>
  <c r="N69" i="16"/>
  <c r="M69" i="16"/>
  <c r="I69" i="16"/>
  <c r="H69" i="16"/>
  <c r="G69" i="16"/>
  <c r="F69" i="16"/>
  <c r="E69" i="16"/>
  <c r="D69" i="16"/>
  <c r="C69" i="16"/>
  <c r="B69" i="16"/>
  <c r="AI64" i="16"/>
  <c r="AD64" i="16"/>
  <c r="V64" i="16"/>
  <c r="U64" i="16"/>
  <c r="T64" i="16"/>
  <c r="S64" i="16"/>
  <c r="R64" i="16"/>
  <c r="Q64" i="16"/>
  <c r="P64" i="16"/>
  <c r="O64" i="16"/>
  <c r="N64" i="16"/>
  <c r="M64" i="16"/>
  <c r="I64" i="16"/>
  <c r="H64" i="16"/>
  <c r="G64" i="16"/>
  <c r="F64" i="16"/>
  <c r="E64" i="16"/>
  <c r="D64" i="16"/>
  <c r="C64" i="16"/>
  <c r="B64" i="16"/>
  <c r="AI59" i="16"/>
  <c r="AD59" i="16"/>
  <c r="V59" i="16"/>
  <c r="U59" i="16"/>
  <c r="T59" i="16"/>
  <c r="S59" i="16"/>
  <c r="R59" i="16"/>
  <c r="Q59" i="16"/>
  <c r="P59" i="16"/>
  <c r="O59" i="16"/>
  <c r="N59" i="16"/>
  <c r="M59" i="16"/>
  <c r="I59" i="16"/>
  <c r="H59" i="16"/>
  <c r="S54" i="16" s="1"/>
  <c r="G59" i="16"/>
  <c r="R54" i="16" s="1"/>
  <c r="F59" i="16"/>
  <c r="Q54" i="16" s="1"/>
  <c r="E59" i="16"/>
  <c r="P54" i="16" s="1"/>
  <c r="D59" i="16"/>
  <c r="O54" i="16" s="1"/>
  <c r="C59" i="16"/>
  <c r="N54" i="16" s="1"/>
  <c r="B59" i="16"/>
  <c r="AI54" i="16"/>
  <c r="AD54" i="16"/>
  <c r="V54" i="16"/>
  <c r="U54" i="16"/>
  <c r="T54" i="16"/>
  <c r="I54" i="16"/>
  <c r="H54" i="16"/>
  <c r="G54" i="16"/>
  <c r="F54" i="16"/>
  <c r="E54" i="16"/>
  <c r="D54" i="16"/>
  <c r="C54" i="16"/>
  <c r="B54" i="16"/>
  <c r="AI49" i="16"/>
  <c r="AD49" i="16"/>
  <c r="V49" i="16"/>
  <c r="U49" i="16"/>
  <c r="T49" i="16"/>
  <c r="S49" i="16"/>
  <c r="R49" i="16"/>
  <c r="Q49" i="16"/>
  <c r="P49" i="16"/>
  <c r="O49" i="16"/>
  <c r="N49" i="16"/>
  <c r="M49" i="16"/>
  <c r="I49" i="16"/>
  <c r="H49" i="16"/>
  <c r="G49" i="16"/>
  <c r="F49" i="16"/>
  <c r="E49" i="16"/>
  <c r="D49" i="16"/>
  <c r="C49" i="16"/>
  <c r="B49" i="16"/>
  <c r="AI44" i="16"/>
  <c r="AD44" i="16"/>
  <c r="U44" i="16"/>
  <c r="T44" i="16"/>
  <c r="S44" i="16"/>
  <c r="R44" i="16"/>
  <c r="Q44" i="16"/>
  <c r="P44" i="16"/>
  <c r="O44" i="16"/>
  <c r="N44" i="16"/>
  <c r="M44" i="16"/>
  <c r="I44" i="16"/>
  <c r="H44" i="16"/>
  <c r="G44" i="16"/>
  <c r="F44" i="16"/>
  <c r="E44" i="16"/>
  <c r="D44" i="16"/>
  <c r="C44" i="16"/>
  <c r="B44" i="16"/>
  <c r="AI39" i="16"/>
  <c r="AD39" i="16"/>
  <c r="V39" i="16"/>
  <c r="U39" i="16"/>
  <c r="T39" i="16"/>
  <c r="S39" i="16"/>
  <c r="R39" i="16"/>
  <c r="Q39" i="16"/>
  <c r="P39" i="16"/>
  <c r="O39" i="16"/>
  <c r="N39" i="16"/>
  <c r="M39" i="16"/>
  <c r="I39" i="16"/>
  <c r="H39" i="16"/>
  <c r="G39" i="16"/>
  <c r="F39" i="16"/>
  <c r="E39" i="16"/>
  <c r="D39" i="16"/>
  <c r="C39" i="16"/>
  <c r="B39" i="16"/>
  <c r="AI34" i="16"/>
  <c r="AD34" i="16"/>
  <c r="V34" i="16"/>
  <c r="U34" i="16"/>
  <c r="T34" i="16"/>
  <c r="S34" i="16"/>
  <c r="R34" i="16"/>
  <c r="Q34" i="16"/>
  <c r="P34" i="16"/>
  <c r="O34" i="16"/>
  <c r="N34" i="16"/>
  <c r="M34" i="16"/>
  <c r="I34" i="16"/>
  <c r="H34" i="16"/>
  <c r="G34" i="16"/>
  <c r="F34" i="16"/>
  <c r="E34" i="16"/>
  <c r="D34" i="16"/>
  <c r="C34" i="16"/>
  <c r="B34" i="16"/>
  <c r="AI29" i="16"/>
  <c r="AD29" i="16"/>
  <c r="V29" i="16"/>
  <c r="U29" i="16"/>
  <c r="T29" i="16"/>
  <c r="S29" i="16"/>
  <c r="R29" i="16"/>
  <c r="Q29" i="16"/>
  <c r="P29" i="16"/>
  <c r="O29" i="16"/>
  <c r="N29" i="16"/>
  <c r="M29" i="16"/>
  <c r="I29" i="16"/>
  <c r="H29" i="16"/>
  <c r="G29" i="16"/>
  <c r="F29" i="16"/>
  <c r="E29" i="16"/>
  <c r="D29" i="16"/>
  <c r="C29" i="16"/>
  <c r="B29" i="16"/>
  <c r="AI24" i="16"/>
  <c r="AD24" i="16"/>
  <c r="V24" i="16"/>
  <c r="U24" i="16"/>
  <c r="T24" i="16"/>
  <c r="S24" i="16"/>
  <c r="R24" i="16"/>
  <c r="Q24" i="16"/>
  <c r="P24" i="16"/>
  <c r="O24" i="16"/>
  <c r="N24" i="16"/>
  <c r="M24" i="16"/>
  <c r="I24" i="16"/>
  <c r="H24" i="16"/>
  <c r="G24" i="16"/>
  <c r="F24" i="16"/>
  <c r="E24" i="16"/>
  <c r="D24" i="16"/>
  <c r="C24" i="16"/>
  <c r="B24" i="16"/>
  <c r="AI19" i="16"/>
  <c r="AD19" i="16"/>
  <c r="V19" i="16"/>
  <c r="U19" i="16"/>
  <c r="T19" i="16"/>
  <c r="S19" i="16"/>
  <c r="R19" i="16"/>
  <c r="Q19" i="16"/>
  <c r="P19" i="16"/>
  <c r="O19" i="16"/>
  <c r="N19" i="16"/>
  <c r="M19" i="16"/>
  <c r="I19" i="16"/>
  <c r="H19" i="16"/>
  <c r="G19" i="16"/>
  <c r="F19" i="16"/>
  <c r="E19" i="16"/>
  <c r="D19" i="16"/>
  <c r="C19" i="16"/>
  <c r="B19" i="16"/>
  <c r="AI14" i="16"/>
  <c r="AD14" i="16"/>
  <c r="V14" i="16"/>
  <c r="U14" i="16"/>
  <c r="T14" i="16"/>
  <c r="S14" i="16"/>
  <c r="R14" i="16"/>
  <c r="Q14" i="16"/>
  <c r="P14" i="16"/>
  <c r="O14" i="16"/>
  <c r="N14" i="16"/>
  <c r="M14" i="16"/>
  <c r="I14" i="16"/>
  <c r="H14" i="16"/>
  <c r="G14" i="16"/>
  <c r="F14" i="16"/>
  <c r="E14" i="16"/>
  <c r="D14" i="16"/>
  <c r="C14" i="16"/>
  <c r="B14" i="16"/>
  <c r="AI9" i="16"/>
  <c r="AD9" i="16"/>
  <c r="V9" i="16"/>
  <c r="U9" i="16"/>
  <c r="T9" i="16"/>
  <c r="S9" i="16"/>
  <c r="R9" i="16"/>
  <c r="Q9" i="16"/>
  <c r="P9" i="16"/>
  <c r="O9" i="16"/>
  <c r="N9" i="16"/>
  <c r="M9" i="16"/>
  <c r="I9" i="16"/>
  <c r="H9" i="16"/>
  <c r="G9" i="16"/>
  <c r="F9" i="16"/>
  <c r="E9" i="16"/>
  <c r="D9" i="16"/>
  <c r="C9" i="16"/>
  <c r="B9" i="16"/>
  <c r="AI4" i="16"/>
  <c r="AD4" i="16"/>
  <c r="V4" i="16"/>
  <c r="U4" i="16"/>
  <c r="T4" i="16"/>
  <c r="S4" i="16"/>
  <c r="R4" i="16"/>
  <c r="Q4" i="16"/>
  <c r="P4" i="16"/>
  <c r="O4" i="16"/>
  <c r="N4" i="16"/>
  <c r="M4" i="16"/>
  <c r="I4" i="16"/>
  <c r="H4" i="16"/>
  <c r="G4" i="16"/>
  <c r="F4" i="16"/>
  <c r="E4" i="16"/>
  <c r="D4" i="16"/>
  <c r="C4" i="16"/>
  <c r="B4" i="16"/>
  <c r="AD92" i="15"/>
  <c r="AC92" i="15"/>
  <c r="AF73" i="15"/>
  <c r="AC73" i="15"/>
  <c r="AA73" i="15"/>
  <c r="Z73" i="15"/>
  <c r="AI69" i="15"/>
  <c r="AD69" i="15"/>
  <c r="V69" i="15"/>
  <c r="U69" i="15"/>
  <c r="T69" i="15"/>
  <c r="S69" i="15"/>
  <c r="R69" i="15"/>
  <c r="Q69" i="15"/>
  <c r="P69" i="15"/>
  <c r="O69" i="15"/>
  <c r="N69" i="15"/>
  <c r="M69" i="15"/>
  <c r="I69" i="15"/>
  <c r="H69" i="15"/>
  <c r="G69" i="15"/>
  <c r="F69" i="15"/>
  <c r="E69" i="15"/>
  <c r="D69" i="15"/>
  <c r="C69" i="15"/>
  <c r="B69" i="15"/>
  <c r="AI64" i="15"/>
  <c r="AD64" i="15"/>
  <c r="V64" i="15"/>
  <c r="U64" i="15"/>
  <c r="T64" i="15"/>
  <c r="S64" i="15"/>
  <c r="R64" i="15"/>
  <c r="Q64" i="15"/>
  <c r="P64" i="15"/>
  <c r="O64" i="15"/>
  <c r="N64" i="15"/>
  <c r="M64" i="15"/>
  <c r="I64" i="15"/>
  <c r="H64" i="15"/>
  <c r="G64" i="15"/>
  <c r="F64" i="15"/>
  <c r="E64" i="15"/>
  <c r="D64" i="15"/>
  <c r="C64" i="15"/>
  <c r="B64" i="15"/>
  <c r="AI59" i="15"/>
  <c r="AD59" i="15"/>
  <c r="V59" i="15"/>
  <c r="U59" i="15"/>
  <c r="T59" i="15"/>
  <c r="S59" i="15"/>
  <c r="R59" i="15"/>
  <c r="Q59" i="15"/>
  <c r="P59" i="15"/>
  <c r="O59" i="15"/>
  <c r="N59" i="15"/>
  <c r="M59" i="15"/>
  <c r="I59" i="15"/>
  <c r="H59" i="15"/>
  <c r="G59" i="15"/>
  <c r="F59" i="15"/>
  <c r="E59" i="15"/>
  <c r="D59" i="15"/>
  <c r="C59" i="15"/>
  <c r="B59" i="15"/>
  <c r="AI54" i="15"/>
  <c r="AD54" i="15"/>
  <c r="V54" i="15"/>
  <c r="U54" i="15"/>
  <c r="T54" i="15"/>
  <c r="S54" i="15"/>
  <c r="R54" i="15"/>
  <c r="Q54" i="15"/>
  <c r="P54" i="15"/>
  <c r="O54" i="15"/>
  <c r="N54" i="15"/>
  <c r="M54" i="15"/>
  <c r="I54" i="15"/>
  <c r="H54" i="15"/>
  <c r="G54" i="15"/>
  <c r="F54" i="15"/>
  <c r="E54" i="15"/>
  <c r="D54" i="15"/>
  <c r="C54" i="15"/>
  <c r="B54" i="15"/>
  <c r="AI49" i="15"/>
  <c r="AD49" i="15"/>
  <c r="V49" i="15"/>
  <c r="U49" i="15"/>
  <c r="T49" i="15"/>
  <c r="S49" i="15"/>
  <c r="R49" i="15"/>
  <c r="Q49" i="15"/>
  <c r="P49" i="15"/>
  <c r="O49" i="15"/>
  <c r="N49" i="15"/>
  <c r="M49" i="15"/>
  <c r="I49" i="15"/>
  <c r="H49" i="15"/>
  <c r="G49" i="15"/>
  <c r="F49" i="15"/>
  <c r="E49" i="15"/>
  <c r="D49" i="15"/>
  <c r="C49" i="15"/>
  <c r="B49" i="15"/>
  <c r="AI44" i="15"/>
  <c r="AD44" i="15"/>
  <c r="V44" i="15"/>
  <c r="U44" i="15"/>
  <c r="T44" i="15"/>
  <c r="S44" i="15"/>
  <c r="R44" i="15"/>
  <c r="Q44" i="15"/>
  <c r="P44" i="15"/>
  <c r="O44" i="15"/>
  <c r="N44" i="15"/>
  <c r="M44" i="15"/>
  <c r="I44" i="15"/>
  <c r="H44" i="15"/>
  <c r="G44" i="15"/>
  <c r="F44" i="15"/>
  <c r="E44" i="15"/>
  <c r="D44" i="15"/>
  <c r="C44" i="15"/>
  <c r="B44" i="15"/>
  <c r="AI39" i="15"/>
  <c r="AD39" i="15"/>
  <c r="V39" i="15"/>
  <c r="U39" i="15"/>
  <c r="T39" i="15"/>
  <c r="S39" i="15"/>
  <c r="R39" i="15"/>
  <c r="Q39" i="15"/>
  <c r="P39" i="15"/>
  <c r="O39" i="15"/>
  <c r="N39" i="15"/>
  <c r="M39" i="15"/>
  <c r="I39" i="15"/>
  <c r="H39" i="15"/>
  <c r="G39" i="15"/>
  <c r="F39" i="15"/>
  <c r="E39" i="15"/>
  <c r="D39" i="15"/>
  <c r="C39" i="15"/>
  <c r="B39" i="15"/>
  <c r="AI34" i="15"/>
  <c r="AD34" i="15"/>
  <c r="V34" i="15"/>
  <c r="U34" i="15"/>
  <c r="T34" i="15"/>
  <c r="S34" i="15"/>
  <c r="R34" i="15"/>
  <c r="Q34" i="15"/>
  <c r="P34" i="15"/>
  <c r="O34" i="15"/>
  <c r="N34" i="15"/>
  <c r="M34" i="15"/>
  <c r="I34" i="15"/>
  <c r="H34" i="15"/>
  <c r="G34" i="15"/>
  <c r="F34" i="15"/>
  <c r="E34" i="15"/>
  <c r="D34" i="15"/>
  <c r="C34" i="15"/>
  <c r="B34" i="15"/>
  <c r="AI29" i="15"/>
  <c r="AD29" i="15"/>
  <c r="V29" i="15"/>
  <c r="U29" i="15"/>
  <c r="T29" i="15"/>
  <c r="S29" i="15"/>
  <c r="R29" i="15"/>
  <c r="Q29" i="15"/>
  <c r="P29" i="15"/>
  <c r="O29" i="15"/>
  <c r="N29" i="15"/>
  <c r="M29" i="15"/>
  <c r="I29" i="15"/>
  <c r="H29" i="15"/>
  <c r="G29" i="15"/>
  <c r="F29" i="15"/>
  <c r="E29" i="15"/>
  <c r="D29" i="15"/>
  <c r="C29" i="15"/>
  <c r="B29" i="15"/>
  <c r="AI24" i="15"/>
  <c r="AD24" i="15"/>
  <c r="V24" i="15"/>
  <c r="U24" i="15"/>
  <c r="T24" i="15"/>
  <c r="S24" i="15"/>
  <c r="R24" i="15"/>
  <c r="Q24" i="15"/>
  <c r="P24" i="15"/>
  <c r="O24" i="15"/>
  <c r="N24" i="15"/>
  <c r="M24" i="15"/>
  <c r="I24" i="15"/>
  <c r="H24" i="15"/>
  <c r="G24" i="15"/>
  <c r="F24" i="15"/>
  <c r="E24" i="15"/>
  <c r="D24" i="15"/>
  <c r="C24" i="15"/>
  <c r="B24" i="15"/>
  <c r="AI19" i="15"/>
  <c r="AD19" i="15"/>
  <c r="V19" i="15"/>
  <c r="U19" i="15"/>
  <c r="T19" i="15"/>
  <c r="S19" i="15"/>
  <c r="R19" i="15"/>
  <c r="Q19" i="15"/>
  <c r="P19" i="15"/>
  <c r="O19" i="15"/>
  <c r="N19" i="15"/>
  <c r="M19" i="15"/>
  <c r="I19" i="15"/>
  <c r="H19" i="15"/>
  <c r="G19" i="15"/>
  <c r="F19" i="15"/>
  <c r="E19" i="15"/>
  <c r="D19" i="15"/>
  <c r="C19" i="15"/>
  <c r="B19" i="15"/>
  <c r="AI14" i="15"/>
  <c r="AD14" i="15"/>
  <c r="V14" i="15"/>
  <c r="U14" i="15"/>
  <c r="T14" i="15"/>
  <c r="S14" i="15"/>
  <c r="R14" i="15"/>
  <c r="Q14" i="15"/>
  <c r="P14" i="15"/>
  <c r="O14" i="15"/>
  <c r="N14" i="15"/>
  <c r="M14" i="15"/>
  <c r="I14" i="15"/>
  <c r="H14" i="15"/>
  <c r="G14" i="15"/>
  <c r="F14" i="15"/>
  <c r="E14" i="15"/>
  <c r="D14" i="15"/>
  <c r="C14" i="15"/>
  <c r="B14" i="15"/>
  <c r="AI9" i="15"/>
  <c r="AD9" i="15"/>
  <c r="V9" i="15"/>
  <c r="U9" i="15"/>
  <c r="T9" i="15"/>
  <c r="S9" i="15"/>
  <c r="R9" i="15"/>
  <c r="Q9" i="15"/>
  <c r="P9" i="15"/>
  <c r="O9" i="15"/>
  <c r="N9" i="15"/>
  <c r="M9" i="15"/>
  <c r="I9" i="15"/>
  <c r="H9" i="15"/>
  <c r="G9" i="15"/>
  <c r="F9" i="15"/>
  <c r="E9" i="15"/>
  <c r="D9" i="15"/>
  <c r="C9" i="15"/>
  <c r="B9" i="15"/>
  <c r="AI4" i="15"/>
  <c r="AD4" i="15"/>
  <c r="V4" i="15"/>
  <c r="U4" i="15"/>
  <c r="T4" i="15"/>
  <c r="S4" i="15"/>
  <c r="R4" i="15"/>
  <c r="Q4" i="15"/>
  <c r="P4" i="15"/>
  <c r="O4" i="15"/>
  <c r="N4" i="15"/>
  <c r="M4" i="15"/>
  <c r="I4" i="15"/>
  <c r="H4" i="15"/>
  <c r="G4" i="15"/>
  <c r="F4" i="15"/>
  <c r="E4" i="15"/>
  <c r="D4" i="15"/>
  <c r="C4" i="15"/>
  <c r="B4" i="15"/>
  <c r="AD158" i="14"/>
  <c r="AC158" i="14"/>
  <c r="AE138" i="14"/>
  <c r="AB138" i="14"/>
  <c r="Z138" i="14"/>
  <c r="Y138" i="14"/>
  <c r="AH134" i="14"/>
  <c r="AC134" i="14"/>
  <c r="V134" i="14"/>
  <c r="U134" i="14"/>
  <c r="T134" i="14"/>
  <c r="S134" i="14"/>
  <c r="R134" i="14"/>
  <c r="Q134" i="14"/>
  <c r="P134" i="14"/>
  <c r="O134" i="14"/>
  <c r="N134" i="14"/>
  <c r="M134" i="14"/>
  <c r="I134" i="14"/>
  <c r="H134" i="14"/>
  <c r="G134" i="14"/>
  <c r="F134" i="14"/>
  <c r="E134" i="14"/>
  <c r="D134" i="14"/>
  <c r="J134" i="14" s="1"/>
  <c r="C134" i="14"/>
  <c r="B134" i="14"/>
  <c r="AH129" i="14"/>
  <c r="AC129" i="14"/>
  <c r="V129" i="14"/>
  <c r="U129" i="14"/>
  <c r="T129" i="14"/>
  <c r="S129" i="14"/>
  <c r="R129" i="14"/>
  <c r="Q129" i="14"/>
  <c r="P129" i="14"/>
  <c r="O129" i="14"/>
  <c r="N129" i="14"/>
  <c r="M129" i="14"/>
  <c r="I129" i="14"/>
  <c r="H129" i="14"/>
  <c r="G129" i="14"/>
  <c r="F129" i="14"/>
  <c r="E129" i="14"/>
  <c r="D129" i="14"/>
  <c r="C129" i="14"/>
  <c r="B129" i="14"/>
  <c r="AH124" i="14"/>
  <c r="AC124" i="14"/>
  <c r="V124" i="14"/>
  <c r="U124" i="14"/>
  <c r="T124" i="14"/>
  <c r="S124" i="14"/>
  <c r="R124" i="14"/>
  <c r="Q124" i="14"/>
  <c r="P124" i="14"/>
  <c r="O124" i="14"/>
  <c r="N124" i="14"/>
  <c r="M124" i="14"/>
  <c r="I124" i="14"/>
  <c r="H124" i="14"/>
  <c r="G124" i="14"/>
  <c r="F124" i="14"/>
  <c r="E124" i="14"/>
  <c r="D124" i="14"/>
  <c r="C124" i="14"/>
  <c r="B124" i="14"/>
  <c r="J124" i="14" s="1"/>
  <c r="AH119" i="14"/>
  <c r="AC119" i="14"/>
  <c r="V119" i="14"/>
  <c r="U119" i="14"/>
  <c r="T119" i="14"/>
  <c r="S119" i="14"/>
  <c r="R119" i="14"/>
  <c r="Q119" i="14"/>
  <c r="P119" i="14"/>
  <c r="O119" i="14"/>
  <c r="N119" i="14"/>
  <c r="M119" i="14"/>
  <c r="I119" i="14"/>
  <c r="H119" i="14"/>
  <c r="G119" i="14"/>
  <c r="F119" i="14"/>
  <c r="E119" i="14"/>
  <c r="D119" i="14"/>
  <c r="J119" i="14" s="1"/>
  <c r="C119" i="14"/>
  <c r="B119" i="14"/>
  <c r="AH114" i="14"/>
  <c r="AC114" i="14"/>
  <c r="V114" i="14"/>
  <c r="U114" i="14"/>
  <c r="T114" i="14"/>
  <c r="S114" i="14"/>
  <c r="R114" i="14"/>
  <c r="Q114" i="14"/>
  <c r="P114" i="14"/>
  <c r="O114" i="14"/>
  <c r="N114" i="14"/>
  <c r="M114" i="14"/>
  <c r="W114" i="14" s="1"/>
  <c r="I114" i="14"/>
  <c r="H114" i="14"/>
  <c r="G114" i="14"/>
  <c r="F114" i="14"/>
  <c r="E114" i="14"/>
  <c r="D114" i="14"/>
  <c r="C114" i="14"/>
  <c r="B114" i="14"/>
  <c r="J114" i="14" s="1"/>
  <c r="AH109" i="14"/>
  <c r="AC109" i="14"/>
  <c r="V109" i="14"/>
  <c r="U109" i="14"/>
  <c r="T109" i="14"/>
  <c r="S109" i="14"/>
  <c r="R109" i="14"/>
  <c r="Q109" i="14"/>
  <c r="P109" i="14"/>
  <c r="O109" i="14"/>
  <c r="W109" i="14" s="1"/>
  <c r="X109" i="14" s="1"/>
  <c r="N109" i="14"/>
  <c r="M109" i="14"/>
  <c r="I109" i="14"/>
  <c r="H109" i="14"/>
  <c r="G109" i="14"/>
  <c r="F109" i="14"/>
  <c r="E109" i="14"/>
  <c r="D109" i="14"/>
  <c r="C109" i="14"/>
  <c r="B109" i="14"/>
  <c r="J109" i="14" s="1"/>
  <c r="AH104" i="14"/>
  <c r="AC104" i="14"/>
  <c r="V104" i="14"/>
  <c r="U104" i="14"/>
  <c r="T104" i="14"/>
  <c r="S104" i="14"/>
  <c r="R104" i="14"/>
  <c r="Q104" i="14"/>
  <c r="P104" i="14"/>
  <c r="O104" i="14"/>
  <c r="N104" i="14"/>
  <c r="M104" i="14"/>
  <c r="I104" i="14"/>
  <c r="H104" i="14"/>
  <c r="G104" i="14"/>
  <c r="F104" i="14"/>
  <c r="E104" i="14"/>
  <c r="D104" i="14"/>
  <c r="J104" i="14" s="1"/>
  <c r="C104" i="14"/>
  <c r="B104" i="14"/>
  <c r="AH99" i="14"/>
  <c r="AC99" i="14"/>
  <c r="V99" i="14"/>
  <c r="U99" i="14"/>
  <c r="T99" i="14"/>
  <c r="S99" i="14"/>
  <c r="R99" i="14"/>
  <c r="Q99" i="14"/>
  <c r="P99" i="14"/>
  <c r="O99" i="14"/>
  <c r="N99" i="14"/>
  <c r="M99" i="14"/>
  <c r="I99" i="14"/>
  <c r="H99" i="14"/>
  <c r="G99" i="14"/>
  <c r="F99" i="14"/>
  <c r="E99" i="14"/>
  <c r="D99" i="14"/>
  <c r="C99" i="14"/>
  <c r="B99" i="14"/>
  <c r="AH94" i="14"/>
  <c r="AC94" i="14"/>
  <c r="V94" i="14"/>
  <c r="U94" i="14"/>
  <c r="T94" i="14"/>
  <c r="S94" i="14"/>
  <c r="R94" i="14"/>
  <c r="Q94" i="14"/>
  <c r="P94" i="14"/>
  <c r="O94" i="14"/>
  <c r="N94" i="14"/>
  <c r="M94" i="14"/>
  <c r="I94" i="14"/>
  <c r="H94" i="14"/>
  <c r="G94" i="14"/>
  <c r="F94" i="14"/>
  <c r="E94" i="14"/>
  <c r="D94" i="14"/>
  <c r="C94" i="14"/>
  <c r="B94" i="14"/>
  <c r="J94" i="14" s="1"/>
  <c r="AH89" i="14"/>
  <c r="AC89" i="14"/>
  <c r="V89" i="14"/>
  <c r="U89" i="14"/>
  <c r="T89" i="14"/>
  <c r="S89" i="14"/>
  <c r="R89" i="14"/>
  <c r="Q89" i="14"/>
  <c r="P89" i="14"/>
  <c r="O89" i="14"/>
  <c r="N89" i="14"/>
  <c r="M89" i="14"/>
  <c r="I89" i="14"/>
  <c r="H89" i="14"/>
  <c r="G89" i="14"/>
  <c r="F89" i="14"/>
  <c r="E89" i="14"/>
  <c r="D89" i="14"/>
  <c r="J89" i="14" s="1"/>
  <c r="C89" i="14"/>
  <c r="B89" i="14"/>
  <c r="AH84" i="14"/>
  <c r="AC84" i="14"/>
  <c r="V84" i="14"/>
  <c r="U84" i="14"/>
  <c r="T84" i="14"/>
  <c r="S84" i="14"/>
  <c r="R84" i="14"/>
  <c r="Q84" i="14"/>
  <c r="P84" i="14"/>
  <c r="O84" i="14"/>
  <c r="N84" i="14"/>
  <c r="M84" i="14"/>
  <c r="W84" i="14" s="1"/>
  <c r="I84" i="14"/>
  <c r="H84" i="14"/>
  <c r="G84" i="14"/>
  <c r="F84" i="14"/>
  <c r="E84" i="14"/>
  <c r="D84" i="14"/>
  <c r="C84" i="14"/>
  <c r="B84" i="14"/>
  <c r="J84" i="14" s="1"/>
  <c r="AH79" i="14"/>
  <c r="AC79" i="14"/>
  <c r="V79" i="14"/>
  <c r="U79" i="14"/>
  <c r="T79" i="14"/>
  <c r="S79" i="14"/>
  <c r="R79" i="14"/>
  <c r="Q79" i="14"/>
  <c r="P79" i="14"/>
  <c r="O79" i="14"/>
  <c r="N79" i="14"/>
  <c r="M79" i="14"/>
  <c r="W79" i="14" s="1"/>
  <c r="X79" i="14" s="1"/>
  <c r="I79" i="14"/>
  <c r="H79" i="14"/>
  <c r="G79" i="14"/>
  <c r="F79" i="14"/>
  <c r="E79" i="14"/>
  <c r="D79" i="14"/>
  <c r="C79" i="14"/>
  <c r="B79" i="14"/>
  <c r="J79" i="14" s="1"/>
  <c r="AH74" i="14"/>
  <c r="AC74" i="14"/>
  <c r="V74" i="14"/>
  <c r="U74" i="14"/>
  <c r="T74" i="14"/>
  <c r="S74" i="14"/>
  <c r="R74" i="14"/>
  <c r="Q74" i="14"/>
  <c r="P74" i="14"/>
  <c r="O74" i="14"/>
  <c r="N74" i="14"/>
  <c r="M74" i="14"/>
  <c r="I74" i="14"/>
  <c r="H74" i="14"/>
  <c r="G74" i="14"/>
  <c r="F74" i="14"/>
  <c r="E74" i="14"/>
  <c r="D74" i="14"/>
  <c r="J74" i="14" s="1"/>
  <c r="C74" i="14"/>
  <c r="B74" i="14"/>
  <c r="AH69" i="14"/>
  <c r="AC69" i="14"/>
  <c r="V69" i="14"/>
  <c r="U69" i="14"/>
  <c r="T69" i="14"/>
  <c r="S69" i="14"/>
  <c r="R69" i="14"/>
  <c r="Q69" i="14"/>
  <c r="P69" i="14"/>
  <c r="O69" i="14"/>
  <c r="N69" i="14"/>
  <c r="M69" i="14"/>
  <c r="I69" i="14"/>
  <c r="H69" i="14"/>
  <c r="G69" i="14"/>
  <c r="F69" i="14"/>
  <c r="E69" i="14"/>
  <c r="D69" i="14"/>
  <c r="C69" i="14"/>
  <c r="B69" i="14"/>
  <c r="AH64" i="14"/>
  <c r="AC64" i="14"/>
  <c r="V64" i="14"/>
  <c r="U64" i="14"/>
  <c r="T64" i="14"/>
  <c r="S64" i="14"/>
  <c r="R64" i="14"/>
  <c r="Q64" i="14"/>
  <c r="P64" i="14"/>
  <c r="O64" i="14"/>
  <c r="N64" i="14"/>
  <c r="I64" i="14"/>
  <c r="H64" i="14"/>
  <c r="G64" i="14"/>
  <c r="F64" i="14"/>
  <c r="E64" i="14"/>
  <c r="D64" i="14"/>
  <c r="C64" i="14"/>
  <c r="B64" i="14"/>
  <c r="AH59" i="14"/>
  <c r="AC59" i="14"/>
  <c r="V59" i="14"/>
  <c r="U59" i="14"/>
  <c r="T59" i="14"/>
  <c r="S59" i="14"/>
  <c r="R59" i="14"/>
  <c r="Q59" i="14"/>
  <c r="W59" i="14" s="1"/>
  <c r="P59" i="14"/>
  <c r="O59" i="14"/>
  <c r="N59" i="14"/>
  <c r="M59" i="14"/>
  <c r="I59" i="14"/>
  <c r="H59" i="14"/>
  <c r="G59" i="14"/>
  <c r="F59" i="14"/>
  <c r="E59" i="14"/>
  <c r="D59" i="14"/>
  <c r="C59" i="14"/>
  <c r="B59" i="14"/>
  <c r="AH54" i="14"/>
  <c r="AC54" i="14"/>
  <c r="V54" i="14"/>
  <c r="U54" i="14"/>
  <c r="T54" i="14"/>
  <c r="S54" i="14"/>
  <c r="R54" i="14"/>
  <c r="Q54" i="14"/>
  <c r="P54" i="14"/>
  <c r="O54" i="14"/>
  <c r="N54" i="14"/>
  <c r="M54" i="14"/>
  <c r="W54" i="14" s="1"/>
  <c r="I54" i="14"/>
  <c r="H54" i="14"/>
  <c r="G54" i="14"/>
  <c r="F54" i="14"/>
  <c r="E54" i="14"/>
  <c r="D54" i="14"/>
  <c r="C54" i="14"/>
  <c r="B54" i="14"/>
  <c r="J54" i="14" s="1"/>
  <c r="AH49" i="14"/>
  <c r="AC49" i="14"/>
  <c r="V49" i="14"/>
  <c r="U49" i="14"/>
  <c r="T49" i="14"/>
  <c r="S49" i="14"/>
  <c r="R49" i="14"/>
  <c r="Q49" i="14"/>
  <c r="P49" i="14"/>
  <c r="O49" i="14"/>
  <c r="N49" i="14"/>
  <c r="W49" i="14" s="1"/>
  <c r="X49" i="14" s="1"/>
  <c r="M49" i="14"/>
  <c r="I49" i="14"/>
  <c r="H49" i="14"/>
  <c r="G49" i="14"/>
  <c r="F49" i="14"/>
  <c r="E49" i="14"/>
  <c r="D49" i="14"/>
  <c r="C49" i="14"/>
  <c r="J49" i="14" s="1"/>
  <c r="B49" i="14"/>
  <c r="AH44" i="14"/>
  <c r="AC44" i="14"/>
  <c r="V44" i="14"/>
  <c r="U44" i="14"/>
  <c r="T44" i="14"/>
  <c r="S44" i="14"/>
  <c r="R44" i="14"/>
  <c r="Q44" i="14"/>
  <c r="W44" i="14" s="1"/>
  <c r="X44" i="14" s="1"/>
  <c r="P44" i="14"/>
  <c r="O44" i="14"/>
  <c r="N44" i="14"/>
  <c r="M44" i="14"/>
  <c r="I44" i="14"/>
  <c r="H44" i="14"/>
  <c r="G44" i="14"/>
  <c r="F44" i="14"/>
  <c r="E44" i="14"/>
  <c r="D44" i="14"/>
  <c r="C44" i="14"/>
  <c r="B44" i="14"/>
  <c r="J44" i="14" s="1"/>
  <c r="AH39" i="14"/>
  <c r="AC39" i="14"/>
  <c r="V39" i="14"/>
  <c r="U39" i="14"/>
  <c r="T39" i="14"/>
  <c r="S39" i="14"/>
  <c r="R39" i="14"/>
  <c r="Q39" i="14"/>
  <c r="P39" i="14"/>
  <c r="O39" i="14"/>
  <c r="N39" i="14"/>
  <c r="M39" i="14"/>
  <c r="W39" i="14" s="1"/>
  <c r="I39" i="14"/>
  <c r="H39" i="14"/>
  <c r="G39" i="14"/>
  <c r="F39" i="14"/>
  <c r="E39" i="14"/>
  <c r="D39" i="14"/>
  <c r="C39" i="14"/>
  <c r="B39" i="14"/>
  <c r="AH34" i="14"/>
  <c r="AC34" i="14"/>
  <c r="V34" i="14"/>
  <c r="U34" i="14"/>
  <c r="S34" i="14"/>
  <c r="R34" i="14"/>
  <c r="Q34" i="14"/>
  <c r="P34" i="14"/>
  <c r="O34" i="14"/>
  <c r="N34" i="14"/>
  <c r="W34" i="14" s="1"/>
  <c r="M34" i="14"/>
  <c r="I34" i="14"/>
  <c r="H34" i="14"/>
  <c r="G34" i="14"/>
  <c r="F34" i="14"/>
  <c r="E34" i="14"/>
  <c r="D34" i="14"/>
  <c r="C34" i="14"/>
  <c r="B34" i="14"/>
  <c r="AH29" i="14"/>
  <c r="AC29" i="14"/>
  <c r="V29" i="14"/>
  <c r="U29" i="14"/>
  <c r="T29" i="14"/>
  <c r="S29" i="14"/>
  <c r="R29" i="14"/>
  <c r="Q29" i="14"/>
  <c r="P29" i="14"/>
  <c r="O29" i="14"/>
  <c r="N29" i="14"/>
  <c r="M29" i="14"/>
  <c r="W29" i="14" s="1"/>
  <c r="X29" i="14" s="1"/>
  <c r="I29" i="14"/>
  <c r="H29" i="14"/>
  <c r="G29" i="14"/>
  <c r="F29" i="14"/>
  <c r="E29" i="14"/>
  <c r="D29" i="14"/>
  <c r="C29" i="14"/>
  <c r="B29" i="14"/>
  <c r="J29" i="14" s="1"/>
  <c r="AH24" i="14"/>
  <c r="AC24" i="14"/>
  <c r="V24" i="14"/>
  <c r="U24" i="14"/>
  <c r="T24" i="14"/>
  <c r="S24" i="14"/>
  <c r="R24" i="14"/>
  <c r="Q24" i="14"/>
  <c r="P24" i="14"/>
  <c r="O24" i="14"/>
  <c r="N24" i="14"/>
  <c r="W24" i="14" s="1"/>
  <c r="M24" i="14"/>
  <c r="I24" i="14"/>
  <c r="H24" i="14"/>
  <c r="G24" i="14"/>
  <c r="F24" i="14"/>
  <c r="E24" i="14"/>
  <c r="D24" i="14"/>
  <c r="J24" i="14" s="1"/>
  <c r="C24" i="14"/>
  <c r="B24" i="14"/>
  <c r="AH19" i="14"/>
  <c r="AC19" i="14"/>
  <c r="V19" i="14"/>
  <c r="U19" i="14"/>
  <c r="T19" i="14"/>
  <c r="S19" i="14"/>
  <c r="R19" i="14"/>
  <c r="Q19" i="14"/>
  <c r="P19" i="14"/>
  <c r="O19" i="14"/>
  <c r="N19" i="14"/>
  <c r="M19" i="14"/>
  <c r="W19" i="14" s="1"/>
  <c r="X19" i="14" s="1"/>
  <c r="I19" i="14"/>
  <c r="H19" i="14"/>
  <c r="G19" i="14"/>
  <c r="F19" i="14"/>
  <c r="E19" i="14"/>
  <c r="D19" i="14"/>
  <c r="C19" i="14"/>
  <c r="B19" i="14"/>
  <c r="J19" i="14" s="1"/>
  <c r="AH14" i="14"/>
  <c r="AC14" i="14"/>
  <c r="V14" i="14"/>
  <c r="U14" i="14"/>
  <c r="T14" i="14"/>
  <c r="S14" i="14"/>
  <c r="R14" i="14"/>
  <c r="Q14" i="14"/>
  <c r="P14" i="14"/>
  <c r="O14" i="14"/>
  <c r="N14" i="14"/>
  <c r="M14" i="14"/>
  <c r="I14" i="14"/>
  <c r="H14" i="14"/>
  <c r="G14" i="14"/>
  <c r="F14" i="14"/>
  <c r="E14" i="14"/>
  <c r="D14" i="14"/>
  <c r="C14" i="14"/>
  <c r="B14" i="14"/>
  <c r="J14" i="14" s="1"/>
  <c r="AH9" i="14"/>
  <c r="AC9" i="14"/>
  <c r="V9" i="14"/>
  <c r="U9" i="14"/>
  <c r="T9" i="14"/>
  <c r="S9" i="14"/>
  <c r="R9" i="14"/>
  <c r="Q9" i="14"/>
  <c r="P9" i="14"/>
  <c r="O9" i="14"/>
  <c r="N9" i="14"/>
  <c r="M9" i="14"/>
  <c r="I9" i="14"/>
  <c r="H9" i="14"/>
  <c r="G9" i="14"/>
  <c r="F9" i="14"/>
  <c r="E9" i="14"/>
  <c r="D9" i="14"/>
  <c r="J9" i="14" s="1"/>
  <c r="C9" i="14"/>
  <c r="B9" i="14"/>
  <c r="AH4" i="14"/>
  <c r="AC4" i="14"/>
  <c r="V4" i="14"/>
  <c r="U4" i="14"/>
  <c r="T4" i="14"/>
  <c r="S4" i="14"/>
  <c r="R4" i="14"/>
  <c r="Q4" i="14"/>
  <c r="P4" i="14"/>
  <c r="O4" i="14"/>
  <c r="N4" i="14"/>
  <c r="M4" i="14"/>
  <c r="I4" i="14"/>
  <c r="H4" i="14"/>
  <c r="G4" i="14"/>
  <c r="F4" i="14"/>
  <c r="E4" i="14"/>
  <c r="D4" i="14"/>
  <c r="C4" i="14"/>
  <c r="B4" i="14"/>
  <c r="AC155" i="13"/>
  <c r="AB155" i="13"/>
  <c r="AE136" i="13"/>
  <c r="AB136" i="13"/>
  <c r="Y136" i="13"/>
  <c r="AH129" i="13"/>
  <c r="AC129" i="13"/>
  <c r="V129" i="13"/>
  <c r="U129" i="13"/>
  <c r="T129" i="13"/>
  <c r="S129" i="13"/>
  <c r="R129" i="13"/>
  <c r="Q129" i="13"/>
  <c r="P129" i="13"/>
  <c r="O129" i="13"/>
  <c r="N129" i="13"/>
  <c r="W129" i="13" s="1"/>
  <c r="M129" i="13"/>
  <c r="I129" i="13"/>
  <c r="H129" i="13"/>
  <c r="G129" i="13"/>
  <c r="F129" i="13"/>
  <c r="E129" i="13"/>
  <c r="D129" i="13"/>
  <c r="C129" i="13"/>
  <c r="J129" i="13" s="1"/>
  <c r="B129" i="13"/>
  <c r="AH124" i="13"/>
  <c r="AC124" i="13"/>
  <c r="V124" i="13"/>
  <c r="U124" i="13"/>
  <c r="T124" i="13"/>
  <c r="S124" i="13"/>
  <c r="R124" i="13"/>
  <c r="Q124" i="13"/>
  <c r="P124" i="13"/>
  <c r="O124" i="13"/>
  <c r="N124" i="13"/>
  <c r="M124" i="13"/>
  <c r="W124" i="13" s="1"/>
  <c r="I124" i="13"/>
  <c r="H124" i="13"/>
  <c r="G124" i="13"/>
  <c r="F124" i="13"/>
  <c r="E124" i="13"/>
  <c r="D124" i="13"/>
  <c r="B124" i="13"/>
  <c r="AH119" i="13"/>
  <c r="AC119" i="13"/>
  <c r="V119" i="13"/>
  <c r="U119" i="13"/>
  <c r="T119" i="13"/>
  <c r="R119" i="13"/>
  <c r="Q119" i="13"/>
  <c r="P119" i="13"/>
  <c r="W119" i="13" s="1"/>
  <c r="X119" i="13" s="1"/>
  <c r="O119" i="13"/>
  <c r="N119" i="13"/>
  <c r="M119" i="13"/>
  <c r="I119" i="13"/>
  <c r="H119" i="13"/>
  <c r="G119" i="13"/>
  <c r="F119" i="13"/>
  <c r="E119" i="13"/>
  <c r="D119" i="13"/>
  <c r="C119" i="13"/>
  <c r="B119" i="13"/>
  <c r="J119" i="13" s="1"/>
  <c r="AC114" i="13"/>
  <c r="Z114" i="13"/>
  <c r="V114" i="13"/>
  <c r="U114" i="13"/>
  <c r="T114" i="13"/>
  <c r="S114" i="13"/>
  <c r="R114" i="13"/>
  <c r="Q114" i="13"/>
  <c r="P114" i="13"/>
  <c r="O114" i="13"/>
  <c r="N114" i="13"/>
  <c r="M114" i="13"/>
  <c r="W114" i="13" s="1"/>
  <c r="I114" i="13"/>
  <c r="H114" i="13"/>
  <c r="G114" i="13"/>
  <c r="F114" i="13"/>
  <c r="E114" i="13"/>
  <c r="D114" i="13"/>
  <c r="C114" i="13"/>
  <c r="B114" i="13"/>
  <c r="AH109" i="13"/>
  <c r="AC109" i="13"/>
  <c r="V109" i="13"/>
  <c r="U109" i="13"/>
  <c r="T109" i="13"/>
  <c r="S109" i="13"/>
  <c r="R109" i="13"/>
  <c r="Q109" i="13"/>
  <c r="P109" i="13"/>
  <c r="O109" i="13"/>
  <c r="N109" i="13"/>
  <c r="M109" i="13"/>
  <c r="I109" i="13"/>
  <c r="H109" i="13"/>
  <c r="G109" i="13"/>
  <c r="F109" i="13"/>
  <c r="E109" i="13"/>
  <c r="D109" i="13"/>
  <c r="C109" i="13"/>
  <c r="B109" i="13"/>
  <c r="AH104" i="13"/>
  <c r="AC104" i="13"/>
  <c r="V104" i="13"/>
  <c r="T104" i="13"/>
  <c r="S104" i="13"/>
  <c r="R104" i="13"/>
  <c r="Q104" i="13"/>
  <c r="P104" i="13"/>
  <c r="W104" i="13" s="1"/>
  <c r="O104" i="13"/>
  <c r="N104" i="13"/>
  <c r="M104" i="13"/>
  <c r="I104" i="13"/>
  <c r="H104" i="13"/>
  <c r="G104" i="13"/>
  <c r="F104" i="13"/>
  <c r="E104" i="13"/>
  <c r="D104" i="13"/>
  <c r="C104" i="13"/>
  <c r="B104" i="13"/>
  <c r="J104" i="13" s="1"/>
  <c r="AH99" i="13"/>
  <c r="AC99" i="13"/>
  <c r="V99" i="13"/>
  <c r="U99" i="13"/>
  <c r="T99" i="13"/>
  <c r="S99" i="13"/>
  <c r="R99" i="13"/>
  <c r="Q99" i="13"/>
  <c r="P99" i="13"/>
  <c r="O99" i="13"/>
  <c r="N99" i="13"/>
  <c r="M99" i="13"/>
  <c r="I99" i="13"/>
  <c r="H99" i="13"/>
  <c r="G99" i="13"/>
  <c r="F99" i="13"/>
  <c r="E99" i="13"/>
  <c r="D99" i="13"/>
  <c r="C99" i="13"/>
  <c r="B99" i="13"/>
  <c r="J99" i="13" s="1"/>
  <c r="AH94" i="13"/>
  <c r="AC94" i="13"/>
  <c r="V94" i="13"/>
  <c r="U94" i="13"/>
  <c r="T94" i="13"/>
  <c r="S94" i="13"/>
  <c r="R94" i="13"/>
  <c r="Q94" i="13"/>
  <c r="W94" i="13" s="1"/>
  <c r="X94" i="13" s="1"/>
  <c r="P94" i="13"/>
  <c r="O94" i="13"/>
  <c r="N94" i="13"/>
  <c r="M94" i="13"/>
  <c r="I94" i="13"/>
  <c r="H94" i="13"/>
  <c r="G94" i="13"/>
  <c r="F94" i="13"/>
  <c r="E94" i="13"/>
  <c r="D94" i="13"/>
  <c r="C94" i="13"/>
  <c r="B94" i="13"/>
  <c r="J94" i="13" s="1"/>
  <c r="AH89" i="13"/>
  <c r="AC89" i="13"/>
  <c r="V89" i="13"/>
  <c r="U89" i="13"/>
  <c r="T89" i="13"/>
  <c r="S89" i="13"/>
  <c r="R89" i="13"/>
  <c r="Q89" i="13"/>
  <c r="P89" i="13"/>
  <c r="O89" i="13"/>
  <c r="N89" i="13"/>
  <c r="M89" i="13"/>
  <c r="W89" i="13" s="1"/>
  <c r="I89" i="13"/>
  <c r="H89" i="13"/>
  <c r="G89" i="13"/>
  <c r="F89" i="13"/>
  <c r="E89" i="13"/>
  <c r="D89" i="13"/>
  <c r="C89" i="13"/>
  <c r="B89" i="13"/>
  <c r="AH84" i="13"/>
  <c r="AC84" i="13"/>
  <c r="V84" i="13"/>
  <c r="U84" i="13"/>
  <c r="T84" i="13"/>
  <c r="S84" i="13"/>
  <c r="R84" i="13"/>
  <c r="Q84" i="13"/>
  <c r="P84" i="13"/>
  <c r="O84" i="13"/>
  <c r="W84" i="13" s="1"/>
  <c r="N84" i="13"/>
  <c r="M84" i="13"/>
  <c r="I84" i="13"/>
  <c r="H84" i="13"/>
  <c r="G84" i="13"/>
  <c r="F84" i="13"/>
  <c r="E84" i="13"/>
  <c r="D84" i="13"/>
  <c r="C84" i="13"/>
  <c r="B84" i="13"/>
  <c r="J84" i="13" s="1"/>
  <c r="AH79" i="13"/>
  <c r="AC79" i="13"/>
  <c r="V79" i="13"/>
  <c r="U79" i="13"/>
  <c r="T79" i="13"/>
  <c r="S79" i="13"/>
  <c r="R79" i="13"/>
  <c r="Q79" i="13"/>
  <c r="W79" i="13" s="1"/>
  <c r="P79" i="13"/>
  <c r="O79" i="13"/>
  <c r="N79" i="13"/>
  <c r="M79" i="13"/>
  <c r="I79" i="13"/>
  <c r="H79" i="13"/>
  <c r="G79" i="13"/>
  <c r="F79" i="13"/>
  <c r="E79" i="13"/>
  <c r="D79" i="13"/>
  <c r="C79" i="13"/>
  <c r="B79" i="13"/>
  <c r="AH74" i="13"/>
  <c r="AC74" i="13"/>
  <c r="AA74" i="13"/>
  <c r="V74" i="13"/>
  <c r="U74" i="13"/>
  <c r="T74" i="13"/>
  <c r="S74" i="13"/>
  <c r="R74" i="13"/>
  <c r="Q74" i="13"/>
  <c r="N74" i="13"/>
  <c r="M74" i="13"/>
  <c r="W74" i="13" s="1"/>
  <c r="X74" i="13" s="1"/>
  <c r="AD74" i="13" s="1"/>
  <c r="AF74" i="13" s="1"/>
  <c r="I74" i="13"/>
  <c r="H74" i="13"/>
  <c r="G74" i="13"/>
  <c r="F74" i="13"/>
  <c r="E74" i="13"/>
  <c r="D74" i="13"/>
  <c r="C74" i="13"/>
  <c r="B74" i="13"/>
  <c r="J74" i="13" s="1"/>
  <c r="AH69" i="13"/>
  <c r="AC69" i="13"/>
  <c r="V69" i="13"/>
  <c r="U69" i="13"/>
  <c r="T69" i="13"/>
  <c r="S69" i="13"/>
  <c r="R69" i="13"/>
  <c r="Q69" i="13"/>
  <c r="P69" i="13"/>
  <c r="O69" i="13"/>
  <c r="N69" i="13"/>
  <c r="M69" i="13"/>
  <c r="W69" i="13" s="1"/>
  <c r="I69" i="13"/>
  <c r="H69" i="13"/>
  <c r="G69" i="13"/>
  <c r="F69" i="13"/>
  <c r="E69" i="13"/>
  <c r="D69" i="13"/>
  <c r="J69" i="13" s="1"/>
  <c r="C69" i="13"/>
  <c r="B69" i="13"/>
  <c r="AH64" i="13"/>
  <c r="AC64" i="13"/>
  <c r="V64" i="13"/>
  <c r="U64" i="13"/>
  <c r="T64" i="13"/>
  <c r="S64" i="13"/>
  <c r="R64" i="13"/>
  <c r="Q64" i="13"/>
  <c r="P64" i="13"/>
  <c r="O64" i="13"/>
  <c r="W64" i="13" s="1"/>
  <c r="N64" i="13"/>
  <c r="M64" i="13"/>
  <c r="I64" i="13"/>
  <c r="H64" i="13"/>
  <c r="G64" i="13"/>
  <c r="F64" i="13"/>
  <c r="E64" i="13"/>
  <c r="D64" i="13"/>
  <c r="C64" i="13"/>
  <c r="B64" i="13"/>
  <c r="AH59" i="13"/>
  <c r="AC59" i="13"/>
  <c r="V59" i="13"/>
  <c r="U59" i="13"/>
  <c r="T59" i="13"/>
  <c r="S59" i="13"/>
  <c r="R59" i="13"/>
  <c r="Q59" i="13"/>
  <c r="W59" i="13" s="1"/>
  <c r="P59" i="13"/>
  <c r="O59" i="13"/>
  <c r="N59" i="13"/>
  <c r="M59" i="13"/>
  <c r="I59" i="13"/>
  <c r="H59" i="13"/>
  <c r="G59" i="13"/>
  <c r="F59" i="13"/>
  <c r="E59" i="13"/>
  <c r="D59" i="13"/>
  <c r="C59" i="13"/>
  <c r="B59" i="13"/>
  <c r="AH54" i="13"/>
  <c r="AC54" i="13"/>
  <c r="V54" i="13"/>
  <c r="U54" i="13"/>
  <c r="T54" i="13"/>
  <c r="S54" i="13"/>
  <c r="R54" i="13"/>
  <c r="Q54" i="13"/>
  <c r="P54" i="13"/>
  <c r="O54" i="13"/>
  <c r="N54" i="13"/>
  <c r="M54" i="13"/>
  <c r="W54" i="13" s="1"/>
  <c r="I54" i="13"/>
  <c r="H54" i="13"/>
  <c r="G54" i="13"/>
  <c r="F54" i="13"/>
  <c r="E54" i="13"/>
  <c r="D54" i="13"/>
  <c r="C54" i="13"/>
  <c r="B54" i="13"/>
  <c r="AH49" i="13"/>
  <c r="AC49" i="13"/>
  <c r="V49" i="13"/>
  <c r="U49" i="13"/>
  <c r="T49" i="13"/>
  <c r="S49" i="13"/>
  <c r="R49" i="13"/>
  <c r="Q49" i="13"/>
  <c r="P49" i="13"/>
  <c r="O49" i="13"/>
  <c r="W49" i="13" s="1"/>
  <c r="N49" i="13"/>
  <c r="M49" i="13"/>
  <c r="I49" i="13"/>
  <c r="H49" i="13"/>
  <c r="G49" i="13"/>
  <c r="F49" i="13"/>
  <c r="E49" i="13"/>
  <c r="D49" i="13"/>
  <c r="C49" i="13"/>
  <c r="B49" i="13"/>
  <c r="J49" i="13" s="1"/>
  <c r="AH44" i="13"/>
  <c r="AC44" i="13"/>
  <c r="V44" i="13"/>
  <c r="U44" i="13"/>
  <c r="T44" i="13"/>
  <c r="S44" i="13"/>
  <c r="R44" i="13"/>
  <c r="Q44" i="13"/>
  <c r="W44" i="13" s="1"/>
  <c r="X44" i="13" s="1"/>
  <c r="P44" i="13"/>
  <c r="O44" i="13"/>
  <c r="N44" i="13"/>
  <c r="M44" i="13"/>
  <c r="I44" i="13"/>
  <c r="H44" i="13"/>
  <c r="G44" i="13"/>
  <c r="F44" i="13"/>
  <c r="E44" i="13"/>
  <c r="D44" i="13"/>
  <c r="C44" i="13"/>
  <c r="B44" i="13"/>
  <c r="J44" i="13" s="1"/>
  <c r="AH39" i="13"/>
  <c r="AC39" i="13"/>
  <c r="V39" i="13"/>
  <c r="U39" i="13"/>
  <c r="T39" i="13"/>
  <c r="S39" i="13"/>
  <c r="R39" i="13"/>
  <c r="Q39" i="13"/>
  <c r="P39" i="13"/>
  <c r="O39" i="13"/>
  <c r="N39" i="13"/>
  <c r="M39" i="13"/>
  <c r="W39" i="13" s="1"/>
  <c r="I39" i="13"/>
  <c r="H39" i="13"/>
  <c r="G39" i="13"/>
  <c r="F39" i="13"/>
  <c r="E39" i="13"/>
  <c r="D39" i="13"/>
  <c r="J39" i="13" s="1"/>
  <c r="C39" i="13"/>
  <c r="B39" i="13"/>
  <c r="AH34" i="13"/>
  <c r="AC34" i="13"/>
  <c r="V34" i="13"/>
  <c r="U34" i="13"/>
  <c r="T34" i="13"/>
  <c r="S34" i="13"/>
  <c r="R34" i="13"/>
  <c r="Q34" i="13"/>
  <c r="P34" i="13"/>
  <c r="O34" i="13"/>
  <c r="W34" i="13" s="1"/>
  <c r="N34" i="13"/>
  <c r="M34" i="13"/>
  <c r="I34" i="13"/>
  <c r="H34" i="13"/>
  <c r="G34" i="13"/>
  <c r="F34" i="13"/>
  <c r="E34" i="13"/>
  <c r="D34" i="13"/>
  <c r="C34" i="13"/>
  <c r="B34" i="13"/>
  <c r="AH29" i="13"/>
  <c r="AC29" i="13"/>
  <c r="V29" i="13"/>
  <c r="U29" i="13"/>
  <c r="T29" i="13"/>
  <c r="S29" i="13"/>
  <c r="R29" i="13"/>
  <c r="Q29" i="13"/>
  <c r="W29" i="13" s="1"/>
  <c r="P29" i="13"/>
  <c r="O29" i="13"/>
  <c r="N29" i="13"/>
  <c r="M29" i="13"/>
  <c r="I29" i="13"/>
  <c r="H29" i="13"/>
  <c r="G29" i="13"/>
  <c r="F29" i="13"/>
  <c r="E29" i="13"/>
  <c r="D29" i="13"/>
  <c r="C29" i="13"/>
  <c r="B29" i="13"/>
  <c r="AH24" i="13"/>
  <c r="AC24" i="13"/>
  <c r="V24" i="13"/>
  <c r="U24" i="13"/>
  <c r="T24" i="13"/>
  <c r="S24" i="13"/>
  <c r="R24" i="13"/>
  <c r="Q24" i="13"/>
  <c r="P24" i="13"/>
  <c r="O24" i="13"/>
  <c r="N24" i="13"/>
  <c r="M24" i="13"/>
  <c r="W24" i="13" s="1"/>
  <c r="I24" i="13"/>
  <c r="H24" i="13"/>
  <c r="G24" i="13"/>
  <c r="F24" i="13"/>
  <c r="E24" i="13"/>
  <c r="D24" i="13"/>
  <c r="C24" i="13"/>
  <c r="B24" i="13"/>
  <c r="AH19" i="13"/>
  <c r="AC19" i="13"/>
  <c r="V19" i="13"/>
  <c r="U19" i="13"/>
  <c r="T19" i="13"/>
  <c r="S19" i="13"/>
  <c r="R19" i="13"/>
  <c r="Q19" i="13"/>
  <c r="P19" i="13"/>
  <c r="N19" i="13"/>
  <c r="W19" i="13" s="1"/>
  <c r="M19" i="13"/>
  <c r="I19" i="13"/>
  <c r="H19" i="13"/>
  <c r="G19" i="13"/>
  <c r="F19" i="13"/>
  <c r="E19" i="13"/>
  <c r="D19" i="13"/>
  <c r="C19" i="13"/>
  <c r="B19" i="13"/>
  <c r="J19" i="13" s="1"/>
  <c r="AH14" i="13"/>
  <c r="AC14" i="13"/>
  <c r="V14" i="13"/>
  <c r="U14" i="13"/>
  <c r="T14" i="13"/>
  <c r="S14" i="13"/>
  <c r="R14" i="13"/>
  <c r="Q14" i="13"/>
  <c r="P14" i="13"/>
  <c r="O14" i="13"/>
  <c r="N14" i="13"/>
  <c r="W14" i="13" s="1"/>
  <c r="X14" i="13" s="1"/>
  <c r="M14" i="13"/>
  <c r="I14" i="13"/>
  <c r="H14" i="13"/>
  <c r="G14" i="13"/>
  <c r="F14" i="13"/>
  <c r="E14" i="13"/>
  <c r="D14" i="13"/>
  <c r="C14" i="13"/>
  <c r="B14" i="13"/>
  <c r="J14" i="13" s="1"/>
  <c r="AH9" i="13"/>
  <c r="AC9" i="13"/>
  <c r="V9" i="13"/>
  <c r="U9" i="13"/>
  <c r="T9" i="13"/>
  <c r="S9" i="13"/>
  <c r="R9" i="13"/>
  <c r="Q9" i="13"/>
  <c r="P9" i="13"/>
  <c r="O9" i="13"/>
  <c r="N9" i="13"/>
  <c r="M9" i="13"/>
  <c r="I9" i="13"/>
  <c r="H9" i="13"/>
  <c r="G9" i="13"/>
  <c r="F9" i="13"/>
  <c r="E9" i="13"/>
  <c r="D9" i="13"/>
  <c r="J9" i="13" s="1"/>
  <c r="C9" i="13"/>
  <c r="B9" i="13"/>
  <c r="AH4" i="13"/>
  <c r="AC4" i="13"/>
  <c r="AC136" i="13" s="1"/>
  <c r="V4" i="13"/>
  <c r="U4" i="13"/>
  <c r="T4" i="13"/>
  <c r="S4" i="13"/>
  <c r="R4" i="13"/>
  <c r="Q4" i="13"/>
  <c r="P4" i="13"/>
  <c r="O4" i="13"/>
  <c r="N4" i="13"/>
  <c r="M4" i="13"/>
  <c r="I4" i="13"/>
  <c r="H4" i="13"/>
  <c r="G4" i="13"/>
  <c r="F4" i="13"/>
  <c r="E4" i="13"/>
  <c r="D4" i="13"/>
  <c r="C4" i="13"/>
  <c r="B4" i="13"/>
  <c r="AD154" i="12"/>
  <c r="AC154" i="12"/>
  <c r="AE136" i="12"/>
  <c r="AB136" i="12"/>
  <c r="Z136" i="12"/>
  <c r="Y136" i="12"/>
  <c r="AH130" i="12"/>
  <c r="AC130" i="12"/>
  <c r="V130" i="12"/>
  <c r="U130" i="12"/>
  <c r="T130" i="12"/>
  <c r="S130" i="12"/>
  <c r="R130" i="12"/>
  <c r="Q130" i="12"/>
  <c r="P130" i="12"/>
  <c r="O130" i="12"/>
  <c r="N130" i="12"/>
  <c r="M130" i="12"/>
  <c r="I130" i="12"/>
  <c r="H130" i="12"/>
  <c r="G130" i="12"/>
  <c r="F130" i="12"/>
  <c r="E130" i="12"/>
  <c r="D130" i="12"/>
  <c r="C130" i="12"/>
  <c r="B130" i="12"/>
  <c r="J130" i="12" s="1"/>
  <c r="AH125" i="12"/>
  <c r="AC125" i="12"/>
  <c r="V125" i="12"/>
  <c r="U125" i="12"/>
  <c r="T125" i="12"/>
  <c r="S125" i="12"/>
  <c r="R125" i="12"/>
  <c r="Q125" i="12"/>
  <c r="P125" i="12"/>
  <c r="O125" i="12"/>
  <c r="N125" i="12"/>
  <c r="W125" i="12" s="1"/>
  <c r="X125" i="12" s="1"/>
  <c r="M125" i="12"/>
  <c r="I125" i="12"/>
  <c r="H125" i="12"/>
  <c r="G125" i="12"/>
  <c r="F125" i="12"/>
  <c r="E125" i="12"/>
  <c r="D125" i="12"/>
  <c r="C125" i="12"/>
  <c r="B125" i="12"/>
  <c r="J125" i="12" s="1"/>
  <c r="AH120" i="12"/>
  <c r="AC120" i="12"/>
  <c r="V120" i="12"/>
  <c r="U120" i="12"/>
  <c r="T120" i="12"/>
  <c r="S120" i="12"/>
  <c r="R120" i="12"/>
  <c r="Q120" i="12"/>
  <c r="P120" i="12"/>
  <c r="O120" i="12"/>
  <c r="N120" i="12"/>
  <c r="M120" i="12"/>
  <c r="I120" i="12"/>
  <c r="H120" i="12"/>
  <c r="G120" i="12"/>
  <c r="F120" i="12"/>
  <c r="E120" i="12"/>
  <c r="D120" i="12"/>
  <c r="J120" i="12" s="1"/>
  <c r="C120" i="12"/>
  <c r="B120" i="12"/>
  <c r="AH115" i="12"/>
  <c r="AC115" i="12"/>
  <c r="V115" i="12"/>
  <c r="U115" i="12"/>
  <c r="T115" i="12"/>
  <c r="S115" i="12"/>
  <c r="R115" i="12"/>
  <c r="Q115" i="12"/>
  <c r="P115" i="12"/>
  <c r="O115" i="12"/>
  <c r="N115" i="12"/>
  <c r="M115" i="12"/>
  <c r="I115" i="12"/>
  <c r="H115" i="12"/>
  <c r="G115" i="12"/>
  <c r="F115" i="12"/>
  <c r="E115" i="12"/>
  <c r="D115" i="12"/>
  <c r="C115" i="12"/>
  <c r="B115" i="12"/>
  <c r="AH110" i="12"/>
  <c r="AC110" i="12"/>
  <c r="V110" i="12"/>
  <c r="U110" i="12"/>
  <c r="T110" i="12"/>
  <c r="S110" i="12"/>
  <c r="R110" i="12"/>
  <c r="Q110" i="12"/>
  <c r="P110" i="12"/>
  <c r="O110" i="12"/>
  <c r="N110" i="12"/>
  <c r="M110" i="12"/>
  <c r="I110" i="12"/>
  <c r="H110" i="12"/>
  <c r="G110" i="12"/>
  <c r="F110" i="12"/>
  <c r="E110" i="12"/>
  <c r="D110" i="12"/>
  <c r="C110" i="12"/>
  <c r="B110" i="12"/>
  <c r="J110" i="12" s="1"/>
  <c r="AH105" i="12"/>
  <c r="AC105" i="12"/>
  <c r="V105" i="12"/>
  <c r="U105" i="12"/>
  <c r="T105" i="12"/>
  <c r="S105" i="12"/>
  <c r="R105" i="12"/>
  <c r="Q105" i="12"/>
  <c r="P105" i="12"/>
  <c r="O105" i="12"/>
  <c r="N105" i="12"/>
  <c r="W105" i="12" s="1"/>
  <c r="M105" i="12"/>
  <c r="I105" i="12"/>
  <c r="H105" i="12"/>
  <c r="G105" i="12"/>
  <c r="F105" i="12"/>
  <c r="E105" i="12"/>
  <c r="D105" i="12"/>
  <c r="J105" i="12" s="1"/>
  <c r="C105" i="12"/>
  <c r="B105" i="12"/>
  <c r="AH100" i="12"/>
  <c r="AC100" i="12"/>
  <c r="V100" i="12"/>
  <c r="U100" i="12"/>
  <c r="T100" i="12"/>
  <c r="S100" i="12"/>
  <c r="R100" i="12"/>
  <c r="Q100" i="12"/>
  <c r="P100" i="12"/>
  <c r="O100" i="12"/>
  <c r="N100" i="12"/>
  <c r="M100" i="12"/>
  <c r="I100" i="12"/>
  <c r="H100" i="12"/>
  <c r="G100" i="12"/>
  <c r="F100" i="12"/>
  <c r="E100" i="12"/>
  <c r="D100" i="12"/>
  <c r="C100" i="12"/>
  <c r="B100" i="12"/>
  <c r="J100" i="12" s="1"/>
  <c r="AH95" i="12"/>
  <c r="AC95" i="12"/>
  <c r="V95" i="12"/>
  <c r="U95" i="12"/>
  <c r="T95" i="12"/>
  <c r="S95" i="12"/>
  <c r="R95" i="12"/>
  <c r="Q95" i="12"/>
  <c r="P95" i="12"/>
  <c r="O95" i="12"/>
  <c r="N95" i="12"/>
  <c r="W95" i="12" s="1"/>
  <c r="X95" i="12" s="1"/>
  <c r="M95" i="12"/>
  <c r="I95" i="12"/>
  <c r="H95" i="12"/>
  <c r="G95" i="12"/>
  <c r="F95" i="12"/>
  <c r="E95" i="12"/>
  <c r="D95" i="12"/>
  <c r="C95" i="12"/>
  <c r="B95" i="12"/>
  <c r="J95" i="12" s="1"/>
  <c r="AH90" i="12"/>
  <c r="AC90" i="12"/>
  <c r="V90" i="12"/>
  <c r="U90" i="12"/>
  <c r="T90" i="12"/>
  <c r="S90" i="12"/>
  <c r="R90" i="12"/>
  <c r="Q90" i="12"/>
  <c r="P90" i="12"/>
  <c r="O90" i="12"/>
  <c r="N90" i="12"/>
  <c r="M90" i="12"/>
  <c r="I90" i="12"/>
  <c r="H90" i="12"/>
  <c r="G90" i="12"/>
  <c r="F90" i="12"/>
  <c r="E90" i="12"/>
  <c r="D90" i="12"/>
  <c r="J90" i="12" s="1"/>
  <c r="C90" i="12"/>
  <c r="B90" i="12"/>
  <c r="AH85" i="12"/>
  <c r="AC85" i="12"/>
  <c r="V85" i="12"/>
  <c r="U85" i="12"/>
  <c r="T85" i="12"/>
  <c r="S85" i="12"/>
  <c r="R85" i="12"/>
  <c r="Q85" i="12"/>
  <c r="P85" i="12"/>
  <c r="N85" i="12"/>
  <c r="M85" i="12"/>
  <c r="W85" i="12" s="1"/>
  <c r="I85" i="12"/>
  <c r="H85" i="12"/>
  <c r="G85" i="12"/>
  <c r="F85" i="12"/>
  <c r="E85" i="12"/>
  <c r="D85" i="12"/>
  <c r="J85" i="12" s="1"/>
  <c r="C85" i="12"/>
  <c r="B85" i="12"/>
  <c r="AH80" i="12"/>
  <c r="AC80" i="12"/>
  <c r="V80" i="12"/>
  <c r="U80" i="12"/>
  <c r="T80" i="12"/>
  <c r="S80" i="12"/>
  <c r="R80" i="12"/>
  <c r="Q80" i="12"/>
  <c r="P80" i="12"/>
  <c r="O80" i="12"/>
  <c r="W80" i="12" s="1"/>
  <c r="N80" i="12"/>
  <c r="M80" i="12"/>
  <c r="I80" i="12"/>
  <c r="H80" i="12"/>
  <c r="G80" i="12"/>
  <c r="F80" i="12"/>
  <c r="E80" i="12"/>
  <c r="D80" i="12"/>
  <c r="C80" i="12"/>
  <c r="B80" i="12"/>
  <c r="AH75" i="12"/>
  <c r="AC75" i="12"/>
  <c r="V75" i="12"/>
  <c r="U75" i="12"/>
  <c r="T75" i="12"/>
  <c r="S75" i="12"/>
  <c r="R75" i="12"/>
  <c r="Q75" i="12"/>
  <c r="W75" i="12" s="1"/>
  <c r="P75" i="12"/>
  <c r="O75" i="12"/>
  <c r="N75" i="12"/>
  <c r="M75" i="12"/>
  <c r="I75" i="12"/>
  <c r="H75" i="12"/>
  <c r="G75" i="12"/>
  <c r="F75" i="12"/>
  <c r="E75" i="12"/>
  <c r="D75" i="12"/>
  <c r="C75" i="12"/>
  <c r="B75" i="12"/>
  <c r="AH70" i="12"/>
  <c r="AC70" i="12"/>
  <c r="V70" i="12"/>
  <c r="U70" i="12"/>
  <c r="T70" i="12"/>
  <c r="S70" i="12"/>
  <c r="R70" i="12"/>
  <c r="Q70" i="12"/>
  <c r="P70" i="12"/>
  <c r="O70" i="12"/>
  <c r="N70" i="12"/>
  <c r="M70" i="12"/>
  <c r="W70" i="12" s="1"/>
  <c r="I70" i="12"/>
  <c r="H70" i="12"/>
  <c r="G70" i="12"/>
  <c r="F70" i="12"/>
  <c r="E70" i="12"/>
  <c r="D70" i="12"/>
  <c r="C70" i="12"/>
  <c r="B70" i="12"/>
  <c r="AH65" i="12"/>
  <c r="AC65" i="12"/>
  <c r="V65" i="12"/>
  <c r="U65" i="12"/>
  <c r="T65" i="12"/>
  <c r="S65" i="12"/>
  <c r="R65" i="12"/>
  <c r="Q65" i="12"/>
  <c r="P65" i="12"/>
  <c r="O65" i="12"/>
  <c r="W65" i="12" s="1"/>
  <c r="N65" i="12"/>
  <c r="M65" i="12"/>
  <c r="I65" i="12"/>
  <c r="H65" i="12"/>
  <c r="G65" i="12"/>
  <c r="F65" i="12"/>
  <c r="E65" i="12"/>
  <c r="D65" i="12"/>
  <c r="C65" i="12"/>
  <c r="B65" i="12"/>
  <c r="J65" i="12" s="1"/>
  <c r="AH60" i="12"/>
  <c r="AC60" i="12"/>
  <c r="V60" i="12"/>
  <c r="U60" i="12"/>
  <c r="T60" i="12"/>
  <c r="S60" i="12"/>
  <c r="R60" i="12"/>
  <c r="Q60" i="12"/>
  <c r="W60" i="12" s="1"/>
  <c r="X60" i="12" s="1"/>
  <c r="P60" i="12"/>
  <c r="O60" i="12"/>
  <c r="N60" i="12"/>
  <c r="M60" i="12"/>
  <c r="I60" i="12"/>
  <c r="H60" i="12"/>
  <c r="G60" i="12"/>
  <c r="F60" i="12"/>
  <c r="E60" i="12"/>
  <c r="D60" i="12"/>
  <c r="C60" i="12"/>
  <c r="B60" i="12"/>
  <c r="J60" i="12" s="1"/>
  <c r="AH55" i="12"/>
  <c r="AC55" i="12"/>
  <c r="V55" i="12"/>
  <c r="U55" i="12"/>
  <c r="T55" i="12"/>
  <c r="S55" i="12"/>
  <c r="R55" i="12"/>
  <c r="Q55" i="12"/>
  <c r="P55" i="12"/>
  <c r="O55" i="12"/>
  <c r="N55" i="12"/>
  <c r="M55" i="12"/>
  <c r="W55" i="12" s="1"/>
  <c r="I55" i="12"/>
  <c r="H55" i="12"/>
  <c r="G55" i="12"/>
  <c r="F55" i="12"/>
  <c r="E55" i="12"/>
  <c r="D55" i="12"/>
  <c r="J55" i="12" s="1"/>
  <c r="C55" i="12"/>
  <c r="B55" i="12"/>
  <c r="AH50" i="12"/>
  <c r="AC50" i="12"/>
  <c r="V50" i="12"/>
  <c r="U50" i="12"/>
  <c r="T50" i="12"/>
  <c r="S50" i="12"/>
  <c r="R50" i="12"/>
  <c r="Q50" i="12"/>
  <c r="P50" i="12"/>
  <c r="O50" i="12"/>
  <c r="W50" i="12" s="1"/>
  <c r="N50" i="12"/>
  <c r="M50" i="12"/>
  <c r="I50" i="12"/>
  <c r="H50" i="12"/>
  <c r="G50" i="12"/>
  <c r="F50" i="12"/>
  <c r="E50" i="12"/>
  <c r="D50" i="12"/>
  <c r="C50" i="12"/>
  <c r="B50" i="12"/>
  <c r="AH45" i="12"/>
  <c r="AC45" i="12"/>
  <c r="V45" i="12"/>
  <c r="U45" i="12"/>
  <c r="T45" i="12"/>
  <c r="S45" i="12"/>
  <c r="R45" i="12"/>
  <c r="Q45" i="12"/>
  <c r="W45" i="12" s="1"/>
  <c r="P45" i="12"/>
  <c r="O45" i="12"/>
  <c r="N45" i="12"/>
  <c r="M45" i="12"/>
  <c r="I45" i="12"/>
  <c r="H45" i="12"/>
  <c r="G45" i="12"/>
  <c r="F45" i="12"/>
  <c r="E45" i="12"/>
  <c r="D45" i="12"/>
  <c r="C45" i="12"/>
  <c r="B45" i="12"/>
  <c r="AH40" i="12"/>
  <c r="AC40" i="12"/>
  <c r="V40" i="12"/>
  <c r="U40" i="12"/>
  <c r="T40" i="12"/>
  <c r="S40" i="12"/>
  <c r="R40" i="12"/>
  <c r="Q40" i="12"/>
  <c r="P40" i="12"/>
  <c r="O40" i="12"/>
  <c r="N40" i="12"/>
  <c r="M40" i="12"/>
  <c r="I40" i="12"/>
  <c r="H40" i="12"/>
  <c r="G40" i="12"/>
  <c r="F40" i="12"/>
  <c r="E40" i="12"/>
  <c r="D40" i="12"/>
  <c r="C40" i="12"/>
  <c r="B40" i="12"/>
  <c r="AH35" i="12"/>
  <c r="AC35" i="12"/>
  <c r="V35" i="12"/>
  <c r="U35" i="12"/>
  <c r="T35" i="12"/>
  <c r="S35" i="12"/>
  <c r="R35" i="12"/>
  <c r="Q35" i="12"/>
  <c r="P35" i="12"/>
  <c r="O35" i="12"/>
  <c r="W35" i="12" s="1"/>
  <c r="N35" i="12"/>
  <c r="M35" i="12"/>
  <c r="I35" i="12"/>
  <c r="H35" i="12"/>
  <c r="G35" i="12"/>
  <c r="F35" i="12"/>
  <c r="E35" i="12"/>
  <c r="D35" i="12"/>
  <c r="C35" i="12"/>
  <c r="B35" i="12"/>
  <c r="AH30" i="12"/>
  <c r="AC30" i="12"/>
  <c r="V30" i="12"/>
  <c r="U30" i="12"/>
  <c r="T30" i="12"/>
  <c r="S30" i="12"/>
  <c r="R30" i="12"/>
  <c r="Q30" i="12"/>
  <c r="W30" i="12" s="1"/>
  <c r="P30" i="12"/>
  <c r="O30" i="12"/>
  <c r="N30" i="12"/>
  <c r="M30" i="12"/>
  <c r="I30" i="12"/>
  <c r="H30" i="12"/>
  <c r="G30" i="12"/>
  <c r="F30" i="12"/>
  <c r="E30" i="12"/>
  <c r="D30" i="12"/>
  <c r="C30" i="12"/>
  <c r="B30" i="12"/>
  <c r="AH25" i="12"/>
  <c r="AC25" i="12"/>
  <c r="V25" i="12"/>
  <c r="U25" i="12"/>
  <c r="T25" i="12"/>
  <c r="S25" i="12"/>
  <c r="R25" i="12"/>
  <c r="Q25" i="12"/>
  <c r="P25" i="12"/>
  <c r="O25" i="12"/>
  <c r="N25" i="12"/>
  <c r="M25" i="12"/>
  <c r="I25" i="12"/>
  <c r="H25" i="12"/>
  <c r="G25" i="12"/>
  <c r="F25" i="12"/>
  <c r="E25" i="12"/>
  <c r="D25" i="12"/>
  <c r="C25" i="12"/>
  <c r="B25" i="12"/>
  <c r="AH20" i="12"/>
  <c r="AC20" i="12"/>
  <c r="V20" i="12"/>
  <c r="U20" i="12"/>
  <c r="T20" i="12"/>
  <c r="S20" i="12"/>
  <c r="R20" i="12"/>
  <c r="Q20" i="12"/>
  <c r="P20" i="12"/>
  <c r="O20" i="12"/>
  <c r="W20" i="12" s="1"/>
  <c r="N20" i="12"/>
  <c r="M20" i="12"/>
  <c r="I20" i="12"/>
  <c r="H20" i="12"/>
  <c r="G20" i="12"/>
  <c r="F20" i="12"/>
  <c r="E20" i="12"/>
  <c r="D20" i="12"/>
  <c r="C20" i="12"/>
  <c r="B20" i="12"/>
  <c r="AH15" i="12"/>
  <c r="AC15" i="12"/>
  <c r="V15" i="12"/>
  <c r="U15" i="12"/>
  <c r="T15" i="12"/>
  <c r="S15" i="12"/>
  <c r="R15" i="12"/>
  <c r="Q15" i="12"/>
  <c r="W15" i="12" s="1"/>
  <c r="P15" i="12"/>
  <c r="O15" i="12"/>
  <c r="N15" i="12"/>
  <c r="M15" i="12"/>
  <c r="I15" i="12"/>
  <c r="H15" i="12"/>
  <c r="G15" i="12"/>
  <c r="F15" i="12"/>
  <c r="E15" i="12"/>
  <c r="D15" i="12"/>
  <c r="C15" i="12"/>
  <c r="B15" i="12"/>
  <c r="AH10" i="12"/>
  <c r="AC10" i="12"/>
  <c r="V10" i="12"/>
  <c r="U10" i="12"/>
  <c r="T10" i="12"/>
  <c r="S10" i="12"/>
  <c r="R10" i="12"/>
  <c r="Q10" i="12"/>
  <c r="P10" i="12"/>
  <c r="O10" i="12"/>
  <c r="N10" i="12"/>
  <c r="M10" i="12"/>
  <c r="I10" i="12"/>
  <c r="H10" i="12"/>
  <c r="G10" i="12"/>
  <c r="F10" i="12"/>
  <c r="E10" i="12"/>
  <c r="D10" i="12"/>
  <c r="C10" i="12"/>
  <c r="B10" i="12"/>
  <c r="AH5" i="12"/>
  <c r="AC5" i="12"/>
  <c r="V5" i="12"/>
  <c r="U5" i="12"/>
  <c r="T5" i="12"/>
  <c r="S5" i="12"/>
  <c r="R5" i="12"/>
  <c r="Q5" i="12"/>
  <c r="P5" i="12"/>
  <c r="O5" i="12"/>
  <c r="W5" i="12" s="1"/>
  <c r="N5" i="12"/>
  <c r="M5" i="12"/>
  <c r="I5" i="12"/>
  <c r="H5" i="12"/>
  <c r="G5" i="12"/>
  <c r="F5" i="12"/>
  <c r="E5" i="12"/>
  <c r="D5" i="12"/>
  <c r="C5" i="12"/>
  <c r="B5" i="12"/>
  <c r="AD153" i="11"/>
  <c r="AC153" i="11"/>
  <c r="Y146" i="11"/>
  <c r="X146" i="11"/>
  <c r="AE136" i="11"/>
  <c r="AB136" i="11"/>
  <c r="Z136" i="11"/>
  <c r="Y136" i="11"/>
  <c r="AH131" i="11"/>
  <c r="AC131" i="11"/>
  <c r="V131" i="11"/>
  <c r="U131" i="11"/>
  <c r="T131" i="11"/>
  <c r="S131" i="11"/>
  <c r="R131" i="11"/>
  <c r="Q131" i="11"/>
  <c r="P131" i="11"/>
  <c r="O131" i="11"/>
  <c r="N131" i="11"/>
  <c r="W131" i="11" s="1"/>
  <c r="M131" i="11"/>
  <c r="I131" i="11"/>
  <c r="H131" i="11"/>
  <c r="G131" i="11"/>
  <c r="F131" i="11"/>
  <c r="E131" i="11"/>
  <c r="D131" i="11"/>
  <c r="C131" i="11"/>
  <c r="B131" i="11"/>
  <c r="J131" i="11" s="1"/>
  <c r="AH126" i="11"/>
  <c r="AC126" i="11"/>
  <c r="V126" i="11"/>
  <c r="U126" i="11"/>
  <c r="T126" i="11"/>
  <c r="S126" i="11"/>
  <c r="R126" i="11"/>
  <c r="Q126" i="11"/>
  <c r="P126" i="11"/>
  <c r="O126" i="11"/>
  <c r="N126" i="11"/>
  <c r="M126" i="11"/>
  <c r="I126" i="11"/>
  <c r="H126" i="11"/>
  <c r="G126" i="11"/>
  <c r="F126" i="11"/>
  <c r="E126" i="11"/>
  <c r="D126" i="11"/>
  <c r="C126" i="11"/>
  <c r="B126" i="11"/>
  <c r="J126" i="11" s="1"/>
  <c r="AH121" i="11"/>
  <c r="AC121" i="11"/>
  <c r="V121" i="11"/>
  <c r="U121" i="11"/>
  <c r="T121" i="11"/>
  <c r="S121" i="11"/>
  <c r="R121" i="11"/>
  <c r="Q121" i="11"/>
  <c r="P121" i="11"/>
  <c r="O121" i="11"/>
  <c r="N121" i="11"/>
  <c r="M121" i="11"/>
  <c r="I121" i="11"/>
  <c r="H121" i="11"/>
  <c r="G121" i="11"/>
  <c r="F121" i="11"/>
  <c r="E121" i="11"/>
  <c r="D121" i="11"/>
  <c r="C121" i="11"/>
  <c r="B121" i="11"/>
  <c r="J121" i="11" s="1"/>
  <c r="AH116" i="11"/>
  <c r="AC116" i="11"/>
  <c r="V116" i="11"/>
  <c r="U116" i="11"/>
  <c r="T116" i="11"/>
  <c r="S116" i="11"/>
  <c r="R116" i="11"/>
  <c r="Q116" i="11"/>
  <c r="W116" i="11" s="1"/>
  <c r="X116" i="11" s="1"/>
  <c r="P116" i="11"/>
  <c r="O116" i="11"/>
  <c r="N116" i="11"/>
  <c r="M116" i="11"/>
  <c r="I116" i="11"/>
  <c r="H116" i="11"/>
  <c r="G116" i="11"/>
  <c r="F116" i="11"/>
  <c r="E116" i="11"/>
  <c r="D116" i="11"/>
  <c r="C116" i="11"/>
  <c r="B116" i="11"/>
  <c r="J116" i="11" s="1"/>
  <c r="AH111" i="11"/>
  <c r="AC111" i="11"/>
  <c r="V111" i="11"/>
  <c r="U111" i="11"/>
  <c r="T111" i="11"/>
  <c r="S111" i="11"/>
  <c r="R111" i="11"/>
  <c r="Q111" i="11"/>
  <c r="P111" i="11"/>
  <c r="O111" i="11"/>
  <c r="N111" i="11"/>
  <c r="M111" i="11"/>
  <c r="I111" i="11"/>
  <c r="H111" i="11"/>
  <c r="G111" i="11"/>
  <c r="F111" i="11"/>
  <c r="E111" i="11"/>
  <c r="D111" i="11"/>
  <c r="J111" i="11" s="1"/>
  <c r="C111" i="11"/>
  <c r="B111" i="11"/>
  <c r="AH106" i="11"/>
  <c r="AC106" i="11"/>
  <c r="V106" i="11"/>
  <c r="U106" i="11"/>
  <c r="T106" i="11"/>
  <c r="S106" i="11"/>
  <c r="R106" i="11"/>
  <c r="Q106" i="11"/>
  <c r="P106" i="11"/>
  <c r="O106" i="11"/>
  <c r="N106" i="11"/>
  <c r="M106" i="11"/>
  <c r="W106" i="11" s="1"/>
  <c r="I106" i="11"/>
  <c r="H106" i="11"/>
  <c r="G106" i="11"/>
  <c r="F106" i="11"/>
  <c r="E106" i="11"/>
  <c r="D106" i="11"/>
  <c r="C106" i="11"/>
  <c r="B106" i="11"/>
  <c r="AH101" i="11"/>
  <c r="AC101" i="11"/>
  <c r="V101" i="11"/>
  <c r="U101" i="11"/>
  <c r="T101" i="11"/>
  <c r="S101" i="11"/>
  <c r="R101" i="11"/>
  <c r="Q101" i="11"/>
  <c r="P101" i="11"/>
  <c r="O101" i="11"/>
  <c r="N101" i="11"/>
  <c r="M101" i="11"/>
  <c r="W101" i="11" s="1"/>
  <c r="X101" i="11" s="1"/>
  <c r="I101" i="11"/>
  <c r="H101" i="11"/>
  <c r="G101" i="11"/>
  <c r="F101" i="11"/>
  <c r="E101" i="11"/>
  <c r="D101" i="11"/>
  <c r="C101" i="11"/>
  <c r="B101" i="11"/>
  <c r="J101" i="11" s="1"/>
  <c r="AH96" i="11"/>
  <c r="AC96" i="11"/>
  <c r="V96" i="11"/>
  <c r="U96" i="11"/>
  <c r="T96" i="11"/>
  <c r="S96" i="11"/>
  <c r="R96" i="11"/>
  <c r="Q96" i="11"/>
  <c r="W96" i="11" s="1"/>
  <c r="X96" i="11" s="1"/>
  <c r="P96" i="11"/>
  <c r="O96" i="11"/>
  <c r="N96" i="11"/>
  <c r="M96" i="11"/>
  <c r="I96" i="11"/>
  <c r="H96" i="11"/>
  <c r="G96" i="11"/>
  <c r="F96" i="11"/>
  <c r="E96" i="11"/>
  <c r="D96" i="11"/>
  <c r="C96" i="11"/>
  <c r="B96" i="11"/>
  <c r="J96" i="11" s="1"/>
  <c r="AH91" i="11"/>
  <c r="AC91" i="11"/>
  <c r="V91" i="11"/>
  <c r="U91" i="11"/>
  <c r="T91" i="11"/>
  <c r="S91" i="11"/>
  <c r="R91" i="11"/>
  <c r="Q91" i="11"/>
  <c r="P91" i="11"/>
  <c r="O91" i="11"/>
  <c r="N91" i="11"/>
  <c r="M91" i="11"/>
  <c r="W91" i="11" s="1"/>
  <c r="I91" i="11"/>
  <c r="H91" i="11"/>
  <c r="G91" i="11"/>
  <c r="F91" i="11"/>
  <c r="E91" i="11"/>
  <c r="D91" i="11"/>
  <c r="J91" i="11" s="1"/>
  <c r="C91" i="11"/>
  <c r="B91" i="11"/>
  <c r="AH86" i="11"/>
  <c r="AC86" i="11"/>
  <c r="V86" i="11"/>
  <c r="U86" i="11"/>
  <c r="T86" i="11"/>
  <c r="S86" i="11"/>
  <c r="R86" i="11"/>
  <c r="Q86" i="11"/>
  <c r="P86" i="11"/>
  <c r="O86" i="11"/>
  <c r="N86" i="11"/>
  <c r="M86" i="11"/>
  <c r="I86" i="11"/>
  <c r="H86" i="11"/>
  <c r="G86" i="11"/>
  <c r="F86" i="11"/>
  <c r="E86" i="11"/>
  <c r="D86" i="11"/>
  <c r="C86" i="11"/>
  <c r="B86" i="11"/>
  <c r="AH81" i="11"/>
  <c r="AC81" i="11"/>
  <c r="V81" i="11"/>
  <c r="U81" i="11"/>
  <c r="T81" i="11"/>
  <c r="S81" i="11"/>
  <c r="R81" i="11"/>
  <c r="Q81" i="11"/>
  <c r="W81" i="11" s="1"/>
  <c r="P81" i="11"/>
  <c r="O81" i="11"/>
  <c r="N81" i="11"/>
  <c r="M81" i="11"/>
  <c r="I81" i="11"/>
  <c r="H81" i="11"/>
  <c r="G81" i="11"/>
  <c r="F81" i="11"/>
  <c r="E81" i="11"/>
  <c r="D81" i="11"/>
  <c r="C81" i="11"/>
  <c r="B81" i="11"/>
  <c r="AH76" i="11"/>
  <c r="AC76" i="11"/>
  <c r="V76" i="11"/>
  <c r="U76" i="11"/>
  <c r="T76" i="11"/>
  <c r="S76" i="11"/>
  <c r="R76" i="11"/>
  <c r="Q76" i="11"/>
  <c r="P76" i="11"/>
  <c r="O76" i="11"/>
  <c r="N76" i="11"/>
  <c r="M76" i="11"/>
  <c r="W76" i="11" s="1"/>
  <c r="I76" i="11"/>
  <c r="H76" i="11"/>
  <c r="G76" i="11"/>
  <c r="F76" i="11"/>
  <c r="E76" i="11"/>
  <c r="D76" i="11"/>
  <c r="C76" i="11"/>
  <c r="B76" i="11"/>
  <c r="AH71" i="11"/>
  <c r="AC71" i="11"/>
  <c r="V71" i="11"/>
  <c r="U71" i="11"/>
  <c r="T71" i="11"/>
  <c r="S71" i="11"/>
  <c r="R71" i="11"/>
  <c r="Q71" i="11"/>
  <c r="P71" i="11"/>
  <c r="O71" i="11"/>
  <c r="N71" i="11"/>
  <c r="M71" i="11"/>
  <c r="W71" i="11" s="1"/>
  <c r="X71" i="11" s="1"/>
  <c r="I71" i="11"/>
  <c r="H71" i="11"/>
  <c r="G71" i="11"/>
  <c r="F71" i="11"/>
  <c r="E71" i="11"/>
  <c r="D71" i="11"/>
  <c r="C71" i="11"/>
  <c r="B71" i="11"/>
  <c r="J71" i="11" s="1"/>
  <c r="AH66" i="11"/>
  <c r="AC66" i="11"/>
  <c r="V66" i="11"/>
  <c r="U66" i="11"/>
  <c r="T66" i="11"/>
  <c r="S66" i="11"/>
  <c r="R66" i="11"/>
  <c r="Q66" i="11"/>
  <c r="W66" i="11" s="1"/>
  <c r="X66" i="11" s="1"/>
  <c r="P66" i="11"/>
  <c r="O66" i="11"/>
  <c r="N66" i="11"/>
  <c r="M66" i="11"/>
  <c r="I66" i="11"/>
  <c r="H66" i="11"/>
  <c r="G66" i="11"/>
  <c r="F66" i="11"/>
  <c r="E66" i="11"/>
  <c r="D66" i="11"/>
  <c r="C66" i="11"/>
  <c r="B66" i="11"/>
  <c r="J66" i="11" s="1"/>
  <c r="AH61" i="11"/>
  <c r="AC61" i="11"/>
  <c r="V61" i="11"/>
  <c r="U61" i="11"/>
  <c r="T61" i="11"/>
  <c r="S61" i="11"/>
  <c r="R61" i="11"/>
  <c r="Q61" i="11"/>
  <c r="P61" i="11"/>
  <c r="O61" i="11"/>
  <c r="N61" i="11"/>
  <c r="M61" i="11"/>
  <c r="W61" i="11" s="1"/>
  <c r="I61" i="11"/>
  <c r="H61" i="11"/>
  <c r="G61" i="11"/>
  <c r="F61" i="11"/>
  <c r="E61" i="11"/>
  <c r="D61" i="11"/>
  <c r="J61" i="11" s="1"/>
  <c r="C61" i="11"/>
  <c r="B61" i="11"/>
  <c r="AH56" i="11"/>
  <c r="AC56" i="11"/>
  <c r="V56" i="11"/>
  <c r="U56" i="11"/>
  <c r="T56" i="11"/>
  <c r="S56" i="11"/>
  <c r="R56" i="11"/>
  <c r="Q56" i="11"/>
  <c r="P56" i="11"/>
  <c r="O56" i="11"/>
  <c r="N56" i="11"/>
  <c r="M56" i="11"/>
  <c r="I56" i="11"/>
  <c r="H56" i="11"/>
  <c r="G56" i="11"/>
  <c r="F56" i="11"/>
  <c r="E56" i="11"/>
  <c r="D56" i="11"/>
  <c r="C56" i="11"/>
  <c r="B56" i="11"/>
  <c r="AH51" i="11"/>
  <c r="AC51" i="11"/>
  <c r="V51" i="11"/>
  <c r="U51" i="11"/>
  <c r="T51" i="11"/>
  <c r="S51" i="11"/>
  <c r="R51" i="11"/>
  <c r="Q51" i="11"/>
  <c r="W51" i="11" s="1"/>
  <c r="P51" i="11"/>
  <c r="O51" i="11"/>
  <c r="N51" i="11"/>
  <c r="M51" i="11"/>
  <c r="I51" i="11"/>
  <c r="H51" i="11"/>
  <c r="G51" i="11"/>
  <c r="F51" i="11"/>
  <c r="E51" i="11"/>
  <c r="D51" i="11"/>
  <c r="C51" i="11"/>
  <c r="B51" i="11"/>
  <c r="AH46" i="11"/>
  <c r="AC46" i="11"/>
  <c r="V46" i="11"/>
  <c r="U46" i="11"/>
  <c r="T46" i="11"/>
  <c r="S46" i="11"/>
  <c r="R46" i="11"/>
  <c r="Q46" i="11"/>
  <c r="P46" i="11"/>
  <c r="O46" i="11"/>
  <c r="N46" i="11"/>
  <c r="M46" i="11"/>
  <c r="W46" i="11" s="1"/>
  <c r="I46" i="11"/>
  <c r="H46" i="11"/>
  <c r="G46" i="11"/>
  <c r="F46" i="11"/>
  <c r="E46" i="11"/>
  <c r="D46" i="11"/>
  <c r="C46" i="11"/>
  <c r="B46" i="11"/>
  <c r="AH41" i="11"/>
  <c r="AC41" i="11"/>
  <c r="V41" i="11"/>
  <c r="U41" i="11"/>
  <c r="T41" i="11"/>
  <c r="S41" i="11"/>
  <c r="R41" i="11"/>
  <c r="Q41" i="11"/>
  <c r="P41" i="11"/>
  <c r="O41" i="11"/>
  <c r="N41" i="11"/>
  <c r="M41" i="11"/>
  <c r="W41" i="11" s="1"/>
  <c r="X41" i="11" s="1"/>
  <c r="I41" i="11"/>
  <c r="H41" i="11"/>
  <c r="G41" i="11"/>
  <c r="F41" i="11"/>
  <c r="E41" i="11"/>
  <c r="D41" i="11"/>
  <c r="C41" i="11"/>
  <c r="B41" i="11"/>
  <c r="J41" i="11" s="1"/>
  <c r="AH36" i="11"/>
  <c r="AC36" i="11"/>
  <c r="V36" i="11"/>
  <c r="U36" i="11"/>
  <c r="T36" i="11"/>
  <c r="S36" i="11"/>
  <c r="R36" i="11"/>
  <c r="Q36" i="11"/>
  <c r="W36" i="11" s="1"/>
  <c r="X36" i="11" s="1"/>
  <c r="P36" i="11"/>
  <c r="O36" i="11"/>
  <c r="N36" i="11"/>
  <c r="M36" i="11"/>
  <c r="I36" i="11"/>
  <c r="H36" i="11"/>
  <c r="G36" i="11"/>
  <c r="F36" i="11"/>
  <c r="E36" i="11"/>
  <c r="D36" i="11"/>
  <c r="C36" i="11"/>
  <c r="B36" i="11"/>
  <c r="J36" i="11" s="1"/>
  <c r="AH31" i="11"/>
  <c r="AC31" i="11"/>
  <c r="V31" i="11"/>
  <c r="U31" i="11"/>
  <c r="T31" i="11"/>
  <c r="S31" i="11"/>
  <c r="R31" i="11"/>
  <c r="Q31" i="11"/>
  <c r="P31" i="11"/>
  <c r="O31" i="11"/>
  <c r="N31" i="11"/>
  <c r="M31" i="11"/>
  <c r="W31" i="11" s="1"/>
  <c r="I31" i="11"/>
  <c r="H31" i="11"/>
  <c r="G31" i="11"/>
  <c r="F31" i="11"/>
  <c r="E31" i="11"/>
  <c r="D31" i="11"/>
  <c r="J31" i="11" s="1"/>
  <c r="C31" i="11"/>
  <c r="B31" i="11"/>
  <c r="AH26" i="11"/>
  <c r="AC26" i="11"/>
  <c r="V26" i="11"/>
  <c r="U26" i="11"/>
  <c r="T26" i="11"/>
  <c r="S26" i="11"/>
  <c r="R26" i="11"/>
  <c r="Q26" i="11"/>
  <c r="P26" i="11"/>
  <c r="O26" i="11"/>
  <c r="N26" i="11"/>
  <c r="M26" i="11"/>
  <c r="I26" i="11"/>
  <c r="H26" i="11"/>
  <c r="G26" i="11"/>
  <c r="F26" i="11"/>
  <c r="E26" i="11"/>
  <c r="D26" i="11"/>
  <c r="C26" i="11"/>
  <c r="B26" i="11"/>
  <c r="AH21" i="11"/>
  <c r="AC21" i="11"/>
  <c r="V21" i="11"/>
  <c r="U21" i="11"/>
  <c r="T21" i="11"/>
  <c r="S21" i="11"/>
  <c r="R21" i="11"/>
  <c r="Q21" i="11"/>
  <c r="W21" i="11" s="1"/>
  <c r="P21" i="11"/>
  <c r="O21" i="11"/>
  <c r="N21" i="11"/>
  <c r="M21" i="11"/>
  <c r="I21" i="11"/>
  <c r="H21" i="11"/>
  <c r="G21" i="11"/>
  <c r="F21" i="11"/>
  <c r="E21" i="11"/>
  <c r="D21" i="11"/>
  <c r="C21" i="11"/>
  <c r="B21" i="11"/>
  <c r="AH16" i="11"/>
  <c r="AC16" i="11"/>
  <c r="V16" i="11"/>
  <c r="U16" i="11"/>
  <c r="T16" i="11"/>
  <c r="S16" i="11"/>
  <c r="R16" i="11"/>
  <c r="Q16" i="11"/>
  <c r="P16" i="11"/>
  <c r="O16" i="11"/>
  <c r="N16" i="11"/>
  <c r="M16" i="11"/>
  <c r="W16" i="11" s="1"/>
  <c r="I16" i="11"/>
  <c r="H16" i="11"/>
  <c r="G16" i="11"/>
  <c r="F16" i="11"/>
  <c r="E16" i="11"/>
  <c r="D16" i="11"/>
  <c r="C16" i="11"/>
  <c r="B16" i="11"/>
  <c r="AH10" i="11"/>
  <c r="AC10" i="11"/>
  <c r="V10" i="11"/>
  <c r="U10" i="11"/>
  <c r="T10" i="11"/>
  <c r="S10" i="11"/>
  <c r="R10" i="11"/>
  <c r="Q10" i="11"/>
  <c r="P10" i="11"/>
  <c r="O10" i="11"/>
  <c r="N10" i="11"/>
  <c r="M10" i="11"/>
  <c r="W10" i="11" s="1"/>
  <c r="X10" i="11" s="1"/>
  <c r="I10" i="11"/>
  <c r="H10" i="11"/>
  <c r="G10" i="11"/>
  <c r="F10" i="11"/>
  <c r="E10" i="11"/>
  <c r="D10" i="11"/>
  <c r="C10" i="11"/>
  <c r="B10" i="11"/>
  <c r="J10" i="11" s="1"/>
  <c r="AH4" i="11"/>
  <c r="AC4" i="11"/>
  <c r="V4" i="11"/>
  <c r="U4" i="11"/>
  <c r="T4" i="11"/>
  <c r="S4" i="11"/>
  <c r="R4" i="11"/>
  <c r="Q4" i="11"/>
  <c r="W4" i="11" s="1"/>
  <c r="X4" i="11" s="1"/>
  <c r="P4" i="11"/>
  <c r="O4" i="11"/>
  <c r="N4" i="11"/>
  <c r="M4" i="11"/>
  <c r="I4" i="11"/>
  <c r="H4" i="11"/>
  <c r="G4" i="11"/>
  <c r="F4" i="11"/>
  <c r="E4" i="11"/>
  <c r="D4" i="11"/>
  <c r="C4" i="11"/>
  <c r="B4" i="11"/>
  <c r="J4" i="11" s="1"/>
  <c r="AH173" i="10"/>
  <c r="AE168" i="10"/>
  <c r="AB168" i="10"/>
  <c r="Y168" i="10"/>
  <c r="AH158" i="10"/>
  <c r="AC158" i="10"/>
  <c r="V158" i="10"/>
  <c r="U158" i="10"/>
  <c r="T158" i="10"/>
  <c r="S158" i="10"/>
  <c r="R158" i="10"/>
  <c r="Q158" i="10"/>
  <c r="P158" i="10"/>
  <c r="O158" i="10"/>
  <c r="N158" i="10"/>
  <c r="M158" i="10"/>
  <c r="W158" i="10" s="1"/>
  <c r="X158" i="10" s="1"/>
  <c r="I158" i="10"/>
  <c r="H158" i="10"/>
  <c r="G158" i="10"/>
  <c r="F158" i="10"/>
  <c r="E158" i="10"/>
  <c r="D158" i="10"/>
  <c r="C158" i="10"/>
  <c r="B158" i="10"/>
  <c r="J158" i="10" s="1"/>
  <c r="AH152" i="10"/>
  <c r="AC152" i="10"/>
  <c r="V152" i="10"/>
  <c r="U152" i="10"/>
  <c r="T152" i="10"/>
  <c r="S152" i="10"/>
  <c r="R152" i="10"/>
  <c r="Q152" i="10"/>
  <c r="W152" i="10" s="1"/>
  <c r="P152" i="10"/>
  <c r="O152" i="10"/>
  <c r="N152" i="10"/>
  <c r="M152" i="10"/>
  <c r="I152" i="10"/>
  <c r="H152" i="10"/>
  <c r="G152" i="10"/>
  <c r="F152" i="10"/>
  <c r="E152" i="10"/>
  <c r="D152" i="10"/>
  <c r="J152" i="10" s="1"/>
  <c r="C152" i="10"/>
  <c r="B152" i="10"/>
  <c r="AH146" i="10"/>
  <c r="AC146" i="10"/>
  <c r="V146" i="10"/>
  <c r="U146" i="10"/>
  <c r="T146" i="10"/>
  <c r="S146" i="10"/>
  <c r="R146" i="10"/>
  <c r="Q146" i="10"/>
  <c r="P146" i="10"/>
  <c r="O146" i="10"/>
  <c r="N146" i="10"/>
  <c r="M146" i="10"/>
  <c r="W146" i="10" s="1"/>
  <c r="I146" i="10"/>
  <c r="H146" i="10"/>
  <c r="G146" i="10"/>
  <c r="F146" i="10"/>
  <c r="E146" i="10"/>
  <c r="D146" i="10"/>
  <c r="J146" i="10" s="1"/>
  <c r="C146" i="10"/>
  <c r="B146" i="10"/>
  <c r="AH140" i="10"/>
  <c r="AC140" i="10"/>
  <c r="V140" i="10"/>
  <c r="U140" i="10"/>
  <c r="T140" i="10"/>
  <c r="S140" i="10"/>
  <c r="R140" i="10"/>
  <c r="Q140" i="10"/>
  <c r="P140" i="10"/>
  <c r="O140" i="10"/>
  <c r="N140" i="10"/>
  <c r="M140" i="10"/>
  <c r="I140" i="10"/>
  <c r="H140" i="10"/>
  <c r="G140" i="10"/>
  <c r="F140" i="10"/>
  <c r="E140" i="10"/>
  <c r="D140" i="10"/>
  <c r="C140" i="10"/>
  <c r="B140" i="10"/>
  <c r="J140" i="10" s="1"/>
  <c r="AH134" i="10"/>
  <c r="AC134" i="10"/>
  <c r="V134" i="10"/>
  <c r="U134" i="10"/>
  <c r="T134" i="10"/>
  <c r="S134" i="10"/>
  <c r="R134" i="10"/>
  <c r="Q134" i="10"/>
  <c r="P134" i="10"/>
  <c r="O134" i="10"/>
  <c r="N134" i="10"/>
  <c r="M134" i="10"/>
  <c r="I134" i="10"/>
  <c r="H134" i="10"/>
  <c r="G134" i="10"/>
  <c r="F134" i="10"/>
  <c r="E134" i="10"/>
  <c r="D134" i="10"/>
  <c r="J134" i="10" s="1"/>
  <c r="C134" i="10"/>
  <c r="B134" i="10"/>
  <c r="AH128" i="10"/>
  <c r="AC128" i="10"/>
  <c r="V128" i="10"/>
  <c r="U128" i="10"/>
  <c r="T128" i="10"/>
  <c r="S128" i="10"/>
  <c r="R128" i="10"/>
  <c r="Q128" i="10"/>
  <c r="P128" i="10"/>
  <c r="O128" i="10"/>
  <c r="N128" i="10"/>
  <c r="M128" i="10"/>
  <c r="I128" i="10"/>
  <c r="H128" i="10"/>
  <c r="G128" i="10"/>
  <c r="F128" i="10"/>
  <c r="E128" i="10"/>
  <c r="D128" i="10"/>
  <c r="C128" i="10"/>
  <c r="B128" i="10"/>
  <c r="AH122" i="10"/>
  <c r="AC122" i="10"/>
  <c r="V122" i="10"/>
  <c r="U122" i="10"/>
  <c r="T122" i="10"/>
  <c r="S122" i="10"/>
  <c r="R122" i="10"/>
  <c r="Q122" i="10"/>
  <c r="P122" i="10"/>
  <c r="O122" i="10"/>
  <c r="N122" i="10"/>
  <c r="M122" i="10"/>
  <c r="W122" i="10" s="1"/>
  <c r="X122" i="10" s="1"/>
  <c r="I122" i="10"/>
  <c r="H122" i="10"/>
  <c r="G122" i="10"/>
  <c r="F122" i="10"/>
  <c r="E122" i="10"/>
  <c r="D122" i="10"/>
  <c r="C122" i="10"/>
  <c r="B122" i="10"/>
  <c r="J122" i="10" s="1"/>
  <c r="AH116" i="10"/>
  <c r="AC116" i="10"/>
  <c r="V116" i="10"/>
  <c r="U116" i="10"/>
  <c r="T116" i="10"/>
  <c r="S116" i="10"/>
  <c r="R116" i="10"/>
  <c r="Q116" i="10"/>
  <c r="W116" i="10" s="1"/>
  <c r="P116" i="10"/>
  <c r="O116" i="10"/>
  <c r="N116" i="10"/>
  <c r="M116" i="10"/>
  <c r="I116" i="10"/>
  <c r="H116" i="10"/>
  <c r="G116" i="10"/>
  <c r="F116" i="10"/>
  <c r="E116" i="10"/>
  <c r="D116" i="10"/>
  <c r="J116" i="10" s="1"/>
  <c r="C116" i="10"/>
  <c r="B116" i="10"/>
  <c r="AH110" i="10"/>
  <c r="AC110" i="10"/>
  <c r="V110" i="10"/>
  <c r="U110" i="10"/>
  <c r="T110" i="10"/>
  <c r="S110" i="10"/>
  <c r="R110" i="10"/>
  <c r="Q110" i="10"/>
  <c r="P110" i="10"/>
  <c r="O110" i="10"/>
  <c r="N110" i="10"/>
  <c r="M110" i="10"/>
  <c r="W110" i="10" s="1"/>
  <c r="I110" i="10"/>
  <c r="H110" i="10"/>
  <c r="G110" i="10"/>
  <c r="F110" i="10"/>
  <c r="E110" i="10"/>
  <c r="D110" i="10"/>
  <c r="C110" i="10"/>
  <c r="J110" i="10" s="1"/>
  <c r="B110" i="10"/>
  <c r="AH104" i="10"/>
  <c r="AC104" i="10"/>
  <c r="V104" i="10"/>
  <c r="U104" i="10"/>
  <c r="T104" i="10"/>
  <c r="S104" i="10"/>
  <c r="R104" i="10"/>
  <c r="Q104" i="10"/>
  <c r="P104" i="10"/>
  <c r="O104" i="10"/>
  <c r="N104" i="10"/>
  <c r="M104" i="10"/>
  <c r="I104" i="10"/>
  <c r="H104" i="10"/>
  <c r="G104" i="10"/>
  <c r="F104" i="10"/>
  <c r="E104" i="10"/>
  <c r="D104" i="10"/>
  <c r="C104" i="10"/>
  <c r="B104" i="10"/>
  <c r="J104" i="10" s="1"/>
  <c r="AH98" i="10"/>
  <c r="AC98" i="10"/>
  <c r="V98" i="10"/>
  <c r="U98" i="10"/>
  <c r="T98" i="10"/>
  <c r="S98" i="10"/>
  <c r="R98" i="10"/>
  <c r="Q98" i="10"/>
  <c r="P98" i="10"/>
  <c r="O98" i="10"/>
  <c r="N98" i="10"/>
  <c r="M98" i="10"/>
  <c r="I98" i="10"/>
  <c r="H98" i="10"/>
  <c r="G98" i="10"/>
  <c r="F98" i="10"/>
  <c r="E98" i="10"/>
  <c r="D98" i="10"/>
  <c r="J98" i="10" s="1"/>
  <c r="C98" i="10"/>
  <c r="B98" i="10"/>
  <c r="AH92" i="10"/>
  <c r="AC92" i="10"/>
  <c r="V92" i="10"/>
  <c r="U92" i="10"/>
  <c r="T92" i="10"/>
  <c r="S92" i="10"/>
  <c r="R92" i="10"/>
  <c r="Q92" i="10"/>
  <c r="P92" i="10"/>
  <c r="O92" i="10"/>
  <c r="N92" i="10"/>
  <c r="M92" i="10"/>
  <c r="I92" i="10"/>
  <c r="H92" i="10"/>
  <c r="G92" i="10"/>
  <c r="F92" i="10"/>
  <c r="E92" i="10"/>
  <c r="D92" i="10"/>
  <c r="C92" i="10"/>
  <c r="B92" i="10"/>
  <c r="AH86" i="10"/>
  <c r="AC86" i="10"/>
  <c r="V86" i="10"/>
  <c r="U86" i="10"/>
  <c r="T86" i="10"/>
  <c r="S86" i="10"/>
  <c r="R86" i="10"/>
  <c r="Q86" i="10"/>
  <c r="P86" i="10"/>
  <c r="O86" i="10"/>
  <c r="N86" i="10"/>
  <c r="M86" i="10"/>
  <c r="W86" i="10" s="1"/>
  <c r="X86" i="10" s="1"/>
  <c r="I86" i="10"/>
  <c r="H86" i="10"/>
  <c r="G86" i="10"/>
  <c r="F86" i="10"/>
  <c r="E86" i="10"/>
  <c r="D86" i="10"/>
  <c r="C86" i="10"/>
  <c r="B86" i="10"/>
  <c r="J86" i="10" s="1"/>
  <c r="AH80" i="10"/>
  <c r="AC80" i="10"/>
  <c r="V80" i="10"/>
  <c r="U80" i="10"/>
  <c r="T80" i="10"/>
  <c r="S80" i="10"/>
  <c r="R80" i="10"/>
  <c r="Q80" i="10"/>
  <c r="W80" i="10" s="1"/>
  <c r="X80" i="10" s="1"/>
  <c r="P80" i="10"/>
  <c r="O80" i="10"/>
  <c r="N80" i="10"/>
  <c r="M80" i="10"/>
  <c r="I80" i="10"/>
  <c r="H80" i="10"/>
  <c r="G80" i="10"/>
  <c r="F80" i="10"/>
  <c r="E80" i="10"/>
  <c r="D80" i="10"/>
  <c r="J80" i="10" s="1"/>
  <c r="C80" i="10"/>
  <c r="B80" i="10"/>
  <c r="AH74" i="10"/>
  <c r="AC74" i="10"/>
  <c r="V74" i="10"/>
  <c r="U74" i="10"/>
  <c r="T74" i="10"/>
  <c r="S74" i="10"/>
  <c r="R74" i="10"/>
  <c r="Q74" i="10"/>
  <c r="P74" i="10"/>
  <c r="O74" i="10"/>
  <c r="N74" i="10"/>
  <c r="M74" i="10"/>
  <c r="W74" i="10" s="1"/>
  <c r="I74" i="10"/>
  <c r="H74" i="10"/>
  <c r="G74" i="10"/>
  <c r="F74" i="10"/>
  <c r="E74" i="10"/>
  <c r="D74" i="10"/>
  <c r="C74" i="10"/>
  <c r="J74" i="10" s="1"/>
  <c r="B74" i="10"/>
  <c r="AH68" i="10"/>
  <c r="AC68" i="10"/>
  <c r="V68" i="10"/>
  <c r="U68" i="10"/>
  <c r="T68" i="10"/>
  <c r="S68" i="10"/>
  <c r="R68" i="10"/>
  <c r="Q68" i="10"/>
  <c r="P68" i="10"/>
  <c r="O68" i="10"/>
  <c r="N68" i="10"/>
  <c r="M68" i="10"/>
  <c r="I68" i="10"/>
  <c r="H68" i="10"/>
  <c r="G68" i="10"/>
  <c r="F68" i="10"/>
  <c r="E68" i="10"/>
  <c r="D68" i="10"/>
  <c r="C68" i="10"/>
  <c r="B68" i="10"/>
  <c r="J68" i="10" s="1"/>
  <c r="AH62" i="10"/>
  <c r="AC62" i="10"/>
  <c r="V62" i="10"/>
  <c r="U62" i="10"/>
  <c r="T62" i="10"/>
  <c r="S62" i="10"/>
  <c r="R62" i="10"/>
  <c r="Q62" i="10"/>
  <c r="P62" i="10"/>
  <c r="O62" i="10"/>
  <c r="N62" i="10"/>
  <c r="M62" i="10"/>
  <c r="I62" i="10"/>
  <c r="H62" i="10"/>
  <c r="G62" i="10"/>
  <c r="F62" i="10"/>
  <c r="E62" i="10"/>
  <c r="D62" i="10"/>
  <c r="J62" i="10" s="1"/>
  <c r="C62" i="10"/>
  <c r="B62" i="10"/>
  <c r="AH56" i="10"/>
  <c r="AC56" i="10"/>
  <c r="V56" i="10"/>
  <c r="U56" i="10"/>
  <c r="T56" i="10"/>
  <c r="S56" i="10"/>
  <c r="R56" i="10"/>
  <c r="Q56" i="10"/>
  <c r="P56" i="10"/>
  <c r="O56" i="10"/>
  <c r="N56" i="10"/>
  <c r="M56" i="10"/>
  <c r="I56" i="10"/>
  <c r="H56" i="10"/>
  <c r="G56" i="10"/>
  <c r="F56" i="10"/>
  <c r="E56" i="10"/>
  <c r="D56" i="10"/>
  <c r="C56" i="10"/>
  <c r="B56" i="10"/>
  <c r="AH50" i="10"/>
  <c r="AC50" i="10"/>
  <c r="V50" i="10"/>
  <c r="U50" i="10"/>
  <c r="T50" i="10"/>
  <c r="S50" i="10"/>
  <c r="R50" i="10"/>
  <c r="Q50" i="10"/>
  <c r="P50" i="10"/>
  <c r="O50" i="10"/>
  <c r="N50" i="10"/>
  <c r="M50" i="10"/>
  <c r="W50" i="10" s="1"/>
  <c r="X50" i="10" s="1"/>
  <c r="I50" i="10"/>
  <c r="H50" i="10"/>
  <c r="G50" i="10"/>
  <c r="F50" i="10"/>
  <c r="E50" i="10"/>
  <c r="D50" i="10"/>
  <c r="C50" i="10"/>
  <c r="B50" i="10"/>
  <c r="J50" i="10" s="1"/>
  <c r="AH44" i="10"/>
  <c r="AC44" i="10"/>
  <c r="V44" i="10"/>
  <c r="U44" i="10"/>
  <c r="T44" i="10"/>
  <c r="S44" i="10"/>
  <c r="R44" i="10"/>
  <c r="Q44" i="10"/>
  <c r="W44" i="10" s="1"/>
  <c r="P44" i="10"/>
  <c r="O44" i="10"/>
  <c r="N44" i="10"/>
  <c r="M44" i="10"/>
  <c r="I44" i="10"/>
  <c r="H44" i="10"/>
  <c r="G44" i="10"/>
  <c r="F44" i="10"/>
  <c r="E44" i="10"/>
  <c r="D44" i="10"/>
  <c r="J44" i="10" s="1"/>
  <c r="C44" i="10"/>
  <c r="B44" i="10"/>
  <c r="AH38" i="10"/>
  <c r="AC38" i="10"/>
  <c r="AC168" i="10" s="1"/>
  <c r="V38" i="10"/>
  <c r="U38" i="10"/>
  <c r="T38" i="10"/>
  <c r="S38" i="10"/>
  <c r="R38" i="10"/>
  <c r="Q38" i="10"/>
  <c r="P38" i="10"/>
  <c r="O38" i="10"/>
  <c r="N38" i="10"/>
  <c r="M38" i="10"/>
  <c r="W38" i="10" s="1"/>
  <c r="I38" i="10"/>
  <c r="H38" i="10"/>
  <c r="G38" i="10"/>
  <c r="F38" i="10"/>
  <c r="E38" i="10"/>
  <c r="D38" i="10"/>
  <c r="C38" i="10"/>
  <c r="J38" i="10" s="1"/>
  <c r="B38" i="10"/>
  <c r="AH32" i="10"/>
  <c r="AC32" i="10"/>
  <c r="Z32" i="10"/>
  <c r="Z168" i="10" s="1"/>
  <c r="V32" i="10"/>
  <c r="U32" i="10"/>
  <c r="T32" i="10"/>
  <c r="S32" i="10"/>
  <c r="R32" i="10"/>
  <c r="Q32" i="10"/>
  <c r="W32" i="10" s="1"/>
  <c r="X32" i="10" s="1"/>
  <c r="P32" i="10"/>
  <c r="O32" i="10"/>
  <c r="N32" i="10"/>
  <c r="M32" i="10"/>
  <c r="I32" i="10"/>
  <c r="H32" i="10"/>
  <c r="G32" i="10"/>
  <c r="F32" i="10"/>
  <c r="E32" i="10"/>
  <c r="D32" i="10"/>
  <c r="C32" i="10"/>
  <c r="B32" i="10"/>
  <c r="J32" i="10" s="1"/>
  <c r="AH26" i="10"/>
  <c r="AC26" i="10"/>
  <c r="V26" i="10"/>
  <c r="U26" i="10"/>
  <c r="T26" i="10"/>
  <c r="S26" i="10"/>
  <c r="R26" i="10"/>
  <c r="Q26" i="10"/>
  <c r="P26" i="10"/>
  <c r="O26" i="10"/>
  <c r="N26" i="10"/>
  <c r="M26" i="10"/>
  <c r="W26" i="10" s="1"/>
  <c r="I26" i="10"/>
  <c r="H26" i="10"/>
  <c r="G26" i="10"/>
  <c r="F26" i="10"/>
  <c r="E26" i="10"/>
  <c r="D26" i="10"/>
  <c r="C26" i="10"/>
  <c r="B26" i="10"/>
  <c r="AH20" i="10"/>
  <c r="AC20" i="10"/>
  <c r="V20" i="10"/>
  <c r="U20" i="10"/>
  <c r="T20" i="10"/>
  <c r="S20" i="10"/>
  <c r="R20" i="10"/>
  <c r="Q20" i="10"/>
  <c r="P20" i="10"/>
  <c r="O20" i="10"/>
  <c r="N20" i="10"/>
  <c r="M20" i="10"/>
  <c r="W20" i="10" s="1"/>
  <c r="I20" i="10"/>
  <c r="H20" i="10"/>
  <c r="G20" i="10"/>
  <c r="F20" i="10"/>
  <c r="E20" i="10"/>
  <c r="D20" i="10"/>
  <c r="J20" i="10" s="1"/>
  <c r="C20" i="10"/>
  <c r="B20" i="10"/>
  <c r="AH15" i="10"/>
  <c r="AC15" i="10"/>
  <c r="V15" i="10"/>
  <c r="U15" i="10"/>
  <c r="T15" i="10"/>
  <c r="S15" i="10"/>
  <c r="R15" i="10"/>
  <c r="Q15" i="10"/>
  <c r="W15" i="10" s="1"/>
  <c r="P15" i="10"/>
  <c r="O15" i="10"/>
  <c r="N15" i="10"/>
  <c r="M15" i="10"/>
  <c r="I15" i="10"/>
  <c r="H15" i="10"/>
  <c r="G15" i="10"/>
  <c r="F15" i="10"/>
  <c r="E15" i="10"/>
  <c r="D15" i="10"/>
  <c r="C15" i="10"/>
  <c r="B15" i="10"/>
  <c r="AH9" i="10"/>
  <c r="AC9" i="10"/>
  <c r="V9" i="10"/>
  <c r="U9" i="10"/>
  <c r="T9" i="10"/>
  <c r="S9" i="10"/>
  <c r="R9" i="10"/>
  <c r="Q9" i="10"/>
  <c r="P9" i="10"/>
  <c r="O9" i="10"/>
  <c r="N9" i="10"/>
  <c r="M9" i="10"/>
  <c r="W9" i="10" s="1"/>
  <c r="I9" i="10"/>
  <c r="H9" i="10"/>
  <c r="G9" i="10"/>
  <c r="F9" i="10"/>
  <c r="E9" i="10"/>
  <c r="D9" i="10"/>
  <c r="J9" i="10" s="1"/>
  <c r="C9" i="10"/>
  <c r="B9" i="10"/>
  <c r="AH4" i="10"/>
  <c r="AC4" i="10"/>
  <c r="V4" i="10"/>
  <c r="U4" i="10"/>
  <c r="T4" i="10"/>
  <c r="S4" i="10"/>
  <c r="R4" i="10"/>
  <c r="Q4" i="10"/>
  <c r="P4" i="10"/>
  <c r="O4" i="10"/>
  <c r="N4" i="10"/>
  <c r="M4" i="10"/>
  <c r="I4" i="10"/>
  <c r="H4" i="10"/>
  <c r="G4" i="10"/>
  <c r="F4" i="10"/>
  <c r="E4" i="10"/>
  <c r="D4" i="10"/>
  <c r="C4" i="10"/>
  <c r="B4" i="10"/>
  <c r="AE154" i="9"/>
  <c r="AB154" i="9"/>
  <c r="Z154" i="9"/>
  <c r="AH142" i="9"/>
  <c r="AC142" i="9"/>
  <c r="V142" i="9"/>
  <c r="U142" i="9"/>
  <c r="T142" i="9"/>
  <c r="S142" i="9"/>
  <c r="R142" i="9"/>
  <c r="Q142" i="9"/>
  <c r="P142" i="9"/>
  <c r="O142" i="9"/>
  <c r="N142" i="9"/>
  <c r="M142" i="9"/>
  <c r="W142" i="9" s="1"/>
  <c r="I142" i="9"/>
  <c r="H142" i="9"/>
  <c r="G142" i="9"/>
  <c r="F142" i="9"/>
  <c r="E142" i="9"/>
  <c r="D142" i="9"/>
  <c r="C142" i="9"/>
  <c r="B142" i="9"/>
  <c r="AH136" i="9"/>
  <c r="AD136" i="9"/>
  <c r="AF136" i="9" s="1"/>
  <c r="AC136" i="9"/>
  <c r="V136" i="9"/>
  <c r="U136" i="9"/>
  <c r="T136" i="9"/>
  <c r="S136" i="9"/>
  <c r="R136" i="9"/>
  <c r="Q136" i="9"/>
  <c r="P136" i="9"/>
  <c r="O136" i="9"/>
  <c r="N136" i="9"/>
  <c r="M136" i="9"/>
  <c r="W136" i="9" s="1"/>
  <c r="X136" i="9" s="1"/>
  <c r="AA136" i="9" s="1"/>
  <c r="I136" i="9"/>
  <c r="H136" i="9"/>
  <c r="G136" i="9"/>
  <c r="F136" i="9"/>
  <c r="E136" i="9"/>
  <c r="D136" i="9"/>
  <c r="C136" i="9"/>
  <c r="B136" i="9"/>
  <c r="J136" i="9" s="1"/>
  <c r="AH130" i="9"/>
  <c r="Y130" i="9"/>
  <c r="AC130" i="9" s="1"/>
  <c r="V130" i="9"/>
  <c r="U130" i="9"/>
  <c r="T130" i="9"/>
  <c r="S130" i="9"/>
  <c r="R130" i="9"/>
  <c r="Q130" i="9"/>
  <c r="W130" i="9" s="1"/>
  <c r="X130" i="9" s="1"/>
  <c r="P130" i="9"/>
  <c r="O130" i="9"/>
  <c r="N130" i="9"/>
  <c r="M130" i="9"/>
  <c r="I130" i="9"/>
  <c r="H130" i="9"/>
  <c r="G130" i="9"/>
  <c r="F130" i="9"/>
  <c r="E130" i="9"/>
  <c r="D130" i="9"/>
  <c r="J130" i="9" s="1"/>
  <c r="C130" i="9"/>
  <c r="B130" i="9"/>
  <c r="AH124" i="9"/>
  <c r="AC124" i="9"/>
  <c r="V124" i="9"/>
  <c r="U124" i="9"/>
  <c r="T124" i="9"/>
  <c r="S124" i="9"/>
  <c r="R124" i="9"/>
  <c r="Q124" i="9"/>
  <c r="P124" i="9"/>
  <c r="O124" i="9"/>
  <c r="N124" i="9"/>
  <c r="M124" i="9"/>
  <c r="W124" i="9" s="1"/>
  <c r="X124" i="9" s="1"/>
  <c r="I124" i="9"/>
  <c r="H124" i="9"/>
  <c r="G124" i="9"/>
  <c r="F124" i="9"/>
  <c r="E124" i="9"/>
  <c r="D124" i="9"/>
  <c r="C124" i="9"/>
  <c r="B124" i="9"/>
  <c r="J124" i="9" s="1"/>
  <c r="AH118" i="9"/>
  <c r="AC118" i="9"/>
  <c r="V118" i="9"/>
  <c r="U118" i="9"/>
  <c r="T118" i="9"/>
  <c r="S118" i="9"/>
  <c r="R118" i="9"/>
  <c r="Q118" i="9"/>
  <c r="P118" i="9"/>
  <c r="O118" i="9"/>
  <c r="N118" i="9"/>
  <c r="M118" i="9"/>
  <c r="I118" i="9"/>
  <c r="H118" i="9"/>
  <c r="G118" i="9"/>
  <c r="F118" i="9"/>
  <c r="E118" i="9"/>
  <c r="D118" i="9"/>
  <c r="C118" i="9"/>
  <c r="B118" i="9"/>
  <c r="J118" i="9" s="1"/>
  <c r="AH112" i="9"/>
  <c r="AC112" i="9"/>
  <c r="V112" i="9"/>
  <c r="U112" i="9"/>
  <c r="T112" i="9"/>
  <c r="S112" i="9"/>
  <c r="R112" i="9"/>
  <c r="Q112" i="9"/>
  <c r="P112" i="9"/>
  <c r="O112" i="9"/>
  <c r="N112" i="9"/>
  <c r="M112" i="9"/>
  <c r="I112" i="9"/>
  <c r="H112" i="9"/>
  <c r="G112" i="9"/>
  <c r="F112" i="9"/>
  <c r="E112" i="9"/>
  <c r="D112" i="9"/>
  <c r="J112" i="9" s="1"/>
  <c r="C112" i="9"/>
  <c r="B112" i="9"/>
  <c r="AH106" i="9"/>
  <c r="AC106" i="9"/>
  <c r="V106" i="9"/>
  <c r="U106" i="9"/>
  <c r="T106" i="9"/>
  <c r="S106" i="9"/>
  <c r="R106" i="9"/>
  <c r="Q106" i="9"/>
  <c r="P106" i="9"/>
  <c r="O106" i="9"/>
  <c r="N106" i="9"/>
  <c r="M106" i="9"/>
  <c r="I106" i="9"/>
  <c r="H106" i="9"/>
  <c r="G106" i="9"/>
  <c r="F106" i="9"/>
  <c r="E106" i="9"/>
  <c r="D106" i="9"/>
  <c r="C106" i="9"/>
  <c r="B106" i="9"/>
  <c r="AH100" i="9"/>
  <c r="AC100" i="9"/>
  <c r="V100" i="9"/>
  <c r="U100" i="9"/>
  <c r="T100" i="9"/>
  <c r="S100" i="9"/>
  <c r="R100" i="9"/>
  <c r="Q100" i="9"/>
  <c r="P100" i="9"/>
  <c r="O100" i="9"/>
  <c r="N100" i="9"/>
  <c r="M100" i="9"/>
  <c r="I100" i="9"/>
  <c r="H100" i="9"/>
  <c r="G100" i="9"/>
  <c r="F100" i="9"/>
  <c r="E100" i="9"/>
  <c r="D100" i="9"/>
  <c r="C100" i="9"/>
  <c r="B100" i="9"/>
  <c r="J100" i="9" s="1"/>
  <c r="AH94" i="9"/>
  <c r="AC94" i="9"/>
  <c r="V94" i="9"/>
  <c r="U94" i="9"/>
  <c r="T94" i="9"/>
  <c r="S94" i="9"/>
  <c r="R94" i="9"/>
  <c r="Q94" i="9"/>
  <c r="W94" i="9" s="1"/>
  <c r="P94" i="9"/>
  <c r="O94" i="9"/>
  <c r="N94" i="9"/>
  <c r="M94" i="9"/>
  <c r="I94" i="9"/>
  <c r="H94" i="9"/>
  <c r="G94" i="9"/>
  <c r="F94" i="9"/>
  <c r="E94" i="9"/>
  <c r="D94" i="9"/>
  <c r="J94" i="9" s="1"/>
  <c r="C94" i="9"/>
  <c r="B94" i="9"/>
  <c r="AH88" i="9"/>
  <c r="AC88" i="9"/>
  <c r="V88" i="9"/>
  <c r="U88" i="9"/>
  <c r="T88" i="9"/>
  <c r="S88" i="9"/>
  <c r="R88" i="9"/>
  <c r="Q88" i="9"/>
  <c r="P88" i="9"/>
  <c r="O88" i="9"/>
  <c r="N88" i="9"/>
  <c r="M88" i="9"/>
  <c r="W88" i="9" s="1"/>
  <c r="X88" i="9" s="1"/>
  <c r="I88" i="9"/>
  <c r="H88" i="9"/>
  <c r="G88" i="9"/>
  <c r="F88" i="9"/>
  <c r="E88" i="9"/>
  <c r="D88" i="9"/>
  <c r="C88" i="9"/>
  <c r="B88" i="9"/>
  <c r="J88" i="9" s="1"/>
  <c r="AH82" i="9"/>
  <c r="AC82" i="9"/>
  <c r="V82" i="9"/>
  <c r="U82" i="9"/>
  <c r="T82" i="9"/>
  <c r="S82" i="9"/>
  <c r="R82" i="9"/>
  <c r="Q82" i="9"/>
  <c r="P82" i="9"/>
  <c r="O82" i="9"/>
  <c r="N82" i="9"/>
  <c r="M82" i="9"/>
  <c r="I82" i="9"/>
  <c r="H82" i="9"/>
  <c r="G82" i="9"/>
  <c r="F82" i="9"/>
  <c r="E82" i="9"/>
  <c r="D82" i="9"/>
  <c r="C82" i="9"/>
  <c r="B82" i="9"/>
  <c r="AH76" i="9"/>
  <c r="AC76" i="9"/>
  <c r="V76" i="9"/>
  <c r="U76" i="9"/>
  <c r="T76" i="9"/>
  <c r="S76" i="9"/>
  <c r="R76" i="9"/>
  <c r="Q76" i="9"/>
  <c r="W76" i="9" s="1"/>
  <c r="P76" i="9"/>
  <c r="O76" i="9"/>
  <c r="N76" i="9"/>
  <c r="M76" i="9"/>
  <c r="I76" i="9"/>
  <c r="H76" i="9"/>
  <c r="G76" i="9"/>
  <c r="F76" i="9"/>
  <c r="E76" i="9"/>
  <c r="D76" i="9"/>
  <c r="J76" i="9" s="1"/>
  <c r="C76" i="9"/>
  <c r="B76" i="9"/>
  <c r="AC70" i="9"/>
  <c r="AA70" i="9"/>
  <c r="Y70" i="9"/>
  <c r="AH70" i="9" s="1"/>
  <c r="V70" i="9"/>
  <c r="U70" i="9"/>
  <c r="T70" i="9"/>
  <c r="S70" i="9"/>
  <c r="R70" i="9"/>
  <c r="Q70" i="9"/>
  <c r="P70" i="9"/>
  <c r="O70" i="9"/>
  <c r="N70" i="9"/>
  <c r="M70" i="9"/>
  <c r="W70" i="9" s="1"/>
  <c r="X70" i="9" s="1"/>
  <c r="AD70" i="9" s="1"/>
  <c r="AF70" i="9" s="1"/>
  <c r="I70" i="9"/>
  <c r="H70" i="9"/>
  <c r="G70" i="9"/>
  <c r="F70" i="9"/>
  <c r="E70" i="9"/>
  <c r="D70" i="9"/>
  <c r="C70" i="9"/>
  <c r="B70" i="9"/>
  <c r="J70" i="9" s="1"/>
  <c r="AH64" i="9"/>
  <c r="AC64" i="9"/>
  <c r="V64" i="9"/>
  <c r="U64" i="9"/>
  <c r="T64" i="9"/>
  <c r="S64" i="9"/>
  <c r="R64" i="9"/>
  <c r="Q64" i="9"/>
  <c r="P64" i="9"/>
  <c r="W64" i="9" s="1"/>
  <c r="X64" i="9" s="1"/>
  <c r="O64" i="9"/>
  <c r="N64" i="9"/>
  <c r="M64" i="9"/>
  <c r="I64" i="9"/>
  <c r="H64" i="9"/>
  <c r="G64" i="9"/>
  <c r="F64" i="9"/>
  <c r="E64" i="9"/>
  <c r="D64" i="9"/>
  <c r="C64" i="9"/>
  <c r="B64" i="9"/>
  <c r="J64" i="9" s="1"/>
  <c r="AH58" i="9"/>
  <c r="AC58" i="9"/>
  <c r="V58" i="9"/>
  <c r="U58" i="9"/>
  <c r="T58" i="9"/>
  <c r="S58" i="9"/>
  <c r="R58" i="9"/>
  <c r="Q58" i="9"/>
  <c r="P58" i="9"/>
  <c r="O58" i="9"/>
  <c r="N58" i="9"/>
  <c r="W58" i="9" s="1"/>
  <c r="X58" i="9" s="1"/>
  <c r="M58" i="9"/>
  <c r="I58" i="9"/>
  <c r="H58" i="9"/>
  <c r="G58" i="9"/>
  <c r="F58" i="9"/>
  <c r="E58" i="9"/>
  <c r="D58" i="9"/>
  <c r="C58" i="9"/>
  <c r="B58" i="9"/>
  <c r="J58" i="9" s="1"/>
  <c r="AH52" i="9"/>
  <c r="AC52" i="9"/>
  <c r="V52" i="9"/>
  <c r="U52" i="9"/>
  <c r="T52" i="9"/>
  <c r="S52" i="9"/>
  <c r="R52" i="9"/>
  <c r="Q52" i="9"/>
  <c r="W52" i="9" s="1"/>
  <c r="X52" i="9" s="1"/>
  <c r="P52" i="9"/>
  <c r="O52" i="9"/>
  <c r="N52" i="9"/>
  <c r="M52" i="9"/>
  <c r="I52" i="9"/>
  <c r="H52" i="9"/>
  <c r="G52" i="9"/>
  <c r="F52" i="9"/>
  <c r="E52" i="9"/>
  <c r="D52" i="9"/>
  <c r="C52" i="9"/>
  <c r="J52" i="9" s="1"/>
  <c r="B52" i="9"/>
  <c r="AH46" i="9"/>
  <c r="AC46" i="9"/>
  <c r="V46" i="9"/>
  <c r="U46" i="9"/>
  <c r="T46" i="9"/>
  <c r="S46" i="9"/>
  <c r="R46" i="9"/>
  <c r="Q46" i="9"/>
  <c r="P46" i="9"/>
  <c r="O46" i="9"/>
  <c r="N46" i="9"/>
  <c r="M46" i="9"/>
  <c r="I46" i="9"/>
  <c r="H46" i="9"/>
  <c r="G46" i="9"/>
  <c r="F46" i="9"/>
  <c r="E46" i="9"/>
  <c r="D46" i="9"/>
  <c r="J46" i="9" s="1"/>
  <c r="C46" i="9"/>
  <c r="B46" i="9"/>
  <c r="AH40" i="9"/>
  <c r="AC40" i="9"/>
  <c r="V40" i="9"/>
  <c r="U40" i="9"/>
  <c r="T40" i="9"/>
  <c r="S40" i="9"/>
  <c r="R40" i="9"/>
  <c r="Q40" i="9"/>
  <c r="P40" i="9"/>
  <c r="O40" i="9"/>
  <c r="N40" i="9"/>
  <c r="M40" i="9"/>
  <c r="I40" i="9"/>
  <c r="H40" i="9"/>
  <c r="G40" i="9"/>
  <c r="F40" i="9"/>
  <c r="E40" i="9"/>
  <c r="D40" i="9"/>
  <c r="C40" i="9"/>
  <c r="B40" i="9"/>
  <c r="AH34" i="9"/>
  <c r="AC34" i="9"/>
  <c r="V34" i="9"/>
  <c r="U34" i="9"/>
  <c r="T34" i="9"/>
  <c r="S34" i="9"/>
  <c r="R34" i="9"/>
  <c r="Q34" i="9"/>
  <c r="W34" i="9" s="1"/>
  <c r="X34" i="9" s="1"/>
  <c r="P34" i="9"/>
  <c r="O34" i="9"/>
  <c r="N34" i="9"/>
  <c r="M34" i="9"/>
  <c r="I34" i="9"/>
  <c r="H34" i="9"/>
  <c r="G34" i="9"/>
  <c r="F34" i="9"/>
  <c r="E34" i="9"/>
  <c r="D34" i="9"/>
  <c r="C34" i="9"/>
  <c r="J34" i="9" s="1"/>
  <c r="B34" i="9"/>
  <c r="AH28" i="9"/>
  <c r="AC28" i="9"/>
  <c r="V28" i="9"/>
  <c r="U28" i="9"/>
  <c r="T28" i="9"/>
  <c r="S28" i="9"/>
  <c r="R28" i="9"/>
  <c r="Q28" i="9"/>
  <c r="P28" i="9"/>
  <c r="O28" i="9"/>
  <c r="N28" i="9"/>
  <c r="M28" i="9"/>
  <c r="W28" i="9" s="1"/>
  <c r="I28" i="9"/>
  <c r="H28" i="9"/>
  <c r="G28" i="9"/>
  <c r="F28" i="9"/>
  <c r="E28" i="9"/>
  <c r="D28" i="9"/>
  <c r="C28" i="9"/>
  <c r="B28" i="9"/>
  <c r="AH22" i="9"/>
  <c r="AC22" i="9"/>
  <c r="V22" i="9"/>
  <c r="U22" i="9"/>
  <c r="T22" i="9"/>
  <c r="S22" i="9"/>
  <c r="R22" i="9"/>
  <c r="Q22" i="9"/>
  <c r="P22" i="9"/>
  <c r="O22" i="9"/>
  <c r="N22" i="9"/>
  <c r="W22" i="9" s="1"/>
  <c r="X22" i="9" s="1"/>
  <c r="AA22" i="9" s="1"/>
  <c r="M22" i="9"/>
  <c r="I22" i="9"/>
  <c r="H22" i="9"/>
  <c r="G22" i="9"/>
  <c r="F22" i="9"/>
  <c r="E22" i="9"/>
  <c r="D22" i="9"/>
  <c r="C22" i="9"/>
  <c r="B22" i="9"/>
  <c r="J22" i="9" s="1"/>
  <c r="AH16" i="9"/>
  <c r="AC16" i="9"/>
  <c r="V16" i="9"/>
  <c r="U16" i="9"/>
  <c r="T16" i="9"/>
  <c r="S16" i="9"/>
  <c r="R16" i="9"/>
  <c r="Q16" i="9"/>
  <c r="W16" i="9" s="1"/>
  <c r="X16" i="9" s="1"/>
  <c r="P16" i="9"/>
  <c r="O16" i="9"/>
  <c r="N16" i="9"/>
  <c r="M16" i="9"/>
  <c r="I16" i="9"/>
  <c r="H16" i="9"/>
  <c r="G16" i="9"/>
  <c r="F16" i="9"/>
  <c r="E16" i="9"/>
  <c r="D16" i="9"/>
  <c r="C16" i="9"/>
  <c r="J16" i="9" s="1"/>
  <c r="B16" i="9"/>
  <c r="AH10" i="9"/>
  <c r="AC10" i="9"/>
  <c r="V10" i="9"/>
  <c r="U10" i="9"/>
  <c r="T10" i="9"/>
  <c r="S10" i="9"/>
  <c r="R10" i="9"/>
  <c r="Q10" i="9"/>
  <c r="P10" i="9"/>
  <c r="O10" i="9"/>
  <c r="N10" i="9"/>
  <c r="M10" i="9"/>
  <c r="W10" i="9" s="1"/>
  <c r="I10" i="9"/>
  <c r="H10" i="9"/>
  <c r="G10" i="9"/>
  <c r="F10" i="9"/>
  <c r="E10" i="9"/>
  <c r="D10" i="9"/>
  <c r="J10" i="9" s="1"/>
  <c r="C10" i="9"/>
  <c r="B10" i="9"/>
  <c r="AH4" i="9"/>
  <c r="AC4" i="9"/>
  <c r="V4" i="9"/>
  <c r="U4" i="9"/>
  <c r="T4" i="9"/>
  <c r="S4" i="9"/>
  <c r="R4" i="9"/>
  <c r="Q4" i="9"/>
  <c r="P4" i="9"/>
  <c r="O4" i="9"/>
  <c r="N4" i="9"/>
  <c r="M4" i="9"/>
  <c r="I4" i="9"/>
  <c r="H4" i="9"/>
  <c r="G4" i="9"/>
  <c r="F4" i="9"/>
  <c r="E4" i="9"/>
  <c r="D4" i="9"/>
  <c r="C4" i="9"/>
  <c r="B4" i="9"/>
  <c r="AB177" i="8"/>
  <c r="Z177" i="8"/>
  <c r="Y177" i="8"/>
  <c r="AH161" i="8"/>
  <c r="AC161" i="8"/>
  <c r="V161" i="8"/>
  <c r="U161" i="8"/>
  <c r="T161" i="8"/>
  <c r="S161" i="8"/>
  <c r="R161" i="8"/>
  <c r="Q161" i="8"/>
  <c r="P161" i="8"/>
  <c r="O161" i="8"/>
  <c r="N161" i="8"/>
  <c r="M161" i="8"/>
  <c r="W161" i="8" s="1"/>
  <c r="I161" i="8"/>
  <c r="H161" i="8"/>
  <c r="G161" i="8"/>
  <c r="F161" i="8"/>
  <c r="E161" i="8"/>
  <c r="D161" i="8"/>
  <c r="J161" i="8" s="1"/>
  <c r="C161" i="8"/>
  <c r="B161" i="8"/>
  <c r="AH155" i="8"/>
  <c r="AC155" i="8"/>
  <c r="V155" i="8"/>
  <c r="U155" i="8"/>
  <c r="T155" i="8"/>
  <c r="S155" i="8"/>
  <c r="R155" i="8"/>
  <c r="Q155" i="8"/>
  <c r="P155" i="8"/>
  <c r="O155" i="8"/>
  <c r="N155" i="8"/>
  <c r="W155" i="8" s="1"/>
  <c r="M155" i="8"/>
  <c r="I155" i="8"/>
  <c r="H155" i="8"/>
  <c r="G155" i="8"/>
  <c r="F155" i="8"/>
  <c r="E155" i="8"/>
  <c r="D155" i="8"/>
  <c r="C155" i="8"/>
  <c r="B155" i="8"/>
  <c r="AH149" i="8"/>
  <c r="AC149" i="8"/>
  <c r="V149" i="8"/>
  <c r="U149" i="8"/>
  <c r="T149" i="8"/>
  <c r="S149" i="8"/>
  <c r="R149" i="8"/>
  <c r="Q149" i="8"/>
  <c r="W149" i="8" s="1"/>
  <c r="X149" i="8" s="1"/>
  <c r="P149" i="8"/>
  <c r="O149" i="8"/>
  <c r="N149" i="8"/>
  <c r="M149" i="8"/>
  <c r="I149" i="8"/>
  <c r="H149" i="8"/>
  <c r="G149" i="8"/>
  <c r="F149" i="8"/>
  <c r="E149" i="8"/>
  <c r="D149" i="8"/>
  <c r="C149" i="8"/>
  <c r="J149" i="8" s="1"/>
  <c r="B149" i="8"/>
  <c r="AH143" i="8"/>
  <c r="AC143" i="8"/>
  <c r="V143" i="8"/>
  <c r="U143" i="8"/>
  <c r="T143" i="8"/>
  <c r="S143" i="8"/>
  <c r="R143" i="8"/>
  <c r="Q143" i="8"/>
  <c r="P143" i="8"/>
  <c r="O143" i="8"/>
  <c r="N143" i="8"/>
  <c r="M143" i="8"/>
  <c r="W143" i="8" s="1"/>
  <c r="I143" i="8"/>
  <c r="H143" i="8"/>
  <c r="G143" i="8"/>
  <c r="F143" i="8"/>
  <c r="E143" i="8"/>
  <c r="D143" i="8"/>
  <c r="C143" i="8"/>
  <c r="B143" i="8"/>
  <c r="AH137" i="8"/>
  <c r="AC137" i="8"/>
  <c r="V137" i="8"/>
  <c r="U137" i="8"/>
  <c r="T137" i="8"/>
  <c r="S137" i="8"/>
  <c r="R137" i="8"/>
  <c r="Q137" i="8"/>
  <c r="P137" i="8"/>
  <c r="O137" i="8"/>
  <c r="N137" i="8"/>
  <c r="M137" i="8"/>
  <c r="I137" i="8"/>
  <c r="H137" i="8"/>
  <c r="G137" i="8"/>
  <c r="F137" i="8"/>
  <c r="E137" i="8"/>
  <c r="D137" i="8"/>
  <c r="C137" i="8"/>
  <c r="B137" i="8"/>
  <c r="J137" i="8" s="1"/>
  <c r="AH131" i="8"/>
  <c r="AC131" i="8"/>
  <c r="V131" i="8"/>
  <c r="U131" i="8"/>
  <c r="T131" i="8"/>
  <c r="S131" i="8"/>
  <c r="R131" i="8"/>
  <c r="Q131" i="8"/>
  <c r="W131" i="8" s="1"/>
  <c r="X131" i="8" s="1"/>
  <c r="P131" i="8"/>
  <c r="O131" i="8"/>
  <c r="N131" i="8"/>
  <c r="M131" i="8"/>
  <c r="I131" i="8"/>
  <c r="H131" i="8"/>
  <c r="G131" i="8"/>
  <c r="F131" i="8"/>
  <c r="E131" i="8"/>
  <c r="D131" i="8"/>
  <c r="C131" i="8"/>
  <c r="J131" i="8" s="1"/>
  <c r="B131" i="8"/>
  <c r="AH125" i="8"/>
  <c r="AC125" i="8"/>
  <c r="V125" i="8"/>
  <c r="U125" i="8"/>
  <c r="T125" i="8"/>
  <c r="S125" i="8"/>
  <c r="R125" i="8"/>
  <c r="Q125" i="8"/>
  <c r="P125" i="8"/>
  <c r="O125" i="8"/>
  <c r="N125" i="8"/>
  <c r="M125" i="8"/>
  <c r="W125" i="8" s="1"/>
  <c r="I125" i="8"/>
  <c r="H125" i="8"/>
  <c r="G125" i="8"/>
  <c r="F125" i="8"/>
  <c r="E125" i="8"/>
  <c r="D125" i="8"/>
  <c r="J125" i="8" s="1"/>
  <c r="C125" i="8"/>
  <c r="B125" i="8"/>
  <c r="AH119" i="8"/>
  <c r="AC119" i="8"/>
  <c r="V119" i="8"/>
  <c r="U119" i="8"/>
  <c r="T119" i="8"/>
  <c r="S119" i="8"/>
  <c r="R119" i="8"/>
  <c r="Q119" i="8"/>
  <c r="P119" i="8"/>
  <c r="O119" i="8"/>
  <c r="N119" i="8"/>
  <c r="W119" i="8" s="1"/>
  <c r="M119" i="8"/>
  <c r="I119" i="8"/>
  <c r="H119" i="8"/>
  <c r="G119" i="8"/>
  <c r="F119" i="8"/>
  <c r="E119" i="8"/>
  <c r="D119" i="8"/>
  <c r="C119" i="8"/>
  <c r="B119" i="8"/>
  <c r="AH113" i="8"/>
  <c r="AC113" i="8"/>
  <c r="V113" i="8"/>
  <c r="U113" i="8"/>
  <c r="T113" i="8"/>
  <c r="S113" i="8"/>
  <c r="R113" i="8"/>
  <c r="Q113" i="8"/>
  <c r="W113" i="8" s="1"/>
  <c r="X113" i="8" s="1"/>
  <c r="P113" i="8"/>
  <c r="O113" i="8"/>
  <c r="N113" i="8"/>
  <c r="M113" i="8"/>
  <c r="I113" i="8"/>
  <c r="H113" i="8"/>
  <c r="G113" i="8"/>
  <c r="F113" i="8"/>
  <c r="E113" i="8"/>
  <c r="D113" i="8"/>
  <c r="C113" i="8"/>
  <c r="J113" i="8" s="1"/>
  <c r="B113" i="8"/>
  <c r="AH107" i="8"/>
  <c r="AC107" i="8"/>
  <c r="V107" i="8"/>
  <c r="U107" i="8"/>
  <c r="T107" i="8"/>
  <c r="S107" i="8"/>
  <c r="R107" i="8"/>
  <c r="Q107" i="8"/>
  <c r="P107" i="8"/>
  <c r="O107" i="8"/>
  <c r="N107" i="8"/>
  <c r="M107" i="8"/>
  <c r="W107" i="8" s="1"/>
  <c r="I107" i="8"/>
  <c r="H107" i="8"/>
  <c r="G107" i="8"/>
  <c r="F107" i="8"/>
  <c r="E107" i="8"/>
  <c r="D107" i="8"/>
  <c r="C107" i="8"/>
  <c r="B107" i="8"/>
  <c r="AH101" i="8"/>
  <c r="AC101" i="8"/>
  <c r="V101" i="8"/>
  <c r="U101" i="8"/>
  <c r="T101" i="8"/>
  <c r="S101" i="8"/>
  <c r="R101" i="8"/>
  <c r="Q101" i="8"/>
  <c r="P101" i="8"/>
  <c r="O101" i="8"/>
  <c r="N101" i="8"/>
  <c r="M101" i="8"/>
  <c r="I101" i="8"/>
  <c r="H101" i="8"/>
  <c r="G101" i="8"/>
  <c r="F101" i="8"/>
  <c r="E101" i="8"/>
  <c r="D101" i="8"/>
  <c r="C101" i="8"/>
  <c r="B101" i="8"/>
  <c r="J101" i="8" s="1"/>
  <c r="AH95" i="8"/>
  <c r="AC95" i="8"/>
  <c r="V95" i="8"/>
  <c r="U95" i="8"/>
  <c r="T95" i="8"/>
  <c r="S95" i="8"/>
  <c r="R95" i="8"/>
  <c r="Q95" i="8"/>
  <c r="P95" i="8"/>
  <c r="O95" i="8"/>
  <c r="N95" i="8"/>
  <c r="M95" i="8"/>
  <c r="W95" i="8" s="1"/>
  <c r="I95" i="8"/>
  <c r="H95" i="8"/>
  <c r="G95" i="8"/>
  <c r="F95" i="8"/>
  <c r="E95" i="8"/>
  <c r="D95" i="8"/>
  <c r="J95" i="8" s="1"/>
  <c r="C95" i="8"/>
  <c r="B95" i="8"/>
  <c r="AH89" i="8"/>
  <c r="AC89" i="8"/>
  <c r="V89" i="8"/>
  <c r="U89" i="8"/>
  <c r="T89" i="8"/>
  <c r="S89" i="8"/>
  <c r="R89" i="8"/>
  <c r="Q89" i="8"/>
  <c r="P89" i="8"/>
  <c r="O89" i="8"/>
  <c r="N89" i="8"/>
  <c r="M89" i="8"/>
  <c r="W89" i="8" s="1"/>
  <c r="I89" i="8"/>
  <c r="H89" i="8"/>
  <c r="G89" i="8"/>
  <c r="F89" i="8"/>
  <c r="E89" i="8"/>
  <c r="D89" i="8"/>
  <c r="C89" i="8"/>
  <c r="B89" i="8"/>
  <c r="J89" i="8" s="1"/>
  <c r="AH83" i="8"/>
  <c r="AC83" i="8"/>
  <c r="V83" i="8"/>
  <c r="U83" i="8"/>
  <c r="T83" i="8"/>
  <c r="S83" i="8"/>
  <c r="R83" i="8"/>
  <c r="Q83" i="8"/>
  <c r="W83" i="8" s="1"/>
  <c r="X83" i="8" s="1"/>
  <c r="P83" i="8"/>
  <c r="O83" i="8"/>
  <c r="N83" i="8"/>
  <c r="M83" i="8"/>
  <c r="I83" i="8"/>
  <c r="H83" i="8"/>
  <c r="G83" i="8"/>
  <c r="F83" i="8"/>
  <c r="E83" i="8"/>
  <c r="D83" i="8"/>
  <c r="C83" i="8"/>
  <c r="J83" i="8" s="1"/>
  <c r="B83" i="8"/>
  <c r="AH77" i="8"/>
  <c r="AC77" i="8"/>
  <c r="V77" i="8"/>
  <c r="U77" i="8"/>
  <c r="T77" i="8"/>
  <c r="S77" i="8"/>
  <c r="R77" i="8"/>
  <c r="Q77" i="8"/>
  <c r="P77" i="8"/>
  <c r="O77" i="8"/>
  <c r="N77" i="8"/>
  <c r="M77" i="8"/>
  <c r="W77" i="8" s="1"/>
  <c r="I77" i="8"/>
  <c r="H77" i="8"/>
  <c r="G77" i="8"/>
  <c r="F77" i="8"/>
  <c r="E77" i="8"/>
  <c r="D77" i="8"/>
  <c r="J77" i="8" s="1"/>
  <c r="C77" i="8"/>
  <c r="B77" i="8"/>
  <c r="AH71" i="8"/>
  <c r="AC71" i="8"/>
  <c r="V71" i="8"/>
  <c r="U71" i="8"/>
  <c r="T71" i="8"/>
  <c r="S71" i="8"/>
  <c r="R71" i="8"/>
  <c r="Q71" i="8"/>
  <c r="P71" i="8"/>
  <c r="O71" i="8"/>
  <c r="N71" i="8"/>
  <c r="M71" i="8"/>
  <c r="I71" i="8"/>
  <c r="H71" i="8"/>
  <c r="G71" i="8"/>
  <c r="F71" i="8"/>
  <c r="E71" i="8"/>
  <c r="D71" i="8"/>
  <c r="C71" i="8"/>
  <c r="B71" i="8"/>
  <c r="AH65" i="8"/>
  <c r="AC65" i="8"/>
  <c r="V65" i="8"/>
  <c r="U65" i="8"/>
  <c r="T65" i="8"/>
  <c r="S65" i="8"/>
  <c r="R65" i="8"/>
  <c r="Q65" i="8"/>
  <c r="W65" i="8" s="1"/>
  <c r="P65" i="8"/>
  <c r="O65" i="8"/>
  <c r="N65" i="8"/>
  <c r="M65" i="8"/>
  <c r="I65" i="8"/>
  <c r="H65" i="8"/>
  <c r="G65" i="8"/>
  <c r="F65" i="8"/>
  <c r="E65" i="8"/>
  <c r="D65" i="8"/>
  <c r="C65" i="8"/>
  <c r="B65" i="8"/>
  <c r="AH59" i="8"/>
  <c r="AC59" i="8"/>
  <c r="V59" i="8"/>
  <c r="U59" i="8"/>
  <c r="T59" i="8"/>
  <c r="S59" i="8"/>
  <c r="R59" i="8"/>
  <c r="Q59" i="8"/>
  <c r="P59" i="8"/>
  <c r="O59" i="8"/>
  <c r="N59" i="8"/>
  <c r="M59" i="8"/>
  <c r="W59" i="8" s="1"/>
  <c r="I59" i="8"/>
  <c r="H59" i="8"/>
  <c r="G59" i="8"/>
  <c r="F59" i="8"/>
  <c r="E59" i="8"/>
  <c r="D59" i="8"/>
  <c r="C59" i="8"/>
  <c r="B59" i="8"/>
  <c r="AH53" i="8"/>
  <c r="AC53" i="8"/>
  <c r="V53" i="8"/>
  <c r="U53" i="8"/>
  <c r="T53" i="8"/>
  <c r="S53" i="8"/>
  <c r="R53" i="8"/>
  <c r="Q53" i="8"/>
  <c r="P53" i="8"/>
  <c r="O53" i="8"/>
  <c r="N53" i="8"/>
  <c r="W53" i="8" s="1"/>
  <c r="M53" i="8"/>
  <c r="I53" i="8"/>
  <c r="H53" i="8"/>
  <c r="G53" i="8"/>
  <c r="F53" i="8"/>
  <c r="E53" i="8"/>
  <c r="D53" i="8"/>
  <c r="C53" i="8"/>
  <c r="B53" i="8"/>
  <c r="J53" i="8" s="1"/>
  <c r="AH47" i="8"/>
  <c r="AC47" i="8"/>
  <c r="V47" i="8"/>
  <c r="U47" i="8"/>
  <c r="T47" i="8"/>
  <c r="S47" i="8"/>
  <c r="R47" i="8"/>
  <c r="Q47" i="8"/>
  <c r="W47" i="8" s="1"/>
  <c r="X47" i="8" s="1"/>
  <c r="P47" i="8"/>
  <c r="O47" i="8"/>
  <c r="N47" i="8"/>
  <c r="M47" i="8"/>
  <c r="I47" i="8"/>
  <c r="H47" i="8"/>
  <c r="G47" i="8"/>
  <c r="F47" i="8"/>
  <c r="E47" i="8"/>
  <c r="D47" i="8"/>
  <c r="C47" i="8"/>
  <c r="J47" i="8" s="1"/>
  <c r="B47" i="8"/>
  <c r="AH41" i="8"/>
  <c r="AC41" i="8"/>
  <c r="V41" i="8"/>
  <c r="U41" i="8"/>
  <c r="T41" i="8"/>
  <c r="S41" i="8"/>
  <c r="R41" i="8"/>
  <c r="Q41" i="8"/>
  <c r="P41" i="8"/>
  <c r="O41" i="8"/>
  <c r="N41" i="8"/>
  <c r="M41" i="8"/>
  <c r="W41" i="8" s="1"/>
  <c r="I41" i="8"/>
  <c r="H41" i="8"/>
  <c r="G41" i="8"/>
  <c r="F41" i="8"/>
  <c r="E41" i="8"/>
  <c r="D41" i="8"/>
  <c r="J41" i="8" s="1"/>
  <c r="C41" i="8"/>
  <c r="B41" i="8"/>
  <c r="AH35" i="8"/>
  <c r="AC35" i="8"/>
  <c r="V35" i="8"/>
  <c r="U35" i="8"/>
  <c r="T35" i="8"/>
  <c r="S35" i="8"/>
  <c r="R35" i="8"/>
  <c r="Q35" i="8"/>
  <c r="P35" i="8"/>
  <c r="O35" i="8"/>
  <c r="N35" i="8"/>
  <c r="M35" i="8"/>
  <c r="I35" i="8"/>
  <c r="H35" i="8"/>
  <c r="G35" i="8"/>
  <c r="F35" i="8"/>
  <c r="E35" i="8"/>
  <c r="D35" i="8"/>
  <c r="C35" i="8"/>
  <c r="B35" i="8"/>
  <c r="AH29" i="8"/>
  <c r="AC29" i="8"/>
  <c r="V29" i="8"/>
  <c r="U29" i="8"/>
  <c r="T29" i="8"/>
  <c r="S29" i="8"/>
  <c r="R29" i="8"/>
  <c r="Q29" i="8"/>
  <c r="W29" i="8" s="1"/>
  <c r="X29" i="8" s="1"/>
  <c r="P29" i="8"/>
  <c r="O29" i="8"/>
  <c r="N29" i="8"/>
  <c r="M29" i="8"/>
  <c r="I29" i="8"/>
  <c r="H29" i="8"/>
  <c r="G29" i="8"/>
  <c r="F29" i="8"/>
  <c r="E29" i="8"/>
  <c r="D29" i="8"/>
  <c r="C29" i="8"/>
  <c r="J29" i="8" s="1"/>
  <c r="B29" i="8"/>
  <c r="AH23" i="8"/>
  <c r="AC23" i="8"/>
  <c r="V23" i="8"/>
  <c r="U23" i="8"/>
  <c r="T23" i="8"/>
  <c r="S23" i="8"/>
  <c r="R23" i="8"/>
  <c r="Q23" i="8"/>
  <c r="P23" i="8"/>
  <c r="O23" i="8"/>
  <c r="N23" i="8"/>
  <c r="M23" i="8"/>
  <c r="W23" i="8" s="1"/>
  <c r="I23" i="8"/>
  <c r="H23" i="8"/>
  <c r="G23" i="8"/>
  <c r="F23" i="8"/>
  <c r="E23" i="8"/>
  <c r="D23" i="8"/>
  <c r="C23" i="8"/>
  <c r="B23" i="8"/>
  <c r="AH17" i="8"/>
  <c r="AC17" i="8"/>
  <c r="V17" i="8"/>
  <c r="U17" i="8"/>
  <c r="T17" i="8"/>
  <c r="S17" i="8"/>
  <c r="R17" i="8"/>
  <c r="Q17" i="8"/>
  <c r="P17" i="8"/>
  <c r="O17" i="8"/>
  <c r="N17" i="8"/>
  <c r="W17" i="8" s="1"/>
  <c r="M17" i="8"/>
  <c r="I17" i="8"/>
  <c r="H17" i="8"/>
  <c r="G17" i="8"/>
  <c r="F17" i="8"/>
  <c r="E17" i="8"/>
  <c r="D17" i="8"/>
  <c r="C17" i="8"/>
  <c r="B17" i="8"/>
  <c r="J17" i="8" s="1"/>
  <c r="AH11" i="8"/>
  <c r="AC11" i="8"/>
  <c r="V11" i="8"/>
  <c r="U11" i="8"/>
  <c r="T11" i="8"/>
  <c r="S11" i="8"/>
  <c r="R11" i="8"/>
  <c r="Q11" i="8"/>
  <c r="W11" i="8" s="1"/>
  <c r="X11" i="8" s="1"/>
  <c r="P11" i="8"/>
  <c r="O11" i="8"/>
  <c r="N11" i="8"/>
  <c r="M11" i="8"/>
  <c r="I11" i="8"/>
  <c r="H11" i="8"/>
  <c r="G11" i="8"/>
  <c r="F11" i="8"/>
  <c r="E11" i="8"/>
  <c r="D11" i="8"/>
  <c r="C11" i="8"/>
  <c r="J11" i="8" s="1"/>
  <c r="B11" i="8"/>
  <c r="AH5" i="8"/>
  <c r="AC5" i="8"/>
  <c r="AC177" i="8" s="1"/>
  <c r="V5" i="8"/>
  <c r="U5" i="8"/>
  <c r="T5" i="8"/>
  <c r="S5" i="8"/>
  <c r="R5" i="8"/>
  <c r="Q5" i="8"/>
  <c r="P5" i="8"/>
  <c r="O5" i="8"/>
  <c r="N5" i="8"/>
  <c r="M5" i="8"/>
  <c r="W5" i="8" s="1"/>
  <c r="I5" i="8"/>
  <c r="H5" i="8"/>
  <c r="G5" i="8"/>
  <c r="F5" i="8"/>
  <c r="E5" i="8"/>
  <c r="D5" i="8"/>
  <c r="J5" i="8" s="1"/>
  <c r="C5" i="8"/>
  <c r="B5" i="8"/>
  <c r="Z177" i="7"/>
  <c r="Y177" i="7"/>
  <c r="AC172" i="7"/>
  <c r="V172" i="7"/>
  <c r="U172" i="7"/>
  <c r="T172" i="7"/>
  <c r="S172" i="7"/>
  <c r="R172" i="7"/>
  <c r="Q172" i="7"/>
  <c r="W172" i="7" s="1"/>
  <c r="P172" i="7"/>
  <c r="O172" i="7"/>
  <c r="N172" i="7"/>
  <c r="M172" i="7"/>
  <c r="I172" i="7"/>
  <c r="H172" i="7"/>
  <c r="G172" i="7"/>
  <c r="F172" i="7"/>
  <c r="E172" i="7"/>
  <c r="D172" i="7"/>
  <c r="C172" i="7"/>
  <c r="B172" i="7"/>
  <c r="AB166" i="7"/>
  <c r="AC166" i="7" s="1"/>
  <c r="V166" i="7"/>
  <c r="U166" i="7"/>
  <c r="T166" i="7"/>
  <c r="S166" i="7"/>
  <c r="R166" i="7"/>
  <c r="Q166" i="7"/>
  <c r="P166" i="7"/>
  <c r="O166" i="7"/>
  <c r="N166" i="7"/>
  <c r="M166" i="7"/>
  <c r="W166" i="7" s="1"/>
  <c r="I166" i="7"/>
  <c r="H166" i="7"/>
  <c r="G166" i="7"/>
  <c r="F166" i="7"/>
  <c r="E166" i="7"/>
  <c r="D166" i="7"/>
  <c r="C166" i="7"/>
  <c r="B166" i="7"/>
  <c r="AC160" i="7"/>
  <c r="V160" i="7"/>
  <c r="U160" i="7"/>
  <c r="T160" i="7"/>
  <c r="S160" i="7"/>
  <c r="R160" i="7"/>
  <c r="Q160" i="7"/>
  <c r="P160" i="7"/>
  <c r="O160" i="7"/>
  <c r="N160" i="7"/>
  <c r="M160" i="7"/>
  <c r="I160" i="7"/>
  <c r="H160" i="7"/>
  <c r="G160" i="7"/>
  <c r="F160" i="7"/>
  <c r="E160" i="7"/>
  <c r="D160" i="7"/>
  <c r="C160" i="7"/>
  <c r="B160" i="7"/>
  <c r="AC154" i="7"/>
  <c r="V154" i="7"/>
  <c r="U154" i="7"/>
  <c r="T154" i="7"/>
  <c r="S154" i="7"/>
  <c r="R154" i="7"/>
  <c r="Q154" i="7"/>
  <c r="P154" i="7"/>
  <c r="O154" i="7"/>
  <c r="W154" i="7" s="1"/>
  <c r="N154" i="7"/>
  <c r="M154" i="7"/>
  <c r="I154" i="7"/>
  <c r="H154" i="7"/>
  <c r="G154" i="7"/>
  <c r="F154" i="7"/>
  <c r="E154" i="7"/>
  <c r="D154" i="7"/>
  <c r="C154" i="7"/>
  <c r="B154" i="7"/>
  <c r="J154" i="7" s="1"/>
  <c r="AC148" i="7"/>
  <c r="V148" i="7"/>
  <c r="U148" i="7"/>
  <c r="T148" i="7"/>
  <c r="S148" i="7"/>
  <c r="R148" i="7"/>
  <c r="Q148" i="7"/>
  <c r="P148" i="7"/>
  <c r="W148" i="7" s="1"/>
  <c r="O148" i="7"/>
  <c r="N148" i="7"/>
  <c r="M148" i="7"/>
  <c r="I148" i="7"/>
  <c r="H148" i="7"/>
  <c r="G148" i="7"/>
  <c r="F148" i="7"/>
  <c r="E148" i="7"/>
  <c r="D148" i="7"/>
  <c r="C148" i="7"/>
  <c r="B148" i="7"/>
  <c r="J148" i="7" s="1"/>
  <c r="AC142" i="7"/>
  <c r="V142" i="7"/>
  <c r="U142" i="7"/>
  <c r="T142" i="7"/>
  <c r="S142" i="7"/>
  <c r="R142" i="7"/>
  <c r="Q142" i="7"/>
  <c r="W142" i="7" s="1"/>
  <c r="X142" i="7" s="1"/>
  <c r="P142" i="7"/>
  <c r="O142" i="7"/>
  <c r="N142" i="7"/>
  <c r="M142" i="7"/>
  <c r="I142" i="7"/>
  <c r="H142" i="7"/>
  <c r="G142" i="7"/>
  <c r="F142" i="7"/>
  <c r="E142" i="7"/>
  <c r="D142" i="7"/>
  <c r="C142" i="7"/>
  <c r="J142" i="7" s="1"/>
  <c r="B142" i="7"/>
  <c r="AC136" i="7"/>
  <c r="V136" i="7"/>
  <c r="U136" i="7"/>
  <c r="T136" i="7"/>
  <c r="S136" i="7"/>
  <c r="R136" i="7"/>
  <c r="Q136" i="7"/>
  <c r="P136" i="7"/>
  <c r="O136" i="7"/>
  <c r="N136" i="7"/>
  <c r="M136" i="7"/>
  <c r="I136" i="7"/>
  <c r="H136" i="7"/>
  <c r="G136" i="7"/>
  <c r="F136" i="7"/>
  <c r="E136" i="7"/>
  <c r="D136" i="7"/>
  <c r="J136" i="7" s="1"/>
  <c r="C136" i="7"/>
  <c r="B136" i="7"/>
  <c r="AC130" i="7"/>
  <c r="V130" i="7"/>
  <c r="U130" i="7"/>
  <c r="T130" i="7"/>
  <c r="S130" i="7"/>
  <c r="R130" i="7"/>
  <c r="Q130" i="7"/>
  <c r="P130" i="7"/>
  <c r="O130" i="7"/>
  <c r="N130" i="7"/>
  <c r="M130" i="7"/>
  <c r="W130" i="7" s="1"/>
  <c r="I130" i="7"/>
  <c r="H130" i="7"/>
  <c r="G130" i="7"/>
  <c r="F130" i="7"/>
  <c r="E130" i="7"/>
  <c r="D130" i="7"/>
  <c r="C130" i="7"/>
  <c r="B130" i="7"/>
  <c r="AC124" i="7"/>
  <c r="V124" i="7"/>
  <c r="U124" i="7"/>
  <c r="T124" i="7"/>
  <c r="S124" i="7"/>
  <c r="R124" i="7"/>
  <c r="Q124" i="7"/>
  <c r="P124" i="7"/>
  <c r="O124" i="7"/>
  <c r="W124" i="7" s="1"/>
  <c r="N124" i="7"/>
  <c r="M124" i="7"/>
  <c r="I124" i="7"/>
  <c r="H124" i="7"/>
  <c r="G124" i="7"/>
  <c r="F124" i="7"/>
  <c r="E124" i="7"/>
  <c r="D124" i="7"/>
  <c r="C124" i="7"/>
  <c r="B124" i="7"/>
  <c r="AC118" i="7"/>
  <c r="V118" i="7"/>
  <c r="U118" i="7"/>
  <c r="T118" i="7"/>
  <c r="S118" i="7"/>
  <c r="R118" i="7"/>
  <c r="Q118" i="7"/>
  <c r="P118" i="7"/>
  <c r="W118" i="7" s="1"/>
  <c r="O118" i="7"/>
  <c r="N118" i="7"/>
  <c r="M118" i="7"/>
  <c r="I118" i="7"/>
  <c r="H118" i="7"/>
  <c r="G118" i="7"/>
  <c r="F118" i="7"/>
  <c r="E118" i="7"/>
  <c r="D118" i="7"/>
  <c r="C118" i="7"/>
  <c r="B118" i="7"/>
  <c r="J118" i="7" s="1"/>
  <c r="AC112" i="7"/>
  <c r="V112" i="7"/>
  <c r="U112" i="7"/>
  <c r="T112" i="7"/>
  <c r="S112" i="7"/>
  <c r="R112" i="7"/>
  <c r="Q112" i="7"/>
  <c r="W112" i="7" s="1"/>
  <c r="X112" i="7" s="1"/>
  <c r="P112" i="7"/>
  <c r="O112" i="7"/>
  <c r="N112" i="7"/>
  <c r="M112" i="7"/>
  <c r="I112" i="7"/>
  <c r="H112" i="7"/>
  <c r="G112" i="7"/>
  <c r="F112" i="7"/>
  <c r="E112" i="7"/>
  <c r="D112" i="7"/>
  <c r="C112" i="7"/>
  <c r="J112" i="7" s="1"/>
  <c r="B112" i="7"/>
  <c r="AC106" i="7"/>
  <c r="V106" i="7"/>
  <c r="U106" i="7"/>
  <c r="T106" i="7"/>
  <c r="S106" i="7"/>
  <c r="R106" i="7"/>
  <c r="Q106" i="7"/>
  <c r="P106" i="7"/>
  <c r="O106" i="7"/>
  <c r="N106" i="7"/>
  <c r="M106" i="7"/>
  <c r="I106" i="7"/>
  <c r="H106" i="7"/>
  <c r="G106" i="7"/>
  <c r="F106" i="7"/>
  <c r="E106" i="7"/>
  <c r="D106" i="7"/>
  <c r="J106" i="7" s="1"/>
  <c r="C106" i="7"/>
  <c r="B106" i="7"/>
  <c r="AC100" i="7"/>
  <c r="AB100" i="7"/>
  <c r="V100" i="7"/>
  <c r="U100" i="7"/>
  <c r="T100" i="7"/>
  <c r="S100" i="7"/>
  <c r="R100" i="7"/>
  <c r="Q100" i="7"/>
  <c r="P100" i="7"/>
  <c r="O100" i="7"/>
  <c r="N100" i="7"/>
  <c r="W100" i="7" s="1"/>
  <c r="X100" i="7" s="1"/>
  <c r="M100" i="7"/>
  <c r="I100" i="7"/>
  <c r="H100" i="7"/>
  <c r="G100" i="7"/>
  <c r="F100" i="7"/>
  <c r="E100" i="7"/>
  <c r="D100" i="7"/>
  <c r="C100" i="7"/>
  <c r="B100" i="7"/>
  <c r="J100" i="7" s="1"/>
  <c r="AC94" i="7"/>
  <c r="V94" i="7"/>
  <c r="U94" i="7"/>
  <c r="T94" i="7"/>
  <c r="S94" i="7"/>
  <c r="R94" i="7"/>
  <c r="Q94" i="7"/>
  <c r="P94" i="7"/>
  <c r="W94" i="7" s="1"/>
  <c r="X94" i="7" s="1"/>
  <c r="O94" i="7"/>
  <c r="N94" i="7"/>
  <c r="M94" i="7"/>
  <c r="I94" i="7"/>
  <c r="H94" i="7"/>
  <c r="G94" i="7"/>
  <c r="F94" i="7"/>
  <c r="E94" i="7"/>
  <c r="D94" i="7"/>
  <c r="C94" i="7"/>
  <c r="B94" i="7"/>
  <c r="J94" i="7" s="1"/>
  <c r="AC88" i="7"/>
  <c r="V88" i="7"/>
  <c r="U88" i="7"/>
  <c r="T88" i="7"/>
  <c r="S88" i="7"/>
  <c r="R88" i="7"/>
  <c r="Q88" i="7"/>
  <c r="W88" i="7" s="1"/>
  <c r="X88" i="7" s="1"/>
  <c r="P88" i="7"/>
  <c r="O88" i="7"/>
  <c r="N88" i="7"/>
  <c r="M88" i="7"/>
  <c r="I88" i="7"/>
  <c r="H88" i="7"/>
  <c r="G88" i="7"/>
  <c r="F88" i="7"/>
  <c r="E88" i="7"/>
  <c r="D88" i="7"/>
  <c r="C88" i="7"/>
  <c r="J88" i="7" s="1"/>
  <c r="B88" i="7"/>
  <c r="AB82" i="7"/>
  <c r="AC82" i="7" s="1"/>
  <c r="V82" i="7"/>
  <c r="U82" i="7"/>
  <c r="T82" i="7"/>
  <c r="S82" i="7"/>
  <c r="R82" i="7"/>
  <c r="Q82" i="7"/>
  <c r="P82" i="7"/>
  <c r="O82" i="7"/>
  <c r="N82" i="7"/>
  <c r="M82" i="7"/>
  <c r="W82" i="7" s="1"/>
  <c r="X82" i="7" s="1"/>
  <c r="AD82" i="7" s="1"/>
  <c r="AF82" i="7" s="1"/>
  <c r="I82" i="7"/>
  <c r="H82" i="7"/>
  <c r="G82" i="7"/>
  <c r="F82" i="7"/>
  <c r="E82" i="7"/>
  <c r="D82" i="7"/>
  <c r="J82" i="7" s="1"/>
  <c r="C82" i="7"/>
  <c r="B82" i="7"/>
  <c r="AC76" i="7"/>
  <c r="V76" i="7"/>
  <c r="U76" i="7"/>
  <c r="T76" i="7"/>
  <c r="S76" i="7"/>
  <c r="R76" i="7"/>
  <c r="Q76" i="7"/>
  <c r="P76" i="7"/>
  <c r="O76" i="7"/>
  <c r="N76" i="7"/>
  <c r="M76" i="7"/>
  <c r="I76" i="7"/>
  <c r="H76" i="7"/>
  <c r="G76" i="7"/>
  <c r="F76" i="7"/>
  <c r="E76" i="7"/>
  <c r="D76" i="7"/>
  <c r="C76" i="7"/>
  <c r="B76" i="7"/>
  <c r="AB70" i="7"/>
  <c r="AC70" i="7" s="1"/>
  <c r="W70" i="7"/>
  <c r="X70" i="7" s="1"/>
  <c r="V70" i="7"/>
  <c r="U70" i="7"/>
  <c r="T70" i="7"/>
  <c r="S70" i="7"/>
  <c r="R70" i="7"/>
  <c r="Q70" i="7"/>
  <c r="P70" i="7"/>
  <c r="O70" i="7"/>
  <c r="N70" i="7"/>
  <c r="M70" i="7"/>
  <c r="I70" i="7"/>
  <c r="H70" i="7"/>
  <c r="G70" i="7"/>
  <c r="F70" i="7"/>
  <c r="E70" i="7"/>
  <c r="D70" i="7"/>
  <c r="C70" i="7"/>
  <c r="J70" i="7" s="1"/>
  <c r="B70" i="7"/>
  <c r="AC64" i="7"/>
  <c r="V64" i="7"/>
  <c r="U64" i="7"/>
  <c r="T64" i="7"/>
  <c r="S64" i="7"/>
  <c r="R64" i="7"/>
  <c r="Q64" i="7"/>
  <c r="P64" i="7"/>
  <c r="O64" i="7"/>
  <c r="N64" i="7"/>
  <c r="M64" i="7"/>
  <c r="W64" i="7" s="1"/>
  <c r="I64" i="7"/>
  <c r="H64" i="7"/>
  <c r="G64" i="7"/>
  <c r="F64" i="7"/>
  <c r="E64" i="7"/>
  <c r="D64" i="7"/>
  <c r="J64" i="7" s="1"/>
  <c r="C64" i="7"/>
  <c r="B64" i="7"/>
  <c r="AC58" i="7"/>
  <c r="V58" i="7"/>
  <c r="U58" i="7"/>
  <c r="T58" i="7"/>
  <c r="S58" i="7"/>
  <c r="R58" i="7"/>
  <c r="Q58" i="7"/>
  <c r="P58" i="7"/>
  <c r="O58" i="7"/>
  <c r="N58" i="7"/>
  <c r="M58" i="7"/>
  <c r="W58" i="7" s="1"/>
  <c r="I58" i="7"/>
  <c r="H58" i="7"/>
  <c r="G58" i="7"/>
  <c r="F58" i="7"/>
  <c r="E58" i="7"/>
  <c r="D58" i="7"/>
  <c r="C58" i="7"/>
  <c r="B58" i="7"/>
  <c r="AC52" i="7"/>
  <c r="V52" i="7"/>
  <c r="U52" i="7"/>
  <c r="T52" i="7"/>
  <c r="S52" i="7"/>
  <c r="R52" i="7"/>
  <c r="Q52" i="7"/>
  <c r="P52" i="7"/>
  <c r="O52" i="7"/>
  <c r="N52" i="7"/>
  <c r="M52" i="7"/>
  <c r="W52" i="7" s="1"/>
  <c r="I52" i="7"/>
  <c r="H52" i="7"/>
  <c r="G52" i="7"/>
  <c r="F52" i="7"/>
  <c r="E52" i="7"/>
  <c r="D52" i="7"/>
  <c r="C52" i="7"/>
  <c r="B52" i="7"/>
  <c r="J52" i="7" s="1"/>
  <c r="AC46" i="7"/>
  <c r="V46" i="7"/>
  <c r="U46" i="7"/>
  <c r="T46" i="7"/>
  <c r="S46" i="7"/>
  <c r="R46" i="7"/>
  <c r="Q46" i="7"/>
  <c r="P46" i="7"/>
  <c r="O46" i="7"/>
  <c r="N46" i="7"/>
  <c r="M46" i="7"/>
  <c r="W46" i="7" s="1"/>
  <c r="X46" i="7" s="1"/>
  <c r="AA46" i="7" s="1"/>
  <c r="I46" i="7"/>
  <c r="H46" i="7"/>
  <c r="G46" i="7"/>
  <c r="F46" i="7"/>
  <c r="E46" i="7"/>
  <c r="D46" i="7"/>
  <c r="C46" i="7"/>
  <c r="B46" i="7"/>
  <c r="J46" i="7" s="1"/>
  <c r="AC40" i="7"/>
  <c r="V40" i="7"/>
  <c r="U40" i="7"/>
  <c r="T40" i="7"/>
  <c r="S40" i="7"/>
  <c r="R40" i="7"/>
  <c r="Q40" i="7"/>
  <c r="P40" i="7"/>
  <c r="W40" i="7" s="1"/>
  <c r="X40" i="7" s="1"/>
  <c r="O40" i="7"/>
  <c r="N40" i="7"/>
  <c r="M40" i="7"/>
  <c r="I40" i="7"/>
  <c r="H40" i="7"/>
  <c r="G40" i="7"/>
  <c r="F40" i="7"/>
  <c r="E40" i="7"/>
  <c r="D40" i="7"/>
  <c r="C40" i="7"/>
  <c r="B40" i="7"/>
  <c r="J40" i="7" s="1"/>
  <c r="AB34" i="7"/>
  <c r="AC34" i="7" s="1"/>
  <c r="V34" i="7"/>
  <c r="U34" i="7"/>
  <c r="T34" i="7"/>
  <c r="S34" i="7"/>
  <c r="R34" i="7"/>
  <c r="Q34" i="7"/>
  <c r="P34" i="7"/>
  <c r="O34" i="7"/>
  <c r="N34" i="7"/>
  <c r="M34" i="7"/>
  <c r="I34" i="7"/>
  <c r="H34" i="7"/>
  <c r="G34" i="7"/>
  <c r="F34" i="7"/>
  <c r="E34" i="7"/>
  <c r="D34" i="7"/>
  <c r="J34" i="7" s="1"/>
  <c r="C34" i="7"/>
  <c r="B34" i="7"/>
  <c r="AC28" i="7"/>
  <c r="V28" i="7"/>
  <c r="U28" i="7"/>
  <c r="T28" i="7"/>
  <c r="S28" i="7"/>
  <c r="R28" i="7"/>
  <c r="Q28" i="7"/>
  <c r="P28" i="7"/>
  <c r="O28" i="7"/>
  <c r="N28" i="7"/>
  <c r="M28" i="7"/>
  <c r="W28" i="7" s="1"/>
  <c r="I28" i="7"/>
  <c r="H28" i="7"/>
  <c r="G28" i="7"/>
  <c r="F28" i="7"/>
  <c r="E28" i="7"/>
  <c r="D28" i="7"/>
  <c r="C28" i="7"/>
  <c r="B28" i="7"/>
  <c r="AC22" i="7"/>
  <c r="V22" i="7"/>
  <c r="U22" i="7"/>
  <c r="T22" i="7"/>
  <c r="S22" i="7"/>
  <c r="R22" i="7"/>
  <c r="Q22" i="7"/>
  <c r="P22" i="7"/>
  <c r="O22" i="7"/>
  <c r="N22" i="7"/>
  <c r="M22" i="7"/>
  <c r="I22" i="7"/>
  <c r="H22" i="7"/>
  <c r="G22" i="7"/>
  <c r="F22" i="7"/>
  <c r="E22" i="7"/>
  <c r="D22" i="7"/>
  <c r="C22" i="7"/>
  <c r="B22" i="7"/>
  <c r="V16" i="7"/>
  <c r="U16" i="7"/>
  <c r="T16" i="7"/>
  <c r="S16" i="7"/>
  <c r="R16" i="7"/>
  <c r="Q16" i="7"/>
  <c r="P16" i="7"/>
  <c r="O16" i="7"/>
  <c r="N16" i="7"/>
  <c r="M16" i="7"/>
  <c r="I16" i="7"/>
  <c r="H16" i="7"/>
  <c r="G16" i="7"/>
  <c r="F16" i="7"/>
  <c r="E16" i="7"/>
  <c r="D16" i="7"/>
  <c r="C16" i="7"/>
  <c r="B16" i="7"/>
  <c r="J16" i="7" s="1"/>
  <c r="AD10" i="7"/>
  <c r="AF10" i="7" s="1"/>
  <c r="AC10" i="7"/>
  <c r="V10" i="7"/>
  <c r="U10" i="7"/>
  <c r="T10" i="7"/>
  <c r="S10" i="7"/>
  <c r="R10" i="7"/>
  <c r="Q10" i="7"/>
  <c r="P10" i="7"/>
  <c r="O10" i="7"/>
  <c r="N10" i="7"/>
  <c r="M10" i="7"/>
  <c r="W10" i="7" s="1"/>
  <c r="X10" i="7" s="1"/>
  <c r="AA10" i="7" s="1"/>
  <c r="I10" i="7"/>
  <c r="H10" i="7"/>
  <c r="G10" i="7"/>
  <c r="F10" i="7"/>
  <c r="E10" i="7"/>
  <c r="D10" i="7"/>
  <c r="C10" i="7"/>
  <c r="B10" i="7"/>
  <c r="J10" i="7" s="1"/>
  <c r="V4" i="7"/>
  <c r="U4" i="7"/>
  <c r="T4" i="7"/>
  <c r="S4" i="7"/>
  <c r="R4" i="7"/>
  <c r="Q4" i="7"/>
  <c r="P4" i="7"/>
  <c r="O4" i="7"/>
  <c r="N4" i="7"/>
  <c r="M4" i="7"/>
  <c r="W4" i="7" s="1"/>
  <c r="X4" i="7" s="1"/>
  <c r="I4" i="7"/>
  <c r="H4" i="7"/>
  <c r="G4" i="7"/>
  <c r="F4" i="7"/>
  <c r="E4" i="7"/>
  <c r="D4" i="7"/>
  <c r="C4" i="7"/>
  <c r="B4" i="7"/>
  <c r="J4" i="7" s="1"/>
  <c r="Z175" i="6"/>
  <c r="Y175" i="6"/>
  <c r="AC173" i="6"/>
  <c r="V173" i="6"/>
  <c r="U173" i="6"/>
  <c r="T173" i="6"/>
  <c r="S173" i="6"/>
  <c r="R173" i="6"/>
  <c r="Q173" i="6"/>
  <c r="P173" i="6"/>
  <c r="O173" i="6"/>
  <c r="N173" i="6"/>
  <c r="M173" i="6"/>
  <c r="W173" i="6" s="1"/>
  <c r="I173" i="6"/>
  <c r="H173" i="6"/>
  <c r="G173" i="6"/>
  <c r="F173" i="6"/>
  <c r="E173" i="6"/>
  <c r="D173" i="6"/>
  <c r="C173" i="6"/>
  <c r="J173" i="6" s="1"/>
  <c r="B173" i="6"/>
  <c r="AC167" i="6"/>
  <c r="V167" i="6"/>
  <c r="U167" i="6"/>
  <c r="T167" i="6"/>
  <c r="S167" i="6"/>
  <c r="R167" i="6"/>
  <c r="Q167" i="6"/>
  <c r="P167" i="6"/>
  <c r="O167" i="6"/>
  <c r="N167" i="6"/>
  <c r="M167" i="6"/>
  <c r="W167" i="6" s="1"/>
  <c r="X167" i="6" s="1"/>
  <c r="I167" i="6"/>
  <c r="H167" i="6"/>
  <c r="G167" i="6"/>
  <c r="F167" i="6"/>
  <c r="E167" i="6"/>
  <c r="D167" i="6"/>
  <c r="J167" i="6" s="1"/>
  <c r="C167" i="6"/>
  <c r="B167" i="6"/>
  <c r="AC161" i="6"/>
  <c r="V161" i="6"/>
  <c r="U161" i="6"/>
  <c r="T161" i="6"/>
  <c r="S161" i="6"/>
  <c r="R161" i="6"/>
  <c r="Q161" i="6"/>
  <c r="P161" i="6"/>
  <c r="O161" i="6"/>
  <c r="N161" i="6"/>
  <c r="M161" i="6"/>
  <c r="I161" i="6"/>
  <c r="H161" i="6"/>
  <c r="G161" i="6"/>
  <c r="F161" i="6"/>
  <c r="E161" i="6"/>
  <c r="D161" i="6"/>
  <c r="C161" i="6"/>
  <c r="B161" i="6"/>
  <c r="AB155" i="6"/>
  <c r="AC155" i="6" s="1"/>
  <c r="V155" i="6"/>
  <c r="U155" i="6"/>
  <c r="T155" i="6"/>
  <c r="S155" i="6"/>
  <c r="R155" i="6"/>
  <c r="Q155" i="6"/>
  <c r="P155" i="6"/>
  <c r="O155" i="6"/>
  <c r="N155" i="6"/>
  <c r="M155" i="6"/>
  <c r="J155" i="6"/>
  <c r="I155" i="6"/>
  <c r="H155" i="6"/>
  <c r="G155" i="6"/>
  <c r="F155" i="6"/>
  <c r="E155" i="6"/>
  <c r="D155" i="6"/>
  <c r="C155" i="6"/>
  <c r="B155" i="6"/>
  <c r="AB149" i="6"/>
  <c r="AC149" i="6" s="1"/>
  <c r="V149" i="6"/>
  <c r="U149" i="6"/>
  <c r="T149" i="6"/>
  <c r="S149" i="6"/>
  <c r="R149" i="6"/>
  <c r="Q149" i="6"/>
  <c r="P149" i="6"/>
  <c r="O149" i="6"/>
  <c r="N149" i="6"/>
  <c r="M149" i="6"/>
  <c r="I149" i="6"/>
  <c r="H149" i="6"/>
  <c r="G149" i="6"/>
  <c r="F149" i="6"/>
  <c r="E149" i="6"/>
  <c r="D149" i="6"/>
  <c r="C149" i="6"/>
  <c r="B149" i="6"/>
  <c r="AC143" i="6"/>
  <c r="V143" i="6"/>
  <c r="U143" i="6"/>
  <c r="T143" i="6"/>
  <c r="S143" i="6"/>
  <c r="R143" i="6"/>
  <c r="Q143" i="6"/>
  <c r="P143" i="6"/>
  <c r="O143" i="6"/>
  <c r="N143" i="6"/>
  <c r="M143" i="6"/>
  <c r="I143" i="6"/>
  <c r="H143" i="6"/>
  <c r="G143" i="6"/>
  <c r="F143" i="6"/>
  <c r="E143" i="6"/>
  <c r="D143" i="6"/>
  <c r="C143" i="6"/>
  <c r="B143" i="6"/>
  <c r="J143" i="6" s="1"/>
  <c r="AC137" i="6"/>
  <c r="V137" i="6"/>
  <c r="U137" i="6"/>
  <c r="T137" i="6"/>
  <c r="S137" i="6"/>
  <c r="R137" i="6"/>
  <c r="Q137" i="6"/>
  <c r="W137" i="6" s="1"/>
  <c r="P137" i="6"/>
  <c r="O137" i="6"/>
  <c r="N137" i="6"/>
  <c r="M137" i="6"/>
  <c r="I137" i="6"/>
  <c r="H137" i="6"/>
  <c r="G137" i="6"/>
  <c r="F137" i="6"/>
  <c r="E137" i="6"/>
  <c r="D137" i="6"/>
  <c r="C137" i="6"/>
  <c r="B137" i="6"/>
  <c r="AC131" i="6"/>
  <c r="V131" i="6"/>
  <c r="U131" i="6"/>
  <c r="T131" i="6"/>
  <c r="S131" i="6"/>
  <c r="R131" i="6"/>
  <c r="Q131" i="6"/>
  <c r="P131" i="6"/>
  <c r="O131" i="6"/>
  <c r="N131" i="6"/>
  <c r="M131" i="6"/>
  <c r="W131" i="6" s="1"/>
  <c r="I131" i="6"/>
  <c r="H131" i="6"/>
  <c r="G131" i="6"/>
  <c r="F131" i="6"/>
  <c r="E131" i="6"/>
  <c r="D131" i="6"/>
  <c r="J131" i="6" s="1"/>
  <c r="C131" i="6"/>
  <c r="B131" i="6"/>
  <c r="AC125" i="6"/>
  <c r="V125" i="6"/>
  <c r="U125" i="6"/>
  <c r="T125" i="6"/>
  <c r="S125" i="6"/>
  <c r="R125" i="6"/>
  <c r="Q125" i="6"/>
  <c r="P125" i="6"/>
  <c r="O125" i="6"/>
  <c r="N125" i="6"/>
  <c r="M125" i="6"/>
  <c r="I125" i="6"/>
  <c r="H125" i="6"/>
  <c r="G125" i="6"/>
  <c r="F125" i="6"/>
  <c r="E125" i="6"/>
  <c r="D125" i="6"/>
  <c r="C125" i="6"/>
  <c r="B125" i="6"/>
  <c r="AC119" i="6"/>
  <c r="AB119" i="6"/>
  <c r="V119" i="6"/>
  <c r="U119" i="6"/>
  <c r="T119" i="6"/>
  <c r="S119" i="6"/>
  <c r="R119" i="6"/>
  <c r="Q119" i="6"/>
  <c r="W119" i="6" s="1"/>
  <c r="X119" i="6" s="1"/>
  <c r="P119" i="6"/>
  <c r="O119" i="6"/>
  <c r="N119" i="6"/>
  <c r="M119" i="6"/>
  <c r="I119" i="6"/>
  <c r="H119" i="6"/>
  <c r="G119" i="6"/>
  <c r="F119" i="6"/>
  <c r="E119" i="6"/>
  <c r="D119" i="6"/>
  <c r="C119" i="6"/>
  <c r="J119" i="6" s="1"/>
  <c r="B119" i="6"/>
  <c r="AB113" i="6"/>
  <c r="AC113" i="6" s="1"/>
  <c r="V113" i="6"/>
  <c r="U113" i="6"/>
  <c r="T113" i="6"/>
  <c r="S113" i="6"/>
  <c r="R113" i="6"/>
  <c r="Q113" i="6"/>
  <c r="P113" i="6"/>
  <c r="O113" i="6"/>
  <c r="N113" i="6"/>
  <c r="M113" i="6"/>
  <c r="I113" i="6"/>
  <c r="H113" i="6"/>
  <c r="G113" i="6"/>
  <c r="F113" i="6"/>
  <c r="E113" i="6"/>
  <c r="D113" i="6"/>
  <c r="C113" i="6"/>
  <c r="B113" i="6"/>
  <c r="AC107" i="6"/>
  <c r="V107" i="6"/>
  <c r="U107" i="6"/>
  <c r="T107" i="6"/>
  <c r="S107" i="6"/>
  <c r="R107" i="6"/>
  <c r="Q107" i="6"/>
  <c r="P107" i="6"/>
  <c r="O107" i="6"/>
  <c r="N107" i="6"/>
  <c r="M107" i="6"/>
  <c r="I107" i="6"/>
  <c r="H107" i="6"/>
  <c r="G107" i="6"/>
  <c r="F107" i="6"/>
  <c r="E107" i="6"/>
  <c r="D107" i="6"/>
  <c r="C107" i="6"/>
  <c r="B107" i="6"/>
  <c r="J107" i="6" s="1"/>
  <c r="AC101" i="6"/>
  <c r="V101" i="6"/>
  <c r="U101" i="6"/>
  <c r="T101" i="6"/>
  <c r="S101" i="6"/>
  <c r="R101" i="6"/>
  <c r="Q101" i="6"/>
  <c r="P101" i="6"/>
  <c r="O101" i="6"/>
  <c r="N101" i="6"/>
  <c r="W101" i="6" s="1"/>
  <c r="X101" i="6" s="1"/>
  <c r="M101" i="6"/>
  <c r="I101" i="6"/>
  <c r="H101" i="6"/>
  <c r="G101" i="6"/>
  <c r="F101" i="6"/>
  <c r="E101" i="6"/>
  <c r="D101" i="6"/>
  <c r="C101" i="6"/>
  <c r="B101" i="6"/>
  <c r="J101" i="6" s="1"/>
  <c r="V95" i="6"/>
  <c r="U95" i="6"/>
  <c r="T95" i="6"/>
  <c r="S95" i="6"/>
  <c r="R95" i="6"/>
  <c r="Q95" i="6"/>
  <c r="P95" i="6"/>
  <c r="O95" i="6"/>
  <c r="N95" i="6"/>
  <c r="W95" i="6" s="1"/>
  <c r="X95" i="6" s="1"/>
  <c r="M95" i="6"/>
  <c r="I95" i="6"/>
  <c r="H95" i="6"/>
  <c r="G95" i="6"/>
  <c r="F95" i="6"/>
  <c r="E95" i="6"/>
  <c r="D95" i="6"/>
  <c r="C95" i="6"/>
  <c r="B95" i="6"/>
  <c r="J95" i="6" s="1"/>
  <c r="AC89" i="6"/>
  <c r="V89" i="6"/>
  <c r="U89" i="6"/>
  <c r="T89" i="6"/>
  <c r="S89" i="6"/>
  <c r="R89" i="6"/>
  <c r="Q89" i="6"/>
  <c r="W89" i="6" s="1"/>
  <c r="X89" i="6" s="1"/>
  <c r="P89" i="6"/>
  <c r="O89" i="6"/>
  <c r="N89" i="6"/>
  <c r="M89" i="6"/>
  <c r="I89" i="6"/>
  <c r="H89" i="6"/>
  <c r="G89" i="6"/>
  <c r="F89" i="6"/>
  <c r="E89" i="6"/>
  <c r="D89" i="6"/>
  <c r="C89" i="6"/>
  <c r="J89" i="6" s="1"/>
  <c r="B89" i="6"/>
  <c r="AC83" i="6"/>
  <c r="V83" i="6"/>
  <c r="U83" i="6"/>
  <c r="T83" i="6"/>
  <c r="S83" i="6"/>
  <c r="R83" i="6"/>
  <c r="Q83" i="6"/>
  <c r="P83" i="6"/>
  <c r="O83" i="6"/>
  <c r="N83" i="6"/>
  <c r="M83" i="6"/>
  <c r="I83" i="6"/>
  <c r="H83" i="6"/>
  <c r="G83" i="6"/>
  <c r="F83" i="6"/>
  <c r="E83" i="6"/>
  <c r="D83" i="6"/>
  <c r="J83" i="6" s="1"/>
  <c r="C83" i="6"/>
  <c r="B83" i="6"/>
  <c r="AC77" i="6"/>
  <c r="AB77" i="6"/>
  <c r="V77" i="6"/>
  <c r="U77" i="6"/>
  <c r="T77" i="6"/>
  <c r="S77" i="6"/>
  <c r="R77" i="6"/>
  <c r="Q77" i="6"/>
  <c r="P77" i="6"/>
  <c r="O77" i="6"/>
  <c r="N77" i="6"/>
  <c r="M77" i="6"/>
  <c r="I77" i="6"/>
  <c r="H77" i="6"/>
  <c r="G77" i="6"/>
  <c r="F77" i="6"/>
  <c r="E77" i="6"/>
  <c r="D77" i="6"/>
  <c r="C77" i="6"/>
  <c r="B77" i="6"/>
  <c r="AB71" i="6"/>
  <c r="AC71" i="6" s="1"/>
  <c r="V71" i="6"/>
  <c r="U71" i="6"/>
  <c r="T71" i="6"/>
  <c r="S71" i="6"/>
  <c r="R71" i="6"/>
  <c r="Q71" i="6"/>
  <c r="P71" i="6"/>
  <c r="O71" i="6"/>
  <c r="N71" i="6"/>
  <c r="M71" i="6"/>
  <c r="I71" i="6"/>
  <c r="H71" i="6"/>
  <c r="G71" i="6"/>
  <c r="F71" i="6"/>
  <c r="E71" i="6"/>
  <c r="D71" i="6"/>
  <c r="J71" i="6" s="1"/>
  <c r="C71" i="6"/>
  <c r="B71" i="6"/>
  <c r="AC65" i="6"/>
  <c r="V65" i="6"/>
  <c r="U65" i="6"/>
  <c r="T65" i="6"/>
  <c r="S65" i="6"/>
  <c r="R65" i="6"/>
  <c r="Q65" i="6"/>
  <c r="P65" i="6"/>
  <c r="O65" i="6"/>
  <c r="N65" i="6"/>
  <c r="M65" i="6"/>
  <c r="W65" i="6" s="1"/>
  <c r="I65" i="6"/>
  <c r="H65" i="6"/>
  <c r="G65" i="6"/>
  <c r="F65" i="6"/>
  <c r="E65" i="6"/>
  <c r="D65" i="6"/>
  <c r="C65" i="6"/>
  <c r="B65" i="6"/>
  <c r="AC59" i="6"/>
  <c r="V59" i="6"/>
  <c r="U59" i="6"/>
  <c r="T59" i="6"/>
  <c r="S59" i="6"/>
  <c r="R59" i="6"/>
  <c r="Q59" i="6"/>
  <c r="P59" i="6"/>
  <c r="O59" i="6"/>
  <c r="N59" i="6"/>
  <c r="M59" i="6"/>
  <c r="I59" i="6"/>
  <c r="H59" i="6"/>
  <c r="G59" i="6"/>
  <c r="F59" i="6"/>
  <c r="E59" i="6"/>
  <c r="D59" i="6"/>
  <c r="C59" i="6"/>
  <c r="B59" i="6"/>
  <c r="AC53" i="6"/>
  <c r="V53" i="6"/>
  <c r="U53" i="6"/>
  <c r="T53" i="6"/>
  <c r="S53" i="6"/>
  <c r="R53" i="6"/>
  <c r="Q53" i="6"/>
  <c r="P53" i="6"/>
  <c r="O53" i="6"/>
  <c r="N53" i="6"/>
  <c r="M53" i="6"/>
  <c r="I53" i="6"/>
  <c r="H53" i="6"/>
  <c r="G53" i="6"/>
  <c r="F53" i="6"/>
  <c r="E53" i="6"/>
  <c r="D53" i="6"/>
  <c r="C53" i="6"/>
  <c r="B53" i="6"/>
  <c r="J53" i="6" s="1"/>
  <c r="AC47" i="6"/>
  <c r="AB47" i="6"/>
  <c r="V47" i="6"/>
  <c r="U47" i="6"/>
  <c r="T47" i="6"/>
  <c r="S47" i="6"/>
  <c r="R47" i="6"/>
  <c r="Q47" i="6"/>
  <c r="W47" i="6" s="1"/>
  <c r="X47" i="6" s="1"/>
  <c r="P47" i="6"/>
  <c r="O47" i="6"/>
  <c r="N47" i="6"/>
  <c r="M47" i="6"/>
  <c r="I47" i="6"/>
  <c r="H47" i="6"/>
  <c r="G47" i="6"/>
  <c r="F47" i="6"/>
  <c r="E47" i="6"/>
  <c r="D47" i="6"/>
  <c r="C47" i="6"/>
  <c r="J47" i="6" s="1"/>
  <c r="B47" i="6"/>
  <c r="AB41" i="6"/>
  <c r="AC41" i="6" s="1"/>
  <c r="V41" i="6"/>
  <c r="U41" i="6"/>
  <c r="T41" i="6"/>
  <c r="S41" i="6"/>
  <c r="R41" i="6"/>
  <c r="Q41" i="6"/>
  <c r="P41" i="6"/>
  <c r="O41" i="6"/>
  <c r="N41" i="6"/>
  <c r="M41" i="6"/>
  <c r="I41" i="6"/>
  <c r="H41" i="6"/>
  <c r="G41" i="6"/>
  <c r="F41" i="6"/>
  <c r="E41" i="6"/>
  <c r="D41" i="6"/>
  <c r="C41" i="6"/>
  <c r="B41" i="6"/>
  <c r="AB35" i="6"/>
  <c r="AC35" i="6" s="1"/>
  <c r="V35" i="6"/>
  <c r="U35" i="6"/>
  <c r="T35" i="6"/>
  <c r="S35" i="6"/>
  <c r="R35" i="6"/>
  <c r="Q35" i="6"/>
  <c r="P35" i="6"/>
  <c r="O35" i="6"/>
  <c r="N35" i="6"/>
  <c r="M35" i="6"/>
  <c r="I35" i="6"/>
  <c r="H35" i="6"/>
  <c r="G35" i="6"/>
  <c r="F35" i="6"/>
  <c r="E35" i="6"/>
  <c r="D35" i="6"/>
  <c r="C35" i="6"/>
  <c r="B35" i="6"/>
  <c r="J35" i="6" s="1"/>
  <c r="AC29" i="6"/>
  <c r="V29" i="6"/>
  <c r="U29" i="6"/>
  <c r="T29" i="6"/>
  <c r="S29" i="6"/>
  <c r="R29" i="6"/>
  <c r="Q29" i="6"/>
  <c r="P29" i="6"/>
  <c r="O29" i="6"/>
  <c r="N29" i="6"/>
  <c r="M29" i="6"/>
  <c r="W29" i="6" s="1"/>
  <c r="I29" i="6"/>
  <c r="H29" i="6"/>
  <c r="G29" i="6"/>
  <c r="F29" i="6"/>
  <c r="E29" i="6"/>
  <c r="D29" i="6"/>
  <c r="J29" i="6" s="1"/>
  <c r="C29" i="6"/>
  <c r="B29" i="6"/>
  <c r="AE23" i="6"/>
  <c r="AC23" i="6"/>
  <c r="AB23" i="6"/>
  <c r="V23" i="6"/>
  <c r="U23" i="6"/>
  <c r="T23" i="6"/>
  <c r="S23" i="6"/>
  <c r="R23" i="6"/>
  <c r="Q23" i="6"/>
  <c r="P23" i="6"/>
  <c r="O23" i="6"/>
  <c r="N23" i="6"/>
  <c r="M23" i="6"/>
  <c r="W23" i="6" s="1"/>
  <c r="X23" i="6" s="1"/>
  <c r="I23" i="6"/>
  <c r="H23" i="6"/>
  <c r="G23" i="6"/>
  <c r="F23" i="6"/>
  <c r="E23" i="6"/>
  <c r="D23" i="6"/>
  <c r="C23" i="6"/>
  <c r="B23" i="6"/>
  <c r="J23" i="6" s="1"/>
  <c r="AC17" i="6"/>
  <c r="V17" i="6"/>
  <c r="U17" i="6"/>
  <c r="T17" i="6"/>
  <c r="S17" i="6"/>
  <c r="R17" i="6"/>
  <c r="Q17" i="6"/>
  <c r="P17" i="6"/>
  <c r="O17" i="6"/>
  <c r="N17" i="6"/>
  <c r="W17" i="6" s="1"/>
  <c r="X17" i="6" s="1"/>
  <c r="M17" i="6"/>
  <c r="I17" i="6"/>
  <c r="H17" i="6"/>
  <c r="G17" i="6"/>
  <c r="F17" i="6"/>
  <c r="E17" i="6"/>
  <c r="D17" i="6"/>
  <c r="C17" i="6"/>
  <c r="B17" i="6"/>
  <c r="J17" i="6" s="1"/>
  <c r="AC11" i="6"/>
  <c r="V11" i="6"/>
  <c r="U11" i="6"/>
  <c r="T11" i="6"/>
  <c r="S11" i="6"/>
  <c r="R11" i="6"/>
  <c r="Q11" i="6"/>
  <c r="W11" i="6" s="1"/>
  <c r="X11" i="6" s="1"/>
  <c r="P11" i="6"/>
  <c r="O11" i="6"/>
  <c r="N11" i="6"/>
  <c r="M11" i="6"/>
  <c r="I11" i="6"/>
  <c r="H11" i="6"/>
  <c r="G11" i="6"/>
  <c r="F11" i="6"/>
  <c r="E11" i="6"/>
  <c r="D11" i="6"/>
  <c r="C11" i="6"/>
  <c r="J11" i="6" s="1"/>
  <c r="B11" i="6"/>
  <c r="AB5" i="6"/>
  <c r="AC5" i="6" s="1"/>
  <c r="AC175" i="6" s="1"/>
  <c r="V5" i="6"/>
  <c r="U5" i="6"/>
  <c r="T5" i="6"/>
  <c r="S5" i="6"/>
  <c r="R5" i="6"/>
  <c r="Q5" i="6"/>
  <c r="P5" i="6"/>
  <c r="O5" i="6"/>
  <c r="N5" i="6"/>
  <c r="M5" i="6"/>
  <c r="W5" i="6" s="1"/>
  <c r="I5" i="6"/>
  <c r="H5" i="6"/>
  <c r="G5" i="6"/>
  <c r="F5" i="6"/>
  <c r="E5" i="6"/>
  <c r="D5" i="6"/>
  <c r="C5" i="6"/>
  <c r="J5" i="6" s="1"/>
  <c r="B5" i="6"/>
  <c r="Y178" i="5"/>
  <c r="AF175" i="5"/>
  <c r="AC175" i="5"/>
  <c r="V175" i="5"/>
  <c r="U175" i="5"/>
  <c r="T175" i="5"/>
  <c r="S175" i="5"/>
  <c r="R175" i="5"/>
  <c r="Q175" i="5"/>
  <c r="P175" i="5"/>
  <c r="O175" i="5"/>
  <c r="N175" i="5"/>
  <c r="M175" i="5"/>
  <c r="I175" i="5"/>
  <c r="H175" i="5"/>
  <c r="G175" i="5"/>
  <c r="F175" i="5"/>
  <c r="E175" i="5"/>
  <c r="D175" i="5"/>
  <c r="C175" i="5"/>
  <c r="B175" i="5"/>
  <c r="AC169" i="5"/>
  <c r="V169" i="5"/>
  <c r="U169" i="5"/>
  <c r="T169" i="5"/>
  <c r="S169" i="5"/>
  <c r="R169" i="5"/>
  <c r="Q169" i="5"/>
  <c r="P169" i="5"/>
  <c r="W169" i="5" s="1"/>
  <c r="O169" i="5"/>
  <c r="N169" i="5"/>
  <c r="M169" i="5"/>
  <c r="I169" i="5"/>
  <c r="H169" i="5"/>
  <c r="G169" i="5"/>
  <c r="F169" i="5"/>
  <c r="E169" i="5"/>
  <c r="D169" i="5"/>
  <c r="C169" i="5"/>
  <c r="B169" i="5"/>
  <c r="J169" i="5" s="1"/>
  <c r="AB163" i="5"/>
  <c r="AC163" i="5" s="1"/>
  <c r="V163" i="5"/>
  <c r="U163" i="5"/>
  <c r="T163" i="5"/>
  <c r="S163" i="5"/>
  <c r="R163" i="5"/>
  <c r="Q163" i="5"/>
  <c r="P163" i="5"/>
  <c r="O163" i="5"/>
  <c r="N163" i="5"/>
  <c r="M163" i="5"/>
  <c r="W163" i="5" s="1"/>
  <c r="I163" i="5"/>
  <c r="H163" i="5"/>
  <c r="G163" i="5"/>
  <c r="F163" i="5"/>
  <c r="E163" i="5"/>
  <c r="D163" i="5"/>
  <c r="J163" i="5" s="1"/>
  <c r="C163" i="5"/>
  <c r="B163" i="5"/>
  <c r="AE157" i="5"/>
  <c r="AC157" i="5"/>
  <c r="V157" i="5"/>
  <c r="U157" i="5"/>
  <c r="T157" i="5"/>
  <c r="S157" i="5"/>
  <c r="R157" i="5"/>
  <c r="Q157" i="5"/>
  <c r="P157" i="5"/>
  <c r="O157" i="5"/>
  <c r="N157" i="5"/>
  <c r="M157" i="5"/>
  <c r="W157" i="5" s="1"/>
  <c r="I157" i="5"/>
  <c r="H157" i="5"/>
  <c r="G157" i="5"/>
  <c r="F157" i="5"/>
  <c r="E157" i="5"/>
  <c r="D157" i="5"/>
  <c r="C157" i="5"/>
  <c r="B157" i="5"/>
  <c r="AC151" i="5"/>
  <c r="V151" i="5"/>
  <c r="U151" i="5"/>
  <c r="T151" i="5"/>
  <c r="S151" i="5"/>
  <c r="R151" i="5"/>
  <c r="Q151" i="5"/>
  <c r="P151" i="5"/>
  <c r="O151" i="5"/>
  <c r="N151" i="5"/>
  <c r="M151" i="5"/>
  <c r="W151" i="5" s="1"/>
  <c r="X151" i="5" s="1"/>
  <c r="AA151" i="5" s="1"/>
  <c r="I151" i="5"/>
  <c r="H151" i="5"/>
  <c r="G151" i="5"/>
  <c r="F151" i="5"/>
  <c r="E151" i="5"/>
  <c r="D151" i="5"/>
  <c r="C151" i="5"/>
  <c r="B151" i="5"/>
  <c r="J151" i="5" s="1"/>
  <c r="AB145" i="5"/>
  <c r="AC145" i="5" s="1"/>
  <c r="V145" i="5"/>
  <c r="U145" i="5"/>
  <c r="T145" i="5"/>
  <c r="S145" i="5"/>
  <c r="R145" i="5"/>
  <c r="Q145" i="5"/>
  <c r="P145" i="5"/>
  <c r="O145" i="5"/>
  <c r="N145" i="5"/>
  <c r="M145" i="5"/>
  <c r="I145" i="5"/>
  <c r="H145" i="5"/>
  <c r="G145" i="5"/>
  <c r="F145" i="5"/>
  <c r="E145" i="5"/>
  <c r="D145" i="5"/>
  <c r="J145" i="5" s="1"/>
  <c r="C145" i="5"/>
  <c r="B145" i="5"/>
  <c r="AB139" i="5"/>
  <c r="AC139" i="5" s="1"/>
  <c r="V139" i="5"/>
  <c r="U139" i="5"/>
  <c r="T139" i="5"/>
  <c r="S139" i="5"/>
  <c r="R139" i="5"/>
  <c r="Q139" i="5"/>
  <c r="P139" i="5"/>
  <c r="O139" i="5"/>
  <c r="N139" i="5"/>
  <c r="M139" i="5"/>
  <c r="W139" i="5" s="1"/>
  <c r="I139" i="5"/>
  <c r="H139" i="5"/>
  <c r="G139" i="5"/>
  <c r="F139" i="5"/>
  <c r="E139" i="5"/>
  <c r="D139" i="5"/>
  <c r="J139" i="5" s="1"/>
  <c r="C139" i="5"/>
  <c r="B139" i="5"/>
  <c r="AF133" i="5"/>
  <c r="AE133" i="5"/>
  <c r="AC133" i="5"/>
  <c r="V133" i="5"/>
  <c r="U133" i="5"/>
  <c r="T133" i="5"/>
  <c r="S133" i="5"/>
  <c r="R133" i="5"/>
  <c r="Q133" i="5"/>
  <c r="P133" i="5"/>
  <c r="W133" i="5" s="1"/>
  <c r="X133" i="5" s="1"/>
  <c r="O133" i="5"/>
  <c r="N133" i="5"/>
  <c r="M133" i="5"/>
  <c r="I133" i="5"/>
  <c r="H133" i="5"/>
  <c r="G133" i="5"/>
  <c r="F133" i="5"/>
  <c r="E133" i="5"/>
  <c r="D133" i="5"/>
  <c r="C133" i="5"/>
  <c r="B133" i="5"/>
  <c r="J133" i="5" s="1"/>
  <c r="AB127" i="5"/>
  <c r="AC127" i="5" s="1"/>
  <c r="V127" i="5"/>
  <c r="U127" i="5"/>
  <c r="T127" i="5"/>
  <c r="S127" i="5"/>
  <c r="R127" i="5"/>
  <c r="Q127" i="5"/>
  <c r="P127" i="5"/>
  <c r="O127" i="5"/>
  <c r="N127" i="5"/>
  <c r="M127" i="5"/>
  <c r="I127" i="5"/>
  <c r="H127" i="5"/>
  <c r="G127" i="5"/>
  <c r="F127" i="5"/>
  <c r="E127" i="5"/>
  <c r="D127" i="5"/>
  <c r="J127" i="5" s="1"/>
  <c r="C127" i="5"/>
  <c r="B127" i="5"/>
  <c r="AE121" i="5"/>
  <c r="AB121" i="5"/>
  <c r="V121" i="5"/>
  <c r="U121" i="5"/>
  <c r="T121" i="5"/>
  <c r="S121" i="5"/>
  <c r="R121" i="5"/>
  <c r="Q121" i="5"/>
  <c r="P121" i="5"/>
  <c r="O121" i="5"/>
  <c r="N121" i="5"/>
  <c r="M121" i="5"/>
  <c r="I121" i="5"/>
  <c r="H121" i="5"/>
  <c r="G121" i="5"/>
  <c r="F121" i="5"/>
  <c r="E121" i="5"/>
  <c r="D121" i="5"/>
  <c r="C121" i="5"/>
  <c r="B121" i="5"/>
  <c r="AB115" i="5"/>
  <c r="AC115" i="5" s="1"/>
  <c r="V115" i="5"/>
  <c r="U115" i="5"/>
  <c r="T115" i="5"/>
  <c r="S115" i="5"/>
  <c r="R115" i="5"/>
  <c r="Q115" i="5"/>
  <c r="P115" i="5"/>
  <c r="W115" i="5" s="1"/>
  <c r="X115" i="5" s="1"/>
  <c r="AA115" i="5" s="1"/>
  <c r="O115" i="5"/>
  <c r="N115" i="5"/>
  <c r="M115" i="5"/>
  <c r="I115" i="5"/>
  <c r="H115" i="5"/>
  <c r="G115" i="5"/>
  <c r="F115" i="5"/>
  <c r="E115" i="5"/>
  <c r="D115" i="5"/>
  <c r="C115" i="5"/>
  <c r="B115" i="5"/>
  <c r="J115" i="5" s="1"/>
  <c r="AB109" i="5"/>
  <c r="AC109" i="5" s="1"/>
  <c r="V109" i="5"/>
  <c r="U109" i="5"/>
  <c r="T109" i="5"/>
  <c r="S109" i="5"/>
  <c r="R109" i="5"/>
  <c r="Q109" i="5"/>
  <c r="P109" i="5"/>
  <c r="O109" i="5"/>
  <c r="N109" i="5"/>
  <c r="M109" i="5"/>
  <c r="W109" i="5" s="1"/>
  <c r="X109" i="5" s="1"/>
  <c r="AD109" i="5" s="1"/>
  <c r="I109" i="5"/>
  <c r="H109" i="5"/>
  <c r="G109" i="5"/>
  <c r="F109" i="5"/>
  <c r="E109" i="5"/>
  <c r="D109" i="5"/>
  <c r="C109" i="5"/>
  <c r="B109" i="5"/>
  <c r="J109" i="5" s="1"/>
  <c r="AC103" i="5"/>
  <c r="AB103" i="5"/>
  <c r="V103" i="5"/>
  <c r="U103" i="5"/>
  <c r="T103" i="5"/>
  <c r="S103" i="5"/>
  <c r="R103" i="5"/>
  <c r="Q103" i="5"/>
  <c r="P103" i="5"/>
  <c r="O103" i="5"/>
  <c r="N103" i="5"/>
  <c r="M103" i="5"/>
  <c r="I103" i="5"/>
  <c r="H103" i="5"/>
  <c r="G103" i="5"/>
  <c r="F103" i="5"/>
  <c r="E103" i="5"/>
  <c r="D103" i="5"/>
  <c r="C103" i="5"/>
  <c r="B103" i="5"/>
  <c r="AE97" i="5"/>
  <c r="AB97" i="5"/>
  <c r="AC97" i="5" s="1"/>
  <c r="V97" i="5"/>
  <c r="U97" i="5"/>
  <c r="T97" i="5"/>
  <c r="S97" i="5"/>
  <c r="R97" i="5"/>
  <c r="Q97" i="5"/>
  <c r="P97" i="5"/>
  <c r="O97" i="5"/>
  <c r="N97" i="5"/>
  <c r="M97" i="5"/>
  <c r="I97" i="5"/>
  <c r="H97" i="5"/>
  <c r="G97" i="5"/>
  <c r="F97" i="5"/>
  <c r="E97" i="5"/>
  <c r="D97" i="5"/>
  <c r="J97" i="5" s="1"/>
  <c r="C97" i="5"/>
  <c r="B97" i="5"/>
  <c r="AE91" i="5"/>
  <c r="AC91" i="5"/>
  <c r="AB91" i="5"/>
  <c r="V91" i="5"/>
  <c r="U91" i="5"/>
  <c r="T91" i="5"/>
  <c r="S91" i="5"/>
  <c r="R91" i="5"/>
  <c r="Q91" i="5"/>
  <c r="P91" i="5"/>
  <c r="O91" i="5"/>
  <c r="N91" i="5"/>
  <c r="M91" i="5"/>
  <c r="I91" i="5"/>
  <c r="H91" i="5"/>
  <c r="G91" i="5"/>
  <c r="F91" i="5"/>
  <c r="E91" i="5"/>
  <c r="D91" i="5"/>
  <c r="C91" i="5"/>
  <c r="B91" i="5"/>
  <c r="J91" i="5" s="1"/>
  <c r="AC85" i="5"/>
  <c r="V85" i="5"/>
  <c r="U85" i="5"/>
  <c r="T85" i="5"/>
  <c r="S85" i="5"/>
  <c r="R85" i="5"/>
  <c r="Q85" i="5"/>
  <c r="P85" i="5"/>
  <c r="O85" i="5"/>
  <c r="N85" i="5"/>
  <c r="M85" i="5"/>
  <c r="W85" i="5" s="1"/>
  <c r="X85" i="5" s="1"/>
  <c r="I85" i="5"/>
  <c r="H85" i="5"/>
  <c r="G85" i="5"/>
  <c r="F85" i="5"/>
  <c r="E85" i="5"/>
  <c r="D85" i="5"/>
  <c r="C85" i="5"/>
  <c r="B85" i="5"/>
  <c r="J85" i="5" s="1"/>
  <c r="AB80" i="5"/>
  <c r="AC80" i="5" s="1"/>
  <c r="V80" i="5"/>
  <c r="U80" i="5"/>
  <c r="T80" i="5"/>
  <c r="S80" i="5"/>
  <c r="R80" i="5"/>
  <c r="Q80" i="5"/>
  <c r="P80" i="5"/>
  <c r="O80" i="5"/>
  <c r="N80" i="5"/>
  <c r="M80" i="5"/>
  <c r="I80" i="5"/>
  <c r="H80" i="5"/>
  <c r="G80" i="5"/>
  <c r="F80" i="5"/>
  <c r="E80" i="5"/>
  <c r="D80" i="5"/>
  <c r="C80" i="5"/>
  <c r="B80" i="5"/>
  <c r="J80" i="5" s="1"/>
  <c r="AC74" i="5"/>
  <c r="V74" i="5"/>
  <c r="U74" i="5"/>
  <c r="T74" i="5"/>
  <c r="S74" i="5"/>
  <c r="R74" i="5"/>
  <c r="Q74" i="5"/>
  <c r="P74" i="5"/>
  <c r="O74" i="5"/>
  <c r="N74" i="5"/>
  <c r="M74" i="5"/>
  <c r="W74" i="5" s="1"/>
  <c r="I74" i="5"/>
  <c r="H74" i="5"/>
  <c r="G74" i="5"/>
  <c r="F74" i="5"/>
  <c r="E74" i="5"/>
  <c r="D74" i="5"/>
  <c r="J74" i="5" s="1"/>
  <c r="C74" i="5"/>
  <c r="B74" i="5"/>
  <c r="AC68" i="5"/>
  <c r="AB68" i="5"/>
  <c r="V68" i="5"/>
  <c r="U68" i="5"/>
  <c r="T68" i="5"/>
  <c r="S68" i="5"/>
  <c r="R68" i="5"/>
  <c r="Q68" i="5"/>
  <c r="P68" i="5"/>
  <c r="W68" i="5" s="1"/>
  <c r="O68" i="5"/>
  <c r="N68" i="5"/>
  <c r="M68" i="5"/>
  <c r="I68" i="5"/>
  <c r="H68" i="5"/>
  <c r="G68" i="5"/>
  <c r="F68" i="5"/>
  <c r="E68" i="5"/>
  <c r="D68" i="5"/>
  <c r="C68" i="5"/>
  <c r="B68" i="5"/>
  <c r="J68" i="5" s="1"/>
  <c r="AC62" i="5"/>
  <c r="V62" i="5"/>
  <c r="U62" i="5"/>
  <c r="T62" i="5"/>
  <c r="S62" i="5"/>
  <c r="R62" i="5"/>
  <c r="Q62" i="5"/>
  <c r="P62" i="5"/>
  <c r="O62" i="5"/>
  <c r="N62" i="5"/>
  <c r="M62" i="5"/>
  <c r="W62" i="5" s="1"/>
  <c r="X62" i="5" s="1"/>
  <c r="I62" i="5"/>
  <c r="H62" i="5"/>
  <c r="G62" i="5"/>
  <c r="F62" i="5"/>
  <c r="E62" i="5"/>
  <c r="D62" i="5"/>
  <c r="J62" i="5" s="1"/>
  <c r="C62" i="5"/>
  <c r="B62" i="5"/>
  <c r="AB56" i="5"/>
  <c r="AC56" i="5" s="1"/>
  <c r="V56" i="5"/>
  <c r="U56" i="5"/>
  <c r="T56" i="5"/>
  <c r="S56" i="5"/>
  <c r="R56" i="5"/>
  <c r="Q56" i="5"/>
  <c r="P56" i="5"/>
  <c r="O56" i="5"/>
  <c r="N56" i="5"/>
  <c r="M56" i="5"/>
  <c r="W56" i="5" s="1"/>
  <c r="I56" i="5"/>
  <c r="H56" i="5"/>
  <c r="G56" i="5"/>
  <c r="F56" i="5"/>
  <c r="E56" i="5"/>
  <c r="D56" i="5"/>
  <c r="J56" i="5" s="1"/>
  <c r="C56" i="5"/>
  <c r="B56" i="5"/>
  <c r="AC51" i="5"/>
  <c r="AB51" i="5"/>
  <c r="W51" i="5"/>
  <c r="X51" i="5" s="1"/>
  <c r="V51" i="5"/>
  <c r="U51" i="5"/>
  <c r="T51" i="5"/>
  <c r="S51" i="5"/>
  <c r="R51" i="5"/>
  <c r="Q51" i="5"/>
  <c r="P51" i="5"/>
  <c r="O51" i="5"/>
  <c r="N51" i="5"/>
  <c r="M51" i="5"/>
  <c r="I51" i="5"/>
  <c r="H51" i="5"/>
  <c r="G51" i="5"/>
  <c r="F51" i="5"/>
  <c r="E51" i="5"/>
  <c r="D51" i="5"/>
  <c r="C51" i="5"/>
  <c r="J51" i="5" s="1"/>
  <c r="B51" i="5"/>
  <c r="AB46" i="5"/>
  <c r="AC46" i="5" s="1"/>
  <c r="V46" i="5"/>
  <c r="U46" i="5"/>
  <c r="T46" i="5"/>
  <c r="S46" i="5"/>
  <c r="R46" i="5"/>
  <c r="Q46" i="5"/>
  <c r="P46" i="5"/>
  <c r="O46" i="5"/>
  <c r="N46" i="5"/>
  <c r="M46" i="5"/>
  <c r="W46" i="5" s="1"/>
  <c r="I46" i="5"/>
  <c r="H46" i="5"/>
  <c r="G46" i="5"/>
  <c r="F46" i="5"/>
  <c r="E46" i="5"/>
  <c r="D46" i="5"/>
  <c r="J46" i="5" s="1"/>
  <c r="C46" i="5"/>
  <c r="B46" i="5"/>
  <c r="AC41" i="5"/>
  <c r="AB41" i="5"/>
  <c r="Z41" i="5"/>
  <c r="Z178" i="5" s="1"/>
  <c r="V41" i="5"/>
  <c r="U41" i="5"/>
  <c r="T41" i="5"/>
  <c r="S41" i="5"/>
  <c r="R41" i="5"/>
  <c r="Q41" i="5"/>
  <c r="W41" i="5" s="1"/>
  <c r="P41" i="5"/>
  <c r="O41" i="5"/>
  <c r="N41" i="5"/>
  <c r="M41" i="5"/>
  <c r="I41" i="5"/>
  <c r="H41" i="5"/>
  <c r="G41" i="5"/>
  <c r="F41" i="5"/>
  <c r="E41" i="5"/>
  <c r="D41" i="5"/>
  <c r="C41" i="5"/>
  <c r="J41" i="5" s="1"/>
  <c r="B41" i="5"/>
  <c r="AC36" i="5"/>
  <c r="V36" i="5"/>
  <c r="U36" i="5"/>
  <c r="T36" i="5"/>
  <c r="S36" i="5"/>
  <c r="R36" i="5"/>
  <c r="Q36" i="5"/>
  <c r="P36" i="5"/>
  <c r="O36" i="5"/>
  <c r="N36" i="5"/>
  <c r="M36" i="5"/>
  <c r="W36" i="5" s="1"/>
  <c r="I36" i="5"/>
  <c r="H36" i="5"/>
  <c r="G36" i="5"/>
  <c r="F36" i="5"/>
  <c r="E36" i="5"/>
  <c r="D36" i="5"/>
  <c r="J36" i="5" s="1"/>
  <c r="C36" i="5"/>
  <c r="B36" i="5"/>
  <c r="AC31" i="5"/>
  <c r="AB31" i="5"/>
  <c r="V31" i="5"/>
  <c r="U31" i="5"/>
  <c r="T31" i="5"/>
  <c r="S31" i="5"/>
  <c r="R31" i="5"/>
  <c r="Q31" i="5"/>
  <c r="P31" i="5"/>
  <c r="O31" i="5"/>
  <c r="N31" i="5"/>
  <c r="M31" i="5"/>
  <c r="W31" i="5" s="1"/>
  <c r="X31" i="5" s="1"/>
  <c r="I31" i="5"/>
  <c r="H31" i="5"/>
  <c r="G31" i="5"/>
  <c r="F31" i="5"/>
  <c r="E31" i="5"/>
  <c r="D31" i="5"/>
  <c r="C31" i="5"/>
  <c r="B31" i="5"/>
  <c r="J31" i="5" s="1"/>
  <c r="AB26" i="5"/>
  <c r="AC26" i="5" s="1"/>
  <c r="V26" i="5"/>
  <c r="U26" i="5"/>
  <c r="T26" i="5"/>
  <c r="S26" i="5"/>
  <c r="R26" i="5"/>
  <c r="Q26" i="5"/>
  <c r="P26" i="5"/>
  <c r="O26" i="5"/>
  <c r="N26" i="5"/>
  <c r="M26" i="5"/>
  <c r="W26" i="5" s="1"/>
  <c r="X26" i="5" s="1"/>
  <c r="J26" i="5"/>
  <c r="I26" i="5"/>
  <c r="H26" i="5"/>
  <c r="G26" i="5"/>
  <c r="F26" i="5"/>
  <c r="E26" i="5"/>
  <c r="D26" i="5"/>
  <c r="C26" i="5"/>
  <c r="B26" i="5"/>
  <c r="AB21" i="5"/>
  <c r="AC21" i="5" s="1"/>
  <c r="V21" i="5"/>
  <c r="U21" i="5"/>
  <c r="T21" i="5"/>
  <c r="S21" i="5"/>
  <c r="R21" i="5"/>
  <c r="Q21" i="5"/>
  <c r="P21" i="5"/>
  <c r="O21" i="5"/>
  <c r="N21" i="5"/>
  <c r="M21" i="5"/>
  <c r="W21" i="5" s="1"/>
  <c r="I21" i="5"/>
  <c r="H21" i="5"/>
  <c r="G21" i="5"/>
  <c r="F21" i="5"/>
  <c r="E21" i="5"/>
  <c r="D21" i="5"/>
  <c r="J21" i="5" s="1"/>
  <c r="C21" i="5"/>
  <c r="B21" i="5"/>
  <c r="AC16" i="5"/>
  <c r="AB16" i="5"/>
  <c r="V16" i="5"/>
  <c r="U16" i="5"/>
  <c r="T16" i="5"/>
  <c r="S16" i="5"/>
  <c r="R16" i="5"/>
  <c r="Q16" i="5"/>
  <c r="W16" i="5" s="1"/>
  <c r="X16" i="5" s="1"/>
  <c r="P16" i="5"/>
  <c r="O16" i="5"/>
  <c r="N16" i="5"/>
  <c r="M16" i="5"/>
  <c r="I16" i="5"/>
  <c r="H16" i="5"/>
  <c r="G16" i="5"/>
  <c r="F16" i="5"/>
  <c r="E16" i="5"/>
  <c r="D16" i="5"/>
  <c r="C16" i="5"/>
  <c r="J16" i="5" s="1"/>
  <c r="B16" i="5"/>
  <c r="AE10" i="5"/>
  <c r="AC10" i="5"/>
  <c r="V10" i="5"/>
  <c r="U10" i="5"/>
  <c r="T10" i="5"/>
  <c r="S10" i="5"/>
  <c r="R10" i="5"/>
  <c r="Q10" i="5"/>
  <c r="P10" i="5"/>
  <c r="O10" i="5"/>
  <c r="N10" i="5"/>
  <c r="M10" i="5"/>
  <c r="W10" i="5" s="1"/>
  <c r="I10" i="5"/>
  <c r="H10" i="5"/>
  <c r="G10" i="5"/>
  <c r="F10" i="5"/>
  <c r="E10" i="5"/>
  <c r="D10" i="5"/>
  <c r="J10" i="5" s="1"/>
  <c r="C10" i="5"/>
  <c r="B10" i="5"/>
  <c r="AC4" i="5"/>
  <c r="AB4" i="5"/>
  <c r="V4" i="5"/>
  <c r="U4" i="5"/>
  <c r="T4" i="5"/>
  <c r="S4" i="5"/>
  <c r="R4" i="5"/>
  <c r="Q4" i="5"/>
  <c r="P4" i="5"/>
  <c r="W4" i="5" s="1"/>
  <c r="X4" i="5" s="1"/>
  <c r="O4" i="5"/>
  <c r="N4" i="5"/>
  <c r="M4" i="5"/>
  <c r="I4" i="5"/>
  <c r="H4" i="5"/>
  <c r="G4" i="5"/>
  <c r="F4" i="5"/>
  <c r="E4" i="5"/>
  <c r="D4" i="5"/>
  <c r="C4" i="5"/>
  <c r="B4" i="5"/>
  <c r="J4" i="5" s="1"/>
  <c r="I545" i="4"/>
  <c r="H541" i="4"/>
  <c r="H540" i="4"/>
  <c r="H539" i="4"/>
  <c r="C539" i="4"/>
  <c r="H538" i="4"/>
  <c r="C538" i="4"/>
  <c r="K537" i="4"/>
  <c r="K538" i="4" s="1"/>
  <c r="H537" i="4"/>
  <c r="C537" i="4"/>
  <c r="H536" i="4"/>
  <c r="C536" i="4"/>
  <c r="H535" i="4"/>
  <c r="C535" i="4"/>
  <c r="H534" i="4"/>
  <c r="C534" i="4"/>
  <c r="H533" i="4"/>
  <c r="C533" i="4"/>
  <c r="C542" i="4" s="1"/>
  <c r="H532" i="4"/>
  <c r="H542" i="4" s="1"/>
  <c r="H543" i="4" s="1"/>
  <c r="H546" i="4" s="1"/>
  <c r="C532" i="4"/>
  <c r="H523" i="4"/>
  <c r="H522" i="4"/>
  <c r="H521" i="4"/>
  <c r="C521" i="4"/>
  <c r="K520" i="4"/>
  <c r="H520" i="4"/>
  <c r="C520" i="4"/>
  <c r="L519" i="4"/>
  <c r="L520" i="4" s="1"/>
  <c r="H519" i="4"/>
  <c r="C519" i="4"/>
  <c r="H518" i="4"/>
  <c r="C518" i="4"/>
  <c r="H517" i="4"/>
  <c r="C517" i="4"/>
  <c r="H516" i="4"/>
  <c r="C516" i="4"/>
  <c r="H515" i="4"/>
  <c r="C515" i="4"/>
  <c r="C524" i="4" s="1"/>
  <c r="H514" i="4"/>
  <c r="H524" i="4" s="1"/>
  <c r="C514" i="4"/>
  <c r="I509" i="4"/>
  <c r="H506" i="4"/>
  <c r="H505" i="4"/>
  <c r="H504" i="4"/>
  <c r="H503" i="4"/>
  <c r="C503" i="4"/>
  <c r="K502" i="4"/>
  <c r="H502" i="4"/>
  <c r="C502" i="4"/>
  <c r="H501" i="4"/>
  <c r="C501" i="4"/>
  <c r="H500" i="4"/>
  <c r="C500" i="4"/>
  <c r="H499" i="4"/>
  <c r="C499" i="4"/>
  <c r="H498" i="4"/>
  <c r="C498" i="4"/>
  <c r="H497" i="4"/>
  <c r="C497" i="4"/>
  <c r="C506" i="4" s="1"/>
  <c r="H496" i="4"/>
  <c r="C496" i="4"/>
  <c r="C488" i="4"/>
  <c r="H487" i="4"/>
  <c r="H486" i="4"/>
  <c r="H485" i="4"/>
  <c r="C485" i="4"/>
  <c r="L484" i="4"/>
  <c r="K484" i="4"/>
  <c r="H484" i="4"/>
  <c r="C484" i="4"/>
  <c r="L483" i="4"/>
  <c r="H483" i="4"/>
  <c r="C483" i="4"/>
  <c r="H482" i="4"/>
  <c r="C482" i="4"/>
  <c r="H481" i="4"/>
  <c r="C481" i="4"/>
  <c r="H480" i="4"/>
  <c r="C480" i="4"/>
  <c r="H479" i="4"/>
  <c r="H488" i="4" s="1"/>
  <c r="H489" i="4" s="1"/>
  <c r="H492" i="4" s="1"/>
  <c r="C479" i="4"/>
  <c r="H478" i="4"/>
  <c r="C478" i="4"/>
  <c r="I473" i="4"/>
  <c r="H469" i="4"/>
  <c r="H468" i="4"/>
  <c r="H467" i="4"/>
  <c r="C467" i="4"/>
  <c r="K466" i="4"/>
  <c r="H466" i="4"/>
  <c r="C466" i="4"/>
  <c r="K465" i="4"/>
  <c r="H465" i="4"/>
  <c r="C465" i="4"/>
  <c r="H464" i="4"/>
  <c r="C464" i="4"/>
  <c r="H463" i="4"/>
  <c r="C463" i="4"/>
  <c r="H462" i="4"/>
  <c r="C462" i="4"/>
  <c r="H461" i="4"/>
  <c r="H470" i="4" s="1"/>
  <c r="H471" i="4" s="1"/>
  <c r="H474" i="4" s="1"/>
  <c r="C461" i="4"/>
  <c r="C470" i="4" s="1"/>
  <c r="H460" i="4"/>
  <c r="C460" i="4"/>
  <c r="I454" i="4"/>
  <c r="H450" i="4"/>
  <c r="H449" i="4"/>
  <c r="H448" i="4"/>
  <c r="C448" i="4"/>
  <c r="H447" i="4"/>
  <c r="C447" i="4"/>
  <c r="L446" i="4"/>
  <c r="L447" i="4" s="1"/>
  <c r="K446" i="4"/>
  <c r="K447" i="4" s="1"/>
  <c r="H446" i="4"/>
  <c r="C446" i="4"/>
  <c r="H445" i="4"/>
  <c r="C445" i="4"/>
  <c r="H444" i="4"/>
  <c r="C444" i="4"/>
  <c r="H443" i="4"/>
  <c r="C443" i="4"/>
  <c r="H442" i="4"/>
  <c r="C442" i="4"/>
  <c r="H441" i="4"/>
  <c r="H451" i="4" s="1"/>
  <c r="C441" i="4"/>
  <c r="C451" i="4" s="1"/>
  <c r="H432" i="4"/>
  <c r="H431" i="4"/>
  <c r="H430" i="4"/>
  <c r="C430" i="4"/>
  <c r="L429" i="4"/>
  <c r="K429" i="4"/>
  <c r="H429" i="4"/>
  <c r="C429" i="4"/>
  <c r="K428" i="4"/>
  <c r="H428" i="4"/>
  <c r="C428" i="4"/>
  <c r="H427" i="4"/>
  <c r="C427" i="4"/>
  <c r="H426" i="4"/>
  <c r="C426" i="4"/>
  <c r="H425" i="4"/>
  <c r="C425" i="4"/>
  <c r="H424" i="4"/>
  <c r="C424" i="4"/>
  <c r="C433" i="4" s="1"/>
  <c r="H423" i="4"/>
  <c r="H433" i="4" s="1"/>
  <c r="H434" i="4" s="1"/>
  <c r="H437" i="4" s="1"/>
  <c r="C423" i="4"/>
  <c r="H414" i="4"/>
  <c r="H413" i="4"/>
  <c r="H412" i="4"/>
  <c r="C412" i="4"/>
  <c r="L411" i="4"/>
  <c r="K411" i="4"/>
  <c r="H411" i="4"/>
  <c r="C411" i="4"/>
  <c r="H410" i="4"/>
  <c r="C410" i="4"/>
  <c r="H409" i="4"/>
  <c r="C409" i="4"/>
  <c r="H408" i="4"/>
  <c r="C408" i="4"/>
  <c r="H407" i="4"/>
  <c r="C407" i="4"/>
  <c r="H406" i="4"/>
  <c r="H415" i="4" s="1"/>
  <c r="C406" i="4"/>
  <c r="C415" i="4" s="1"/>
  <c r="H405" i="4"/>
  <c r="C405" i="4"/>
  <c r="H396" i="4"/>
  <c r="H395" i="4"/>
  <c r="H394" i="4"/>
  <c r="C394" i="4"/>
  <c r="L393" i="4"/>
  <c r="K393" i="4"/>
  <c r="H393" i="4"/>
  <c r="C393" i="4"/>
  <c r="L392" i="4"/>
  <c r="K392" i="4"/>
  <c r="H392" i="4"/>
  <c r="C392" i="4"/>
  <c r="H391" i="4"/>
  <c r="C391" i="4"/>
  <c r="H390" i="4"/>
  <c r="C390" i="4"/>
  <c r="H389" i="4"/>
  <c r="H397" i="4" s="1"/>
  <c r="H398" i="4" s="1"/>
  <c r="H401" i="4" s="1"/>
  <c r="C389" i="4"/>
  <c r="C397" i="4" s="1"/>
  <c r="H388" i="4"/>
  <c r="C388" i="4"/>
  <c r="H387" i="4"/>
  <c r="C387" i="4"/>
  <c r="H378" i="4"/>
  <c r="H377" i="4"/>
  <c r="H376" i="4"/>
  <c r="C376" i="4"/>
  <c r="K375" i="4"/>
  <c r="H375" i="4"/>
  <c r="C375" i="4"/>
  <c r="H374" i="4"/>
  <c r="C374" i="4"/>
  <c r="H373" i="4"/>
  <c r="C373" i="4"/>
  <c r="H372" i="4"/>
  <c r="C372" i="4"/>
  <c r="H371" i="4"/>
  <c r="C371" i="4"/>
  <c r="H370" i="4"/>
  <c r="H379" i="4" s="1"/>
  <c r="C370" i="4"/>
  <c r="C379" i="4" s="1"/>
  <c r="H369" i="4"/>
  <c r="C369" i="4"/>
  <c r="H360" i="4"/>
  <c r="H359" i="4"/>
  <c r="H358" i="4"/>
  <c r="C358" i="4"/>
  <c r="L357" i="4"/>
  <c r="H357" i="4"/>
  <c r="C357" i="4"/>
  <c r="L356" i="4"/>
  <c r="K356" i="4"/>
  <c r="K357" i="4" s="1"/>
  <c r="H356" i="4"/>
  <c r="C356" i="4"/>
  <c r="H355" i="4"/>
  <c r="C355" i="4"/>
  <c r="H354" i="4"/>
  <c r="C354" i="4"/>
  <c r="H353" i="4"/>
  <c r="H361" i="4" s="1"/>
  <c r="H362" i="4" s="1"/>
  <c r="H365" i="4" s="1"/>
  <c r="C353" i="4"/>
  <c r="H352" i="4"/>
  <c r="C352" i="4"/>
  <c r="H351" i="4"/>
  <c r="C351" i="4"/>
  <c r="C361" i="4" s="1"/>
  <c r="I346" i="4"/>
  <c r="H342" i="4"/>
  <c r="H341" i="4"/>
  <c r="H340" i="4"/>
  <c r="C340" i="4"/>
  <c r="H339" i="4"/>
  <c r="C339" i="4"/>
  <c r="L338" i="4"/>
  <c r="L339" i="4" s="1"/>
  <c r="K338" i="4"/>
  <c r="K339" i="4" s="1"/>
  <c r="H338" i="4"/>
  <c r="C338" i="4"/>
  <c r="H337" i="4"/>
  <c r="C337" i="4"/>
  <c r="H336" i="4"/>
  <c r="C336" i="4"/>
  <c r="H335" i="4"/>
  <c r="C335" i="4"/>
  <c r="H334" i="4"/>
  <c r="C334" i="4"/>
  <c r="H333" i="4"/>
  <c r="H343" i="4" s="1"/>
  <c r="H344" i="4" s="1"/>
  <c r="H347" i="4" s="1"/>
  <c r="C333" i="4"/>
  <c r="C343" i="4" s="1"/>
  <c r="C324" i="4"/>
  <c r="H323" i="4"/>
  <c r="H322" i="4"/>
  <c r="H321" i="4"/>
  <c r="C321" i="4"/>
  <c r="L320" i="4"/>
  <c r="K320" i="4"/>
  <c r="H320" i="4"/>
  <c r="C320" i="4"/>
  <c r="L319" i="4"/>
  <c r="K319" i="4"/>
  <c r="H319" i="4"/>
  <c r="C319" i="4"/>
  <c r="H318" i="4"/>
  <c r="C318" i="4"/>
  <c r="H317" i="4"/>
  <c r="C317" i="4"/>
  <c r="H316" i="4"/>
  <c r="H324" i="4" s="1"/>
  <c r="H325" i="4" s="1"/>
  <c r="H328" i="4" s="1"/>
  <c r="C316" i="4"/>
  <c r="H315" i="4"/>
  <c r="C315" i="4"/>
  <c r="H314" i="4"/>
  <c r="C314" i="4"/>
  <c r="H305" i="4"/>
  <c r="H304" i="4"/>
  <c r="H303" i="4"/>
  <c r="C303" i="4"/>
  <c r="H302" i="4"/>
  <c r="C302" i="4"/>
  <c r="L301" i="4"/>
  <c r="L302" i="4" s="1"/>
  <c r="K301" i="4"/>
  <c r="K302" i="4" s="1"/>
  <c r="H301" i="4"/>
  <c r="C301" i="4"/>
  <c r="H300" i="4"/>
  <c r="C300" i="4"/>
  <c r="H299" i="4"/>
  <c r="C299" i="4"/>
  <c r="H298" i="4"/>
  <c r="C298" i="4"/>
  <c r="H297" i="4"/>
  <c r="C297" i="4"/>
  <c r="H296" i="4"/>
  <c r="H306" i="4" s="1"/>
  <c r="H307" i="4" s="1"/>
  <c r="H310" i="4" s="1"/>
  <c r="C296" i="4"/>
  <c r="C306" i="4" s="1"/>
  <c r="H287" i="4"/>
  <c r="H286" i="4"/>
  <c r="H285" i="4"/>
  <c r="C285" i="4"/>
  <c r="H284" i="4"/>
  <c r="C284" i="4"/>
  <c r="L283" i="4"/>
  <c r="L284" i="4" s="1"/>
  <c r="K283" i="4"/>
  <c r="K284" i="4" s="1"/>
  <c r="H283" i="4"/>
  <c r="C283" i="4"/>
  <c r="H282" i="4"/>
  <c r="C282" i="4"/>
  <c r="H281" i="4"/>
  <c r="C281" i="4"/>
  <c r="H280" i="4"/>
  <c r="C280" i="4"/>
  <c r="H279" i="4"/>
  <c r="C279" i="4"/>
  <c r="H278" i="4"/>
  <c r="H288" i="4" s="1"/>
  <c r="H289" i="4" s="1"/>
  <c r="H292" i="4" s="1"/>
  <c r="C278" i="4"/>
  <c r="C288" i="4" s="1"/>
  <c r="H269" i="4"/>
  <c r="H268" i="4"/>
  <c r="H267" i="4"/>
  <c r="C267" i="4"/>
  <c r="L266" i="4"/>
  <c r="K266" i="4"/>
  <c r="H266" i="4"/>
  <c r="C266" i="4"/>
  <c r="L265" i="4"/>
  <c r="K265" i="4"/>
  <c r="H265" i="4"/>
  <c r="C265" i="4"/>
  <c r="H264" i="4"/>
  <c r="C264" i="4"/>
  <c r="H263" i="4"/>
  <c r="C263" i="4"/>
  <c r="H262" i="4"/>
  <c r="H270" i="4" s="1"/>
  <c r="H271" i="4" s="1"/>
  <c r="H274" i="4" s="1"/>
  <c r="C262" i="4"/>
  <c r="C270" i="4" s="1"/>
  <c r="H261" i="4"/>
  <c r="C261" i="4"/>
  <c r="H260" i="4"/>
  <c r="C260" i="4"/>
  <c r="H251" i="4"/>
  <c r="H250" i="4"/>
  <c r="H249" i="4"/>
  <c r="C249" i="4"/>
  <c r="L248" i="4"/>
  <c r="H248" i="4"/>
  <c r="C248" i="4"/>
  <c r="K247" i="4"/>
  <c r="K248" i="4" s="1"/>
  <c r="H247" i="4"/>
  <c r="C247" i="4"/>
  <c r="H246" i="4"/>
  <c r="C246" i="4"/>
  <c r="H245" i="4"/>
  <c r="C245" i="4"/>
  <c r="H244" i="4"/>
  <c r="H252" i="4" s="1"/>
  <c r="H253" i="4" s="1"/>
  <c r="H256" i="4" s="1"/>
  <c r="C244" i="4"/>
  <c r="H243" i="4"/>
  <c r="C243" i="4"/>
  <c r="H242" i="4"/>
  <c r="C242" i="4"/>
  <c r="C252" i="4" s="1"/>
  <c r="H233" i="4"/>
  <c r="H232" i="4"/>
  <c r="H231" i="4"/>
  <c r="C231" i="4"/>
  <c r="H230" i="4"/>
  <c r="C230" i="4"/>
  <c r="L229" i="4"/>
  <c r="L230" i="4" s="1"/>
  <c r="K229" i="4"/>
  <c r="K230" i="4" s="1"/>
  <c r="H229" i="4"/>
  <c r="C229" i="4"/>
  <c r="H228" i="4"/>
  <c r="C228" i="4"/>
  <c r="H227" i="4"/>
  <c r="C227" i="4"/>
  <c r="H226" i="4"/>
  <c r="C226" i="4"/>
  <c r="H225" i="4"/>
  <c r="C225" i="4"/>
  <c r="H224" i="4"/>
  <c r="H234" i="4" s="1"/>
  <c r="C224" i="4"/>
  <c r="C234" i="4" s="1"/>
  <c r="H215" i="4"/>
  <c r="H214" i="4"/>
  <c r="H213" i="4"/>
  <c r="C213" i="4"/>
  <c r="K212" i="4"/>
  <c r="H212" i="4"/>
  <c r="C212" i="4"/>
  <c r="L211" i="4"/>
  <c r="L212" i="4" s="1"/>
  <c r="K211" i="4"/>
  <c r="H211" i="4"/>
  <c r="C211" i="4"/>
  <c r="H210" i="4"/>
  <c r="C210" i="4"/>
  <c r="H209" i="4"/>
  <c r="C209" i="4"/>
  <c r="H208" i="4"/>
  <c r="C208" i="4"/>
  <c r="C216" i="4" s="1"/>
  <c r="H207" i="4"/>
  <c r="C207" i="4"/>
  <c r="H206" i="4"/>
  <c r="H216" i="4" s="1"/>
  <c r="C206" i="4"/>
  <c r="H198" i="4"/>
  <c r="H197" i="4"/>
  <c r="H196" i="4"/>
  <c r="H195" i="4"/>
  <c r="C195" i="4"/>
  <c r="L194" i="4"/>
  <c r="H194" i="4"/>
  <c r="C194" i="4"/>
  <c r="L193" i="4"/>
  <c r="K193" i="4"/>
  <c r="K194" i="4" s="1"/>
  <c r="H193" i="4"/>
  <c r="C193" i="4"/>
  <c r="H192" i="4"/>
  <c r="C192" i="4"/>
  <c r="H191" i="4"/>
  <c r="C191" i="4"/>
  <c r="H190" i="4"/>
  <c r="C190" i="4"/>
  <c r="H189" i="4"/>
  <c r="C189" i="4"/>
  <c r="H188" i="4"/>
  <c r="C188" i="4"/>
  <c r="C198" i="4" s="1"/>
  <c r="H178" i="4"/>
  <c r="H177" i="4"/>
  <c r="H176" i="4"/>
  <c r="C176" i="4"/>
  <c r="K175" i="4"/>
  <c r="H175" i="4"/>
  <c r="C175" i="4"/>
  <c r="L174" i="4"/>
  <c r="L175" i="4" s="1"/>
  <c r="H174" i="4"/>
  <c r="C174" i="4"/>
  <c r="H173" i="4"/>
  <c r="C173" i="4"/>
  <c r="H172" i="4"/>
  <c r="C172" i="4"/>
  <c r="H171" i="4"/>
  <c r="C171" i="4"/>
  <c r="H170" i="4"/>
  <c r="C170" i="4"/>
  <c r="H169" i="4"/>
  <c r="H179" i="4" s="1"/>
  <c r="C169" i="4"/>
  <c r="C179" i="4" s="1"/>
  <c r="H159" i="4"/>
  <c r="H158" i="4"/>
  <c r="H157" i="4"/>
  <c r="C157" i="4"/>
  <c r="H156" i="4"/>
  <c r="C156" i="4"/>
  <c r="L155" i="4"/>
  <c r="L156" i="4" s="1"/>
  <c r="K155" i="4"/>
  <c r="K156" i="4" s="1"/>
  <c r="H155" i="4"/>
  <c r="C155" i="4"/>
  <c r="H154" i="4"/>
  <c r="C154" i="4"/>
  <c r="H153" i="4"/>
  <c r="C153" i="4"/>
  <c r="H152" i="4"/>
  <c r="C152" i="4"/>
  <c r="H151" i="4"/>
  <c r="C151" i="4"/>
  <c r="H150" i="4"/>
  <c r="H160" i="4" s="1"/>
  <c r="C150" i="4"/>
  <c r="C160" i="4" s="1"/>
  <c r="C141" i="4"/>
  <c r="H140" i="4"/>
  <c r="H139" i="4"/>
  <c r="H138" i="4"/>
  <c r="C138" i="4"/>
  <c r="L137" i="4"/>
  <c r="K137" i="4"/>
  <c r="H137" i="4"/>
  <c r="C137" i="4"/>
  <c r="K136" i="4"/>
  <c r="H136" i="4"/>
  <c r="C136" i="4"/>
  <c r="H135" i="4"/>
  <c r="C135" i="4"/>
  <c r="H134" i="4"/>
  <c r="C134" i="4"/>
  <c r="H133" i="4"/>
  <c r="C133" i="4"/>
  <c r="H132" i="4"/>
  <c r="H141" i="4" s="1"/>
  <c r="H142" i="4" s="1"/>
  <c r="H145" i="4" s="1"/>
  <c r="C132" i="4"/>
  <c r="H131" i="4"/>
  <c r="C131" i="4"/>
  <c r="H123" i="4"/>
  <c r="H122" i="4"/>
  <c r="H121" i="4"/>
  <c r="H120" i="4"/>
  <c r="C120" i="4"/>
  <c r="L119" i="4"/>
  <c r="K119" i="4"/>
  <c r="H119" i="4"/>
  <c r="C119" i="4"/>
  <c r="K118" i="4"/>
  <c r="H118" i="4"/>
  <c r="C118" i="4"/>
  <c r="H117" i="4"/>
  <c r="C117" i="4"/>
  <c r="H116" i="4"/>
  <c r="C116" i="4"/>
  <c r="H115" i="4"/>
  <c r="C115" i="4"/>
  <c r="C123" i="4" s="1"/>
  <c r="H114" i="4"/>
  <c r="C114" i="4"/>
  <c r="H113" i="4"/>
  <c r="C113" i="4"/>
  <c r="H104" i="4"/>
  <c r="H103" i="4"/>
  <c r="H102" i="4"/>
  <c r="C102" i="4"/>
  <c r="H101" i="4"/>
  <c r="C101" i="4"/>
  <c r="L100" i="4"/>
  <c r="L101" i="4" s="1"/>
  <c r="K100" i="4"/>
  <c r="K101" i="4" s="1"/>
  <c r="H100" i="4"/>
  <c r="C100" i="4"/>
  <c r="H99" i="4"/>
  <c r="C99" i="4"/>
  <c r="H98" i="4"/>
  <c r="C98" i="4"/>
  <c r="H97" i="4"/>
  <c r="C97" i="4"/>
  <c r="H96" i="4"/>
  <c r="C96" i="4"/>
  <c r="H95" i="4"/>
  <c r="H105" i="4" s="1"/>
  <c r="C95" i="4"/>
  <c r="C105" i="4" s="1"/>
  <c r="H86" i="4"/>
  <c r="H85" i="4"/>
  <c r="H84" i="4"/>
  <c r="C84" i="4"/>
  <c r="L83" i="4"/>
  <c r="H83" i="4"/>
  <c r="C83" i="4"/>
  <c r="K82" i="4"/>
  <c r="K83" i="4" s="1"/>
  <c r="H82" i="4"/>
  <c r="C82" i="4"/>
  <c r="H81" i="4"/>
  <c r="C81" i="4"/>
  <c r="H80" i="4"/>
  <c r="C80" i="4"/>
  <c r="H79" i="4"/>
  <c r="C79" i="4"/>
  <c r="H78" i="4"/>
  <c r="C78" i="4"/>
  <c r="H77" i="4"/>
  <c r="H87" i="4" s="1"/>
  <c r="C77" i="4"/>
  <c r="C87" i="4" s="1"/>
  <c r="H71" i="4"/>
  <c r="H67" i="4"/>
  <c r="H66" i="4"/>
  <c r="H65" i="4"/>
  <c r="C65" i="4"/>
  <c r="L64" i="4"/>
  <c r="K64" i="4"/>
  <c r="H64" i="4"/>
  <c r="C64" i="4"/>
  <c r="L63" i="4"/>
  <c r="K63" i="4"/>
  <c r="H63" i="4"/>
  <c r="C63" i="4"/>
  <c r="H62" i="4"/>
  <c r="C62" i="4"/>
  <c r="H61" i="4"/>
  <c r="C61" i="4"/>
  <c r="H60" i="4"/>
  <c r="H68" i="4" s="1"/>
  <c r="C60" i="4"/>
  <c r="C68" i="4" s="1"/>
  <c r="H59" i="4"/>
  <c r="C59" i="4"/>
  <c r="H58" i="4"/>
  <c r="C58" i="4"/>
  <c r="H49" i="4"/>
  <c r="H48" i="4"/>
  <c r="C48" i="4"/>
  <c r="H47" i="4"/>
  <c r="C47" i="4"/>
  <c r="H46" i="4"/>
  <c r="C46" i="4"/>
  <c r="L45" i="4"/>
  <c r="L46" i="4" s="1"/>
  <c r="K45" i="4"/>
  <c r="K46" i="4" s="1"/>
  <c r="H45" i="4"/>
  <c r="C45" i="4"/>
  <c r="H44" i="4"/>
  <c r="C44" i="4"/>
  <c r="H43" i="4"/>
  <c r="C43" i="4"/>
  <c r="H42" i="4"/>
  <c r="C42" i="4"/>
  <c r="H41" i="4"/>
  <c r="C41" i="4"/>
  <c r="H40" i="4"/>
  <c r="H50" i="4" s="1"/>
  <c r="H51" i="4" s="1"/>
  <c r="H54" i="4" s="1"/>
  <c r="D40" i="4"/>
  <c r="C40" i="4"/>
  <c r="C50" i="4" s="1"/>
  <c r="C32" i="4"/>
  <c r="H31" i="4"/>
  <c r="H30" i="4"/>
  <c r="C30" i="4"/>
  <c r="H29" i="4"/>
  <c r="C29" i="4"/>
  <c r="L28" i="4"/>
  <c r="K28" i="4"/>
  <c r="H28" i="4"/>
  <c r="C28" i="4"/>
  <c r="L27" i="4"/>
  <c r="H27" i="4"/>
  <c r="C27" i="4"/>
  <c r="H26" i="4"/>
  <c r="C26" i="4"/>
  <c r="H25" i="4"/>
  <c r="C25" i="4"/>
  <c r="H24" i="4"/>
  <c r="H32" i="4" s="1"/>
  <c r="H33" i="4" s="1"/>
  <c r="H36" i="4" s="1"/>
  <c r="C24" i="4"/>
  <c r="H23" i="4"/>
  <c r="C23" i="4"/>
  <c r="H22" i="4"/>
  <c r="C22" i="4"/>
  <c r="H13" i="4"/>
  <c r="H12" i="4"/>
  <c r="C12" i="4"/>
  <c r="AA11" i="4"/>
  <c r="W11" i="4"/>
  <c r="H11" i="4"/>
  <c r="C11" i="4"/>
  <c r="AA10" i="4"/>
  <c r="W10" i="4"/>
  <c r="L10" i="4"/>
  <c r="H10" i="4"/>
  <c r="C10" i="4"/>
  <c r="AA9" i="4"/>
  <c r="W9" i="4"/>
  <c r="K9" i="4"/>
  <c r="K10" i="4" s="1"/>
  <c r="H9" i="4"/>
  <c r="C9" i="4"/>
  <c r="AA8" i="4"/>
  <c r="W8" i="4"/>
  <c r="H8" i="4"/>
  <c r="C8" i="4"/>
  <c r="AA7" i="4"/>
  <c r="AA12" i="4" s="1"/>
  <c r="W7" i="4"/>
  <c r="H7" i="4"/>
  <c r="C7" i="4"/>
  <c r="W6" i="4"/>
  <c r="H6" i="4"/>
  <c r="C6" i="4"/>
  <c r="W5" i="4"/>
  <c r="H5" i="4"/>
  <c r="H14" i="4" s="1"/>
  <c r="H15" i="4" s="1"/>
  <c r="H18" i="4" s="1"/>
  <c r="C5" i="4"/>
  <c r="C14" i="4" s="1"/>
  <c r="W4" i="4"/>
  <c r="H4" i="4"/>
  <c r="C4" i="4"/>
  <c r="W3" i="4"/>
  <c r="Q3" i="4"/>
  <c r="W2" i="4"/>
  <c r="W12" i="4" s="1"/>
  <c r="H239" i="3"/>
  <c r="C198" i="3"/>
  <c r="H197" i="3"/>
  <c r="H196" i="3"/>
  <c r="C196" i="3"/>
  <c r="H195" i="3"/>
  <c r="C195" i="3"/>
  <c r="L194" i="3"/>
  <c r="H194" i="3"/>
  <c r="C194" i="3"/>
  <c r="L193" i="3"/>
  <c r="K193" i="3"/>
  <c r="K194" i="3" s="1"/>
  <c r="H193" i="3"/>
  <c r="H198" i="3" s="1"/>
  <c r="H199" i="3" s="1"/>
  <c r="H202" i="3" s="1"/>
  <c r="C193" i="3"/>
  <c r="H192" i="3"/>
  <c r="C192" i="3"/>
  <c r="H191" i="3"/>
  <c r="C191" i="3"/>
  <c r="P190" i="3"/>
  <c r="H190" i="3"/>
  <c r="C190" i="3"/>
  <c r="P189" i="3"/>
  <c r="H189" i="3"/>
  <c r="C189" i="3"/>
  <c r="P188" i="3"/>
  <c r="H188" i="3"/>
  <c r="C188" i="3"/>
  <c r="P187" i="3"/>
  <c r="H179" i="3"/>
  <c r="H180" i="3" s="1"/>
  <c r="H183" i="3" s="1"/>
  <c r="H178" i="3"/>
  <c r="H177" i="3"/>
  <c r="C177" i="3"/>
  <c r="H176" i="3"/>
  <c r="C176" i="3"/>
  <c r="H175" i="3"/>
  <c r="C175" i="3"/>
  <c r="L174" i="3"/>
  <c r="L175" i="3" s="1"/>
  <c r="K174" i="3"/>
  <c r="K175" i="3" s="1"/>
  <c r="H174" i="3"/>
  <c r="C174" i="3"/>
  <c r="H173" i="3"/>
  <c r="C173" i="3"/>
  <c r="H172" i="3"/>
  <c r="C172" i="3"/>
  <c r="P171" i="3"/>
  <c r="H171" i="3"/>
  <c r="C171" i="3"/>
  <c r="P170" i="3"/>
  <c r="H170" i="3"/>
  <c r="C170" i="3"/>
  <c r="C179" i="3" s="1"/>
  <c r="P169" i="3"/>
  <c r="H169" i="3"/>
  <c r="C169" i="3"/>
  <c r="P168" i="3"/>
  <c r="H159" i="3"/>
  <c r="H158" i="3"/>
  <c r="C158" i="3"/>
  <c r="H157" i="3"/>
  <c r="C157" i="3"/>
  <c r="H156" i="3"/>
  <c r="C156" i="3"/>
  <c r="L155" i="3"/>
  <c r="L156" i="3" s="1"/>
  <c r="K155" i="3"/>
  <c r="K156" i="3" s="1"/>
  <c r="H155" i="3"/>
  <c r="C155" i="3"/>
  <c r="P154" i="3"/>
  <c r="H154" i="3"/>
  <c r="C154" i="3"/>
  <c r="P153" i="3"/>
  <c r="H153" i="3"/>
  <c r="C153" i="3"/>
  <c r="P152" i="3"/>
  <c r="H152" i="3"/>
  <c r="C152" i="3"/>
  <c r="P151" i="3"/>
  <c r="H151" i="3"/>
  <c r="C151" i="3"/>
  <c r="P150" i="3"/>
  <c r="H150" i="3"/>
  <c r="H160" i="3" s="1"/>
  <c r="H161" i="3" s="1"/>
  <c r="H164" i="3" s="1"/>
  <c r="C150" i="3"/>
  <c r="C160" i="3" s="1"/>
  <c r="P149" i="3"/>
  <c r="H140" i="3"/>
  <c r="H139" i="3"/>
  <c r="C139" i="3"/>
  <c r="H138" i="3"/>
  <c r="C138" i="3"/>
  <c r="L137" i="3"/>
  <c r="K137" i="3"/>
  <c r="H137" i="3"/>
  <c r="C137" i="3"/>
  <c r="L136" i="3"/>
  <c r="K136" i="3"/>
  <c r="H136" i="3"/>
  <c r="C136" i="3"/>
  <c r="C141" i="3" s="1"/>
  <c r="H135" i="3"/>
  <c r="C135" i="3"/>
  <c r="H134" i="3"/>
  <c r="C134" i="3"/>
  <c r="P133" i="3"/>
  <c r="H133" i="3"/>
  <c r="C133" i="3"/>
  <c r="P132" i="3"/>
  <c r="H132" i="3"/>
  <c r="C132" i="3"/>
  <c r="P131" i="3"/>
  <c r="H131" i="3"/>
  <c r="H141" i="3" s="1"/>
  <c r="C131" i="3"/>
  <c r="P130" i="3"/>
  <c r="C123" i="3"/>
  <c r="H122" i="3"/>
  <c r="H121" i="3"/>
  <c r="C121" i="3"/>
  <c r="H120" i="3"/>
  <c r="C120" i="3"/>
  <c r="K119" i="3"/>
  <c r="H119" i="3"/>
  <c r="C119" i="3"/>
  <c r="K118" i="3"/>
  <c r="H118" i="3"/>
  <c r="C118" i="3"/>
  <c r="H117" i="3"/>
  <c r="C117" i="3"/>
  <c r="H116" i="3"/>
  <c r="C116" i="3"/>
  <c r="H115" i="3"/>
  <c r="C115" i="3"/>
  <c r="H114" i="3"/>
  <c r="H123" i="3" s="1"/>
  <c r="H124" i="3" s="1"/>
  <c r="H127" i="3" s="1"/>
  <c r="C114" i="3"/>
  <c r="H113" i="3"/>
  <c r="C113" i="3"/>
  <c r="H105" i="3"/>
  <c r="H104" i="3"/>
  <c r="H103" i="3"/>
  <c r="C103" i="3"/>
  <c r="H102" i="3"/>
  <c r="C102" i="3"/>
  <c r="K101" i="3"/>
  <c r="H101" i="3"/>
  <c r="C101" i="3"/>
  <c r="K100" i="3"/>
  <c r="H100" i="3"/>
  <c r="C100" i="3"/>
  <c r="H99" i="3"/>
  <c r="C99" i="3"/>
  <c r="H98" i="3"/>
  <c r="C98" i="3"/>
  <c r="H97" i="3"/>
  <c r="C97" i="3"/>
  <c r="C105" i="3" s="1"/>
  <c r="H96" i="3"/>
  <c r="C96" i="3"/>
  <c r="H95" i="3"/>
  <c r="C95" i="3"/>
  <c r="H86" i="3"/>
  <c r="H85" i="3"/>
  <c r="C85" i="3"/>
  <c r="H84" i="3"/>
  <c r="C84" i="3"/>
  <c r="H83" i="3"/>
  <c r="C83" i="3"/>
  <c r="K82" i="3"/>
  <c r="K83" i="3" s="1"/>
  <c r="H82" i="3"/>
  <c r="C82" i="3"/>
  <c r="H81" i="3"/>
  <c r="C81" i="3"/>
  <c r="H80" i="3"/>
  <c r="C80" i="3"/>
  <c r="O79" i="3"/>
  <c r="H79" i="3"/>
  <c r="C79" i="3"/>
  <c r="H78" i="3"/>
  <c r="C78" i="3"/>
  <c r="H77" i="3"/>
  <c r="H87" i="3" s="1"/>
  <c r="H88" i="3" s="1"/>
  <c r="H91" i="3" s="1"/>
  <c r="C77" i="3"/>
  <c r="C87" i="3" s="1"/>
  <c r="O75" i="3"/>
  <c r="H67" i="3"/>
  <c r="H66" i="3"/>
  <c r="H65" i="3"/>
  <c r="C65" i="3"/>
  <c r="K64" i="3"/>
  <c r="H64" i="3"/>
  <c r="C64" i="3"/>
  <c r="H63" i="3"/>
  <c r="C63" i="3"/>
  <c r="H62" i="3"/>
  <c r="C62" i="3"/>
  <c r="H61" i="3"/>
  <c r="C61" i="3"/>
  <c r="H60" i="3"/>
  <c r="C60" i="3"/>
  <c r="H59" i="3"/>
  <c r="C59" i="3"/>
  <c r="H58" i="3"/>
  <c r="H68" i="3" s="1"/>
  <c r="C58" i="3"/>
  <c r="C68" i="3" s="1"/>
  <c r="H48" i="3"/>
  <c r="H47" i="3"/>
  <c r="H46" i="3"/>
  <c r="C46" i="3"/>
  <c r="K45" i="3"/>
  <c r="H45" i="3"/>
  <c r="C45" i="3"/>
  <c r="H44" i="3"/>
  <c r="C44" i="3"/>
  <c r="H43" i="3"/>
  <c r="C43" i="3"/>
  <c r="H42" i="3"/>
  <c r="C42" i="3"/>
  <c r="H41" i="3"/>
  <c r="C41" i="3"/>
  <c r="H40" i="3"/>
  <c r="C40" i="3"/>
  <c r="H39" i="3"/>
  <c r="H49" i="3" s="1"/>
  <c r="H50" i="3" s="1"/>
  <c r="H53" i="3" s="1"/>
  <c r="C39" i="3"/>
  <c r="C49" i="3" s="1"/>
  <c r="H30" i="3"/>
  <c r="H29" i="3"/>
  <c r="H28" i="3"/>
  <c r="C28" i="3"/>
  <c r="H27" i="3"/>
  <c r="C27" i="3"/>
  <c r="K26" i="3"/>
  <c r="H26" i="3"/>
  <c r="C26" i="3"/>
  <c r="H25" i="3"/>
  <c r="C25" i="3"/>
  <c r="H24" i="3"/>
  <c r="C24" i="3"/>
  <c r="H23" i="3"/>
  <c r="C23" i="3"/>
  <c r="H22" i="3"/>
  <c r="C22" i="3"/>
  <c r="H21" i="3"/>
  <c r="H31" i="3" s="1"/>
  <c r="C21" i="3"/>
  <c r="C31" i="3" s="1"/>
  <c r="H12" i="3"/>
  <c r="H11" i="3"/>
  <c r="H10" i="3"/>
  <c r="H9" i="3"/>
  <c r="C9" i="3"/>
  <c r="H8" i="3"/>
  <c r="C8" i="3"/>
  <c r="H7" i="3"/>
  <c r="C7" i="3"/>
  <c r="H6" i="3"/>
  <c r="C6" i="3"/>
  <c r="H5" i="3"/>
  <c r="C5" i="3"/>
  <c r="H4" i="3"/>
  <c r="C4" i="3"/>
  <c r="C11" i="3" s="1"/>
  <c r="H3" i="3"/>
  <c r="H13" i="3" s="1"/>
  <c r="H14" i="3" s="1"/>
  <c r="H15" i="3" s="1"/>
  <c r="H17" i="3" s="1"/>
  <c r="C3" i="3"/>
  <c r="O2" i="3"/>
  <c r="X19" i="15" l="1"/>
  <c r="X24" i="15"/>
  <c r="J59" i="15"/>
  <c r="J29" i="15"/>
  <c r="J4" i="15"/>
  <c r="J9" i="15"/>
  <c r="J19" i="15"/>
  <c r="J24" i="15"/>
  <c r="J34" i="15"/>
  <c r="J39" i="15"/>
  <c r="J49" i="15"/>
  <c r="X54" i="15"/>
  <c r="X64" i="15"/>
  <c r="X69" i="15"/>
  <c r="J9" i="16"/>
  <c r="J24" i="16"/>
  <c r="J39" i="16"/>
  <c r="X54" i="16"/>
  <c r="J4" i="16"/>
  <c r="J19" i="16"/>
  <c r="J34" i="16"/>
  <c r="J49" i="16"/>
  <c r="X59" i="16"/>
  <c r="X74" i="16"/>
  <c r="X89" i="16"/>
  <c r="X104" i="16"/>
  <c r="Y104" i="16" s="1"/>
  <c r="X44" i="16"/>
  <c r="J69" i="16"/>
  <c r="J84" i="16"/>
  <c r="J99" i="16"/>
  <c r="J114" i="16"/>
  <c r="J129" i="16"/>
  <c r="X69" i="16"/>
  <c r="X84" i="16"/>
  <c r="X99" i="16"/>
  <c r="X114" i="16"/>
  <c r="X129" i="16"/>
  <c r="X4" i="16"/>
  <c r="Y4" i="16" s="1"/>
  <c r="AE4" i="16" s="1"/>
  <c r="X19" i="16"/>
  <c r="X34" i="16"/>
  <c r="Y34" i="16" s="1"/>
  <c r="AB34" i="16" s="1"/>
  <c r="J64" i="16"/>
  <c r="J74" i="16"/>
  <c r="J79" i="16"/>
  <c r="J89" i="16"/>
  <c r="Y89" i="16" s="1"/>
  <c r="J94" i="16"/>
  <c r="J104" i="16"/>
  <c r="J109" i="16"/>
  <c r="J124" i="16"/>
  <c r="X129" i="17"/>
  <c r="AD141" i="17"/>
  <c r="X39" i="17"/>
  <c r="X54" i="17"/>
  <c r="X84" i="17"/>
  <c r="J124" i="17"/>
  <c r="J4" i="17"/>
  <c r="X4" i="17"/>
  <c r="AI4" i="17"/>
  <c r="J19" i="17"/>
  <c r="J29" i="17"/>
  <c r="J34" i="17"/>
  <c r="J44" i="17"/>
  <c r="J49" i="17"/>
  <c r="J59" i="17"/>
  <c r="J64" i="17"/>
  <c r="J74" i="17"/>
  <c r="J79" i="17"/>
  <c r="Y79" i="17" s="1"/>
  <c r="X104" i="17"/>
  <c r="X109" i="17"/>
  <c r="X124" i="17"/>
  <c r="X134" i="17"/>
  <c r="Y134" i="17" s="1"/>
  <c r="AE134" i="17" s="1"/>
  <c r="AG134" i="17" s="1"/>
  <c r="X19" i="17"/>
  <c r="Y19" i="17" s="1"/>
  <c r="X34" i="17"/>
  <c r="X49" i="17"/>
  <c r="X64" i="17"/>
  <c r="X79" i="17"/>
  <c r="J94" i="17"/>
  <c r="J114" i="17"/>
  <c r="X114" i="17"/>
  <c r="Y114" i="17" s="1"/>
  <c r="J119" i="17"/>
  <c r="J129" i="17"/>
  <c r="J134" i="17"/>
  <c r="J14" i="17"/>
  <c r="J24" i="17"/>
  <c r="AA51" i="5"/>
  <c r="AD51" i="5"/>
  <c r="H69" i="3"/>
  <c r="H72" i="3" s="1"/>
  <c r="H106" i="4"/>
  <c r="H109" i="4" s="1"/>
  <c r="H180" i="4"/>
  <c r="H183" i="4" s="1"/>
  <c r="H217" i="4"/>
  <c r="H220" i="4" s="1"/>
  <c r="H452" i="4"/>
  <c r="H455" i="4" s="1"/>
  <c r="X21" i="5"/>
  <c r="X68" i="5"/>
  <c r="X64" i="7"/>
  <c r="AD62" i="5"/>
  <c r="AA62" i="5"/>
  <c r="H106" i="3"/>
  <c r="H109" i="3" s="1"/>
  <c r="H525" i="4"/>
  <c r="H528" i="4" s="1"/>
  <c r="X56" i="5"/>
  <c r="AA89" i="6"/>
  <c r="AD89" i="6"/>
  <c r="AF89" i="6" s="1"/>
  <c r="AA142" i="7"/>
  <c r="AD142" i="7"/>
  <c r="AF142" i="7" s="1"/>
  <c r="AA11" i="6"/>
  <c r="AD11" i="6"/>
  <c r="AF11" i="6" s="1"/>
  <c r="AA112" i="7"/>
  <c r="AD112" i="7"/>
  <c r="AF112" i="7" s="1"/>
  <c r="H69" i="4"/>
  <c r="H72" i="4" s="1"/>
  <c r="H235" i="4"/>
  <c r="H238" i="4" s="1"/>
  <c r="H416" i="4"/>
  <c r="H419" i="4" s="1"/>
  <c r="AA4" i="5"/>
  <c r="AD4" i="5"/>
  <c r="AD31" i="5"/>
  <c r="AF31" i="5" s="1"/>
  <c r="AA31" i="5"/>
  <c r="X46" i="5"/>
  <c r="X29" i="6"/>
  <c r="X137" i="6"/>
  <c r="AA88" i="7"/>
  <c r="AD88" i="7"/>
  <c r="AF88" i="7" s="1"/>
  <c r="AA113" i="8"/>
  <c r="AD113" i="8"/>
  <c r="AF113" i="8" s="1"/>
  <c r="AA131" i="8"/>
  <c r="AD131" i="8"/>
  <c r="AF131" i="8" s="1"/>
  <c r="AA149" i="8"/>
  <c r="AD149" i="8"/>
  <c r="AF149" i="8" s="1"/>
  <c r="AA32" i="10"/>
  <c r="AD32" i="10"/>
  <c r="AF32" i="10" s="1"/>
  <c r="H142" i="3"/>
  <c r="H145" i="3" s="1"/>
  <c r="AA16" i="5"/>
  <c r="AD16" i="5"/>
  <c r="H32" i="3"/>
  <c r="H34" i="3" s="1"/>
  <c r="H88" i="4"/>
  <c r="H91" i="4" s="1"/>
  <c r="H124" i="4"/>
  <c r="H127" i="4" s="1"/>
  <c r="H161" i="4"/>
  <c r="H164" i="4" s="1"/>
  <c r="H199" i="4"/>
  <c r="H202" i="4" s="1"/>
  <c r="H380" i="4"/>
  <c r="H383" i="4" s="1"/>
  <c r="H507" i="4"/>
  <c r="H510" i="4" s="1"/>
  <c r="X41" i="5"/>
  <c r="X163" i="5"/>
  <c r="AA47" i="6"/>
  <c r="AD47" i="6"/>
  <c r="AF47" i="6" s="1"/>
  <c r="X131" i="6"/>
  <c r="AA16" i="9"/>
  <c r="AD16" i="9"/>
  <c r="AF16" i="9" s="1"/>
  <c r="AA34" i="9"/>
  <c r="AD34" i="9"/>
  <c r="AF34" i="9" s="1"/>
  <c r="AA52" i="9"/>
  <c r="AD52" i="9"/>
  <c r="AF52" i="9" s="1"/>
  <c r="X10" i="5"/>
  <c r="AA26" i="5"/>
  <c r="AD26" i="5"/>
  <c r="O1" i="3"/>
  <c r="Q2" i="4"/>
  <c r="X36" i="5"/>
  <c r="X74" i="5"/>
  <c r="AA119" i="6"/>
  <c r="AD119" i="6"/>
  <c r="AA11" i="8"/>
  <c r="AD11" i="8"/>
  <c r="AF11" i="8" s="1"/>
  <c r="AA29" i="8"/>
  <c r="AD29" i="8"/>
  <c r="AF29" i="8" s="1"/>
  <c r="AA47" i="8"/>
  <c r="AD47" i="8"/>
  <c r="AF47" i="8" s="1"/>
  <c r="AA83" i="8"/>
  <c r="AD83" i="8"/>
  <c r="X95" i="8"/>
  <c r="AA17" i="6"/>
  <c r="AD17" i="6"/>
  <c r="AF17" i="6" s="1"/>
  <c r="AA70" i="7"/>
  <c r="AD70" i="7"/>
  <c r="X10" i="9"/>
  <c r="AD80" i="10"/>
  <c r="AF80" i="10" s="1"/>
  <c r="AA80" i="10"/>
  <c r="AB178" i="5"/>
  <c r="X169" i="5"/>
  <c r="J59" i="6"/>
  <c r="W59" i="6"/>
  <c r="J65" i="6"/>
  <c r="J113" i="6"/>
  <c r="W113" i="6"/>
  <c r="X113" i="6" s="1"/>
  <c r="W155" i="6"/>
  <c r="X155" i="6" s="1"/>
  <c r="W161" i="6"/>
  <c r="W22" i="7"/>
  <c r="AA82" i="7"/>
  <c r="X118" i="7"/>
  <c r="X154" i="7"/>
  <c r="W160" i="7"/>
  <c r="X160" i="7" s="1"/>
  <c r="J23" i="8"/>
  <c r="X23" i="8" s="1"/>
  <c r="J59" i="8"/>
  <c r="X59" i="8"/>
  <c r="W4" i="9"/>
  <c r="W40" i="9"/>
  <c r="X40" i="9" s="1"/>
  <c r="X44" i="10"/>
  <c r="X152" i="10"/>
  <c r="AA125" i="12"/>
  <c r="AD125" i="12"/>
  <c r="AF125" i="12" s="1"/>
  <c r="AD167" i="6"/>
  <c r="AF167" i="6" s="1"/>
  <c r="AA167" i="6"/>
  <c r="AE4" i="18"/>
  <c r="AG4" i="18" s="1"/>
  <c r="AB4" i="18"/>
  <c r="AC178" i="5"/>
  <c r="W103" i="5"/>
  <c r="AA109" i="5"/>
  <c r="W121" i="5"/>
  <c r="AD151" i="5"/>
  <c r="AF151" i="5" s="1"/>
  <c r="X65" i="6"/>
  <c r="W77" i="6"/>
  <c r="J137" i="6"/>
  <c r="J149" i="6"/>
  <c r="W149" i="6"/>
  <c r="AC177" i="7"/>
  <c r="J28" i="7"/>
  <c r="X28" i="7"/>
  <c r="AD46" i="7"/>
  <c r="AF46" i="7" s="1"/>
  <c r="W76" i="7"/>
  <c r="J130" i="7"/>
  <c r="X130" i="7"/>
  <c r="J166" i="7"/>
  <c r="X166" i="7"/>
  <c r="W35" i="8"/>
  <c r="X35" i="8" s="1"/>
  <c r="W71" i="8"/>
  <c r="J107" i="8"/>
  <c r="X107" i="8"/>
  <c r="J143" i="8"/>
  <c r="X143" i="8"/>
  <c r="AD22" i="9"/>
  <c r="AF22" i="9" s="1"/>
  <c r="AA64" i="9"/>
  <c r="AD64" i="9"/>
  <c r="AF64" i="9" s="1"/>
  <c r="X76" i="9"/>
  <c r="X94" i="9"/>
  <c r="AA10" i="11"/>
  <c r="AD10" i="11"/>
  <c r="AF10" i="11" s="1"/>
  <c r="AA41" i="11"/>
  <c r="AD41" i="11"/>
  <c r="AF41" i="11" s="1"/>
  <c r="AA71" i="11"/>
  <c r="AD71" i="11"/>
  <c r="AF71" i="11" s="1"/>
  <c r="AA101" i="11"/>
  <c r="AD101" i="11"/>
  <c r="AF101" i="11" s="1"/>
  <c r="X55" i="12"/>
  <c r="AA60" i="12"/>
  <c r="AD60" i="12"/>
  <c r="AF60" i="12" s="1"/>
  <c r="X85" i="12"/>
  <c r="AE19" i="18"/>
  <c r="AG19" i="18" s="1"/>
  <c r="AB19" i="18"/>
  <c r="W97" i="5"/>
  <c r="X97" i="5" s="1"/>
  <c r="AE109" i="5"/>
  <c r="AF109" i="5" s="1"/>
  <c r="AA133" i="5"/>
  <c r="AD133" i="5"/>
  <c r="X139" i="5"/>
  <c r="J175" i="5"/>
  <c r="X5" i="6"/>
  <c r="AD23" i="6"/>
  <c r="AF23" i="6" s="1"/>
  <c r="AA23" i="6"/>
  <c r="AA95" i="6"/>
  <c r="AD95" i="6"/>
  <c r="AF95" i="6" s="1"/>
  <c r="AA101" i="6"/>
  <c r="AD101" i="6"/>
  <c r="AF101" i="6" s="1"/>
  <c r="X173" i="6"/>
  <c r="AA40" i="7"/>
  <c r="AD40" i="7"/>
  <c r="AF40" i="7" s="1"/>
  <c r="AA94" i="7"/>
  <c r="AD94" i="7"/>
  <c r="AF94" i="7" s="1"/>
  <c r="AD100" i="7"/>
  <c r="AA100" i="7"/>
  <c r="J124" i="7"/>
  <c r="X124" i="7" s="1"/>
  <c r="X5" i="8"/>
  <c r="X41" i="8"/>
  <c r="X77" i="8"/>
  <c r="J4" i="9"/>
  <c r="J40" i="9"/>
  <c r="AD58" i="9"/>
  <c r="AF58" i="9" s="1"/>
  <c r="AA58" i="9"/>
  <c r="AA130" i="9"/>
  <c r="AD130" i="9"/>
  <c r="AF130" i="9" s="1"/>
  <c r="AA4" i="11"/>
  <c r="AD4" i="11"/>
  <c r="X31" i="11"/>
  <c r="AA36" i="11"/>
  <c r="AD36" i="11"/>
  <c r="AF36" i="11" s="1"/>
  <c r="X61" i="11"/>
  <c r="AA66" i="11"/>
  <c r="AD66" i="11"/>
  <c r="AF66" i="11" s="1"/>
  <c r="X91" i="11"/>
  <c r="AA96" i="11"/>
  <c r="AD96" i="11"/>
  <c r="AF96" i="11" s="1"/>
  <c r="AA4" i="7"/>
  <c r="AD4" i="7"/>
  <c r="J172" i="7"/>
  <c r="X172" i="7" s="1"/>
  <c r="J65" i="8"/>
  <c r="X65" i="8" s="1"/>
  <c r="AA44" i="14"/>
  <c r="AD44" i="14"/>
  <c r="AF44" i="14" s="1"/>
  <c r="W91" i="5"/>
  <c r="X91" i="5" s="1"/>
  <c r="AD115" i="5"/>
  <c r="AF115" i="5" s="1"/>
  <c r="W127" i="5"/>
  <c r="X127" i="5" s="1"/>
  <c r="J157" i="5"/>
  <c r="X157" i="5"/>
  <c r="W35" i="6"/>
  <c r="X35" i="6" s="1"/>
  <c r="W53" i="6"/>
  <c r="X53" i="6" s="1"/>
  <c r="W71" i="6"/>
  <c r="X71" i="6" s="1"/>
  <c r="W83" i="6"/>
  <c r="X83" i="6" s="1"/>
  <c r="W107" i="6"/>
  <c r="X107" i="6" s="1"/>
  <c r="J161" i="6"/>
  <c r="J22" i="7"/>
  <c r="W34" i="7"/>
  <c r="X34" i="7" s="1"/>
  <c r="X52" i="7"/>
  <c r="W136" i="7"/>
  <c r="X136" i="7" s="1"/>
  <c r="J160" i="7"/>
  <c r="X17" i="8"/>
  <c r="J35" i="8"/>
  <c r="X53" i="8"/>
  <c r="J71" i="8"/>
  <c r="X89" i="8"/>
  <c r="X125" i="8"/>
  <c r="X161" i="8"/>
  <c r="X116" i="10"/>
  <c r="AA44" i="13"/>
  <c r="AD44" i="13"/>
  <c r="AF44" i="13" s="1"/>
  <c r="AA85" i="5"/>
  <c r="AD85" i="5"/>
  <c r="AF85" i="5" s="1"/>
  <c r="W46" i="9"/>
  <c r="X46" i="9" s="1"/>
  <c r="W80" i="5"/>
  <c r="X80" i="5" s="1"/>
  <c r="J103" i="5"/>
  <c r="J121" i="5"/>
  <c r="W145" i="5"/>
  <c r="X145" i="5" s="1"/>
  <c r="W175" i="5"/>
  <c r="X175" i="5" s="1"/>
  <c r="AA175" i="5" s="1"/>
  <c r="J41" i="6"/>
  <c r="W41" i="6"/>
  <c r="X41" i="6" s="1"/>
  <c r="J77" i="6"/>
  <c r="J125" i="6"/>
  <c r="W125" i="6"/>
  <c r="W143" i="6"/>
  <c r="X143" i="6" s="1"/>
  <c r="W16" i="7"/>
  <c r="X16" i="7" s="1"/>
  <c r="J58" i="7"/>
  <c r="X58" i="7" s="1"/>
  <c r="J76" i="7"/>
  <c r="W106" i="7"/>
  <c r="X106" i="7" s="1"/>
  <c r="X148" i="7"/>
  <c r="W101" i="8"/>
  <c r="X101" i="8" s="1"/>
  <c r="J119" i="8"/>
  <c r="X119" i="8" s="1"/>
  <c r="W137" i="8"/>
  <c r="X137" i="8" s="1"/>
  <c r="J155" i="8"/>
  <c r="X155" i="8" s="1"/>
  <c r="J28" i="9"/>
  <c r="X28" i="9" s="1"/>
  <c r="AD116" i="11"/>
  <c r="AF116" i="11" s="1"/>
  <c r="AA116" i="11"/>
  <c r="AD94" i="13"/>
  <c r="AF94" i="13" s="1"/>
  <c r="AA94" i="13"/>
  <c r="AB177" i="7"/>
  <c r="W106" i="9"/>
  <c r="W118" i="9"/>
  <c r="X118" i="9" s="1"/>
  <c r="J142" i="9"/>
  <c r="X142" i="9" s="1"/>
  <c r="W56" i="10"/>
  <c r="X56" i="10" s="1"/>
  <c r="W68" i="10"/>
  <c r="X68" i="10" s="1"/>
  <c r="W92" i="10"/>
  <c r="W104" i="10"/>
  <c r="X104" i="10" s="1"/>
  <c r="W128" i="10"/>
  <c r="W140" i="10"/>
  <c r="X140" i="10" s="1"/>
  <c r="J21" i="11"/>
  <c r="X21" i="11" s="1"/>
  <c r="J51" i="11"/>
  <c r="X51" i="11" s="1"/>
  <c r="J81" i="11"/>
  <c r="X81" i="11" s="1"/>
  <c r="X15" i="12"/>
  <c r="AC154" i="9"/>
  <c r="W112" i="9"/>
  <c r="X112" i="9" s="1"/>
  <c r="J4" i="10"/>
  <c r="W4" i="10"/>
  <c r="J26" i="10"/>
  <c r="X26" i="10"/>
  <c r="W62" i="10"/>
  <c r="X62" i="10" s="1"/>
  <c r="W98" i="10"/>
  <c r="X98" i="10" s="1"/>
  <c r="W134" i="10"/>
  <c r="X134" i="10" s="1"/>
  <c r="X131" i="11"/>
  <c r="AD131" i="11" s="1"/>
  <c r="AF131" i="11" s="1"/>
  <c r="X30" i="12"/>
  <c r="AA95" i="12"/>
  <c r="AD95" i="12"/>
  <c r="AF95" i="12" s="1"/>
  <c r="AA119" i="13"/>
  <c r="AD119" i="13"/>
  <c r="AF119" i="13" s="1"/>
  <c r="AE34" i="16"/>
  <c r="AG34" i="16" s="1"/>
  <c r="AB175" i="6"/>
  <c r="J82" i="9"/>
  <c r="AD88" i="9"/>
  <c r="AF88" i="9" s="1"/>
  <c r="AA88" i="9"/>
  <c r="AD124" i="9"/>
  <c r="AF124" i="9" s="1"/>
  <c r="AA124" i="9"/>
  <c r="X38" i="10"/>
  <c r="AA50" i="10"/>
  <c r="AD50" i="10"/>
  <c r="AF50" i="10" s="1"/>
  <c r="X74" i="10"/>
  <c r="AA86" i="10"/>
  <c r="AD86" i="10"/>
  <c r="AF86" i="10" s="1"/>
  <c r="X110" i="10"/>
  <c r="AA122" i="10"/>
  <c r="AD122" i="10"/>
  <c r="AF122" i="10" s="1"/>
  <c r="X146" i="10"/>
  <c r="AA158" i="10"/>
  <c r="AD158" i="10"/>
  <c r="AF158" i="10" s="1"/>
  <c r="J26" i="11"/>
  <c r="J56" i="11"/>
  <c r="J86" i="11"/>
  <c r="J106" i="9"/>
  <c r="X9" i="10"/>
  <c r="X20" i="10"/>
  <c r="W82" i="9"/>
  <c r="X82" i="9" s="1"/>
  <c r="W100" i="9"/>
  <c r="X100" i="9" s="1"/>
  <c r="J15" i="10"/>
  <c r="X15" i="10" s="1"/>
  <c r="J56" i="10"/>
  <c r="J92" i="10"/>
  <c r="J128" i="10"/>
  <c r="J16" i="11"/>
  <c r="X16" i="11"/>
  <c r="W26" i="11"/>
  <c r="J46" i="11"/>
  <c r="X46" i="11"/>
  <c r="W56" i="11"/>
  <c r="J76" i="11"/>
  <c r="X76" i="11"/>
  <c r="W86" i="11"/>
  <c r="J106" i="11"/>
  <c r="X106" i="11"/>
  <c r="X105" i="12"/>
  <c r="AA14" i="13"/>
  <c r="AD14" i="13"/>
  <c r="AF14" i="13" s="1"/>
  <c r="W121" i="11"/>
  <c r="X121" i="11" s="1"/>
  <c r="AC136" i="12"/>
  <c r="J45" i="12"/>
  <c r="X45" i="12" s="1"/>
  <c r="J75" i="12"/>
  <c r="X75" i="12" s="1"/>
  <c r="J24" i="13"/>
  <c r="X24" i="13" s="1"/>
  <c r="J54" i="13"/>
  <c r="X54" i="13"/>
  <c r="X84" i="13"/>
  <c r="X104" i="13"/>
  <c r="AD19" i="14"/>
  <c r="AF19" i="14" s="1"/>
  <c r="AA19" i="14"/>
  <c r="AA109" i="14"/>
  <c r="AD109" i="14"/>
  <c r="AF109" i="14" s="1"/>
  <c r="Y154" i="9"/>
  <c r="J15" i="12"/>
  <c r="J30" i="12"/>
  <c r="X50" i="12"/>
  <c r="X80" i="12"/>
  <c r="W115" i="12"/>
  <c r="W4" i="13"/>
  <c r="X4" i="13" s="1"/>
  <c r="J29" i="13"/>
  <c r="X29" i="13" s="1"/>
  <c r="J59" i="13"/>
  <c r="X59" i="13" s="1"/>
  <c r="J89" i="13"/>
  <c r="X89" i="13"/>
  <c r="AA49" i="14"/>
  <c r="AD49" i="14"/>
  <c r="AF49" i="14" s="1"/>
  <c r="W111" i="11"/>
  <c r="X111" i="11" s="1"/>
  <c r="J50" i="12"/>
  <c r="J80" i="12"/>
  <c r="X39" i="13"/>
  <c r="X69" i="13"/>
  <c r="X24" i="14"/>
  <c r="X65" i="12"/>
  <c r="W100" i="12"/>
  <c r="X100" i="12" s="1"/>
  <c r="W130" i="12"/>
  <c r="X130" i="12" s="1"/>
  <c r="J34" i="13"/>
  <c r="X34" i="13" s="1"/>
  <c r="J64" i="13"/>
  <c r="X64" i="13" s="1"/>
  <c r="AA29" i="14"/>
  <c r="AD29" i="14"/>
  <c r="AF29" i="14" s="1"/>
  <c r="AC136" i="11"/>
  <c r="AC146" i="11" s="1"/>
  <c r="W126" i="11"/>
  <c r="X126" i="11" s="1"/>
  <c r="J5" i="12"/>
  <c r="X5" i="12" s="1"/>
  <c r="J10" i="12"/>
  <c r="W10" i="12"/>
  <c r="J20" i="12"/>
  <c r="X20" i="12" s="1"/>
  <c r="J25" i="12"/>
  <c r="W25" i="12"/>
  <c r="X25" i="12" s="1"/>
  <c r="J35" i="12"/>
  <c r="X35" i="12" s="1"/>
  <c r="J40" i="12"/>
  <c r="W40" i="12"/>
  <c r="J70" i="12"/>
  <c r="X70" i="12"/>
  <c r="W90" i="12"/>
  <c r="X90" i="12" s="1"/>
  <c r="W110" i="12"/>
  <c r="X110" i="12" s="1"/>
  <c r="J115" i="12"/>
  <c r="W120" i="12"/>
  <c r="X120" i="12" s="1"/>
  <c r="J4" i="13"/>
  <c r="W9" i="13"/>
  <c r="X9" i="13" s="1"/>
  <c r="X19" i="13"/>
  <c r="X49" i="13"/>
  <c r="J79" i="13"/>
  <c r="X79" i="13" s="1"/>
  <c r="Y4" i="17"/>
  <c r="W99" i="13"/>
  <c r="X99" i="13" s="1"/>
  <c r="W109" i="13"/>
  <c r="X124" i="13"/>
  <c r="W69" i="14"/>
  <c r="AA79" i="14"/>
  <c r="AD79" i="14"/>
  <c r="AF79" i="14" s="1"/>
  <c r="W99" i="14"/>
  <c r="X99" i="14" s="1"/>
  <c r="W129" i="14"/>
  <c r="X129" i="14" s="1"/>
  <c r="X9" i="15"/>
  <c r="X39" i="15"/>
  <c r="Y39" i="15" s="1"/>
  <c r="J114" i="13"/>
  <c r="Z136" i="13"/>
  <c r="AH114" i="13"/>
  <c r="X39" i="14"/>
  <c r="W74" i="14"/>
  <c r="X74" i="14" s="1"/>
  <c r="W104" i="14"/>
  <c r="X104" i="14" s="1"/>
  <c r="W134" i="14"/>
  <c r="X134" i="14" s="1"/>
  <c r="X14" i="15"/>
  <c r="X44" i="15"/>
  <c r="X114" i="13"/>
  <c r="J4" i="14"/>
  <c r="AC138" i="14"/>
  <c r="W9" i="14"/>
  <c r="X9" i="14" s="1"/>
  <c r="J34" i="14"/>
  <c r="X34" i="14" s="1"/>
  <c r="J64" i="14"/>
  <c r="X84" i="14"/>
  <c r="W94" i="14"/>
  <c r="X94" i="14" s="1"/>
  <c r="X114" i="14"/>
  <c r="J119" i="16"/>
  <c r="X129" i="13"/>
  <c r="X54" i="14"/>
  <c r="W64" i="14"/>
  <c r="J69" i="14"/>
  <c r="W89" i="14"/>
  <c r="X89" i="14" s="1"/>
  <c r="J99" i="14"/>
  <c r="W119" i="14"/>
  <c r="X119" i="14" s="1"/>
  <c r="J129" i="14"/>
  <c r="X29" i="15"/>
  <c r="Y29" i="15" s="1"/>
  <c r="J109" i="13"/>
  <c r="J124" i="13"/>
  <c r="W4" i="14"/>
  <c r="W14" i="14"/>
  <c r="X14" i="14" s="1"/>
  <c r="J39" i="14"/>
  <c r="J59" i="14"/>
  <c r="X59" i="14" s="1"/>
  <c r="W124" i="14"/>
  <c r="X124" i="14" s="1"/>
  <c r="X4" i="15"/>
  <c r="J14" i="15"/>
  <c r="X34" i="15"/>
  <c r="Y34" i="15" s="1"/>
  <c r="J44" i="15"/>
  <c r="J54" i="15"/>
  <c r="J9" i="17"/>
  <c r="AE19" i="17"/>
  <c r="AG19" i="17" s="1"/>
  <c r="AB19" i="17"/>
  <c r="X14" i="16"/>
  <c r="X29" i="16"/>
  <c r="X119" i="16"/>
  <c r="X9" i="17"/>
  <c r="Y9" i="17" s="1"/>
  <c r="X24" i="17"/>
  <c r="Y24" i="17" s="1"/>
  <c r="J39" i="17"/>
  <c r="Y39" i="17" s="1"/>
  <c r="J54" i="17"/>
  <c r="Y54" i="17" s="1"/>
  <c r="J69" i="17"/>
  <c r="J84" i="17"/>
  <c r="AE14" i="18"/>
  <c r="AG14" i="18" s="1"/>
  <c r="AB14" i="18"/>
  <c r="X69" i="17"/>
  <c r="Y129" i="17"/>
  <c r="X49" i="15"/>
  <c r="AD133" i="16"/>
  <c r="X49" i="16"/>
  <c r="Y49" i="16" s="1"/>
  <c r="Y34" i="17"/>
  <c r="Y49" i="17"/>
  <c r="Y64" i="17"/>
  <c r="X94" i="17"/>
  <c r="AE29" i="18"/>
  <c r="AG29" i="18" s="1"/>
  <c r="AB29" i="18"/>
  <c r="AE34" i="18"/>
  <c r="AG34" i="18" s="1"/>
  <c r="AB34" i="18"/>
  <c r="AB39" i="18"/>
  <c r="AE39" i="18"/>
  <c r="AG39" i="18" s="1"/>
  <c r="Y44" i="18"/>
  <c r="AE49" i="18"/>
  <c r="AG49" i="18" s="1"/>
  <c r="AB49" i="18"/>
  <c r="Y54" i="18"/>
  <c r="AE59" i="18"/>
  <c r="AG59" i="18" s="1"/>
  <c r="AB59" i="18"/>
  <c r="AE64" i="18"/>
  <c r="AG64" i="18" s="1"/>
  <c r="AB64" i="18"/>
  <c r="Y69" i="18"/>
  <c r="AE74" i="18"/>
  <c r="AG74" i="18" s="1"/>
  <c r="AB74" i="18"/>
  <c r="AE79" i="18"/>
  <c r="AG79" i="18" s="1"/>
  <c r="AB79" i="18"/>
  <c r="Y84" i="18"/>
  <c r="AE89" i="18"/>
  <c r="AG89" i="18" s="1"/>
  <c r="AB89" i="18"/>
  <c r="AE94" i="18"/>
  <c r="AG94" i="18" s="1"/>
  <c r="AB94" i="18"/>
  <c r="Y99" i="18"/>
  <c r="AE104" i="18"/>
  <c r="AG104" i="18" s="1"/>
  <c r="AB104" i="18"/>
  <c r="AE109" i="18"/>
  <c r="AG109" i="18" s="1"/>
  <c r="AB109" i="18"/>
  <c r="Y114" i="18"/>
  <c r="AD73" i="15"/>
  <c r="J69" i="15"/>
  <c r="Y69" i="15" s="1"/>
  <c r="X9" i="16"/>
  <c r="Y9" i="16" s="1"/>
  <c r="J14" i="16"/>
  <c r="X24" i="16"/>
  <c r="Y24" i="16" s="1"/>
  <c r="J29" i="16"/>
  <c r="X39" i="16"/>
  <c r="J44" i="16"/>
  <c r="Y44" i="16" s="1"/>
  <c r="X64" i="16"/>
  <c r="Y64" i="16" s="1"/>
  <c r="X79" i="16"/>
  <c r="X94" i="16"/>
  <c r="Y94" i="16" s="1"/>
  <c r="X109" i="16"/>
  <c r="X124" i="16"/>
  <c r="X14" i="17"/>
  <c r="J89" i="17"/>
  <c r="Y89" i="17" s="1"/>
  <c r="J104" i="17"/>
  <c r="Y104" i="17" s="1"/>
  <c r="X59" i="15"/>
  <c r="Y59" i="15" s="1"/>
  <c r="J64" i="15"/>
  <c r="Y64" i="15" s="1"/>
  <c r="J54" i="16"/>
  <c r="Y54" i="16" s="1"/>
  <c r="J59" i="16"/>
  <c r="X29" i="17"/>
  <c r="X44" i="17"/>
  <c r="Y44" i="17" s="1"/>
  <c r="X59" i="17"/>
  <c r="Y59" i="17" s="1"/>
  <c r="X74" i="17"/>
  <c r="J99" i="17"/>
  <c r="Y99" i="17" s="1"/>
  <c r="J109" i="17"/>
  <c r="Y109" i="17" s="1"/>
  <c r="X119" i="17"/>
  <c r="Y119" i="17" s="1"/>
  <c r="AB9" i="18"/>
  <c r="AE9" i="18"/>
  <c r="AG9" i="18" s="1"/>
  <c r="AB24" i="18"/>
  <c r="AE24" i="18"/>
  <c r="AG24" i="18" s="1"/>
  <c r="Y54" i="15" l="1"/>
  <c r="Y9" i="15"/>
  <c r="AB9" i="15" s="1"/>
  <c r="Y4" i="15"/>
  <c r="AE4" i="15" s="1"/>
  <c r="Y14" i="15"/>
  <c r="AB14" i="15" s="1"/>
  <c r="Y24" i="15"/>
  <c r="Y49" i="15"/>
  <c r="AB49" i="15" s="1"/>
  <c r="Y19" i="15"/>
  <c r="Y59" i="16"/>
  <c r="AB4" i="16"/>
  <c r="Y39" i="16"/>
  <c r="AB39" i="16" s="1"/>
  <c r="Y114" i="16"/>
  <c r="Y79" i="16"/>
  <c r="AB79" i="16" s="1"/>
  <c r="Y19" i="16"/>
  <c r="Y69" i="16"/>
  <c r="Y84" i="16"/>
  <c r="Y74" i="16"/>
  <c r="Y99" i="16"/>
  <c r="Y124" i="16"/>
  <c r="Y109" i="16"/>
  <c r="AE109" i="16" s="1"/>
  <c r="AG109" i="16" s="1"/>
  <c r="Y29" i="16"/>
  <c r="AB29" i="16" s="1"/>
  <c r="Y129" i="16"/>
  <c r="Y74" i="17"/>
  <c r="Y84" i="17"/>
  <c r="AE84" i="17" s="1"/>
  <c r="AG84" i="17" s="1"/>
  <c r="Y29" i="17"/>
  <c r="Y14" i="17"/>
  <c r="Y124" i="17"/>
  <c r="AB134" i="17"/>
  <c r="Y94" i="17"/>
  <c r="AE54" i="16"/>
  <c r="AG54" i="16" s="1"/>
  <c r="AB54" i="16"/>
  <c r="AE54" i="17"/>
  <c r="AG54" i="17" s="1"/>
  <c r="AB54" i="17"/>
  <c r="AE54" i="15"/>
  <c r="AG54" i="15" s="1"/>
  <c r="AB54" i="15"/>
  <c r="AA59" i="14"/>
  <c r="AD59" i="14"/>
  <c r="AF59" i="14" s="1"/>
  <c r="AA20" i="12"/>
  <c r="AD20" i="12"/>
  <c r="AF20" i="12" s="1"/>
  <c r="AA34" i="13"/>
  <c r="AD34" i="13"/>
  <c r="AF34" i="13" s="1"/>
  <c r="AA172" i="7"/>
  <c r="AD172" i="7"/>
  <c r="AF172" i="7" s="1"/>
  <c r="AA15" i="10"/>
  <c r="AD15" i="10"/>
  <c r="AF15" i="10" s="1"/>
  <c r="AD28" i="9"/>
  <c r="AF28" i="9" s="1"/>
  <c r="AA28" i="9"/>
  <c r="AA59" i="13"/>
  <c r="AD59" i="13"/>
  <c r="AF59" i="13" s="1"/>
  <c r="AA81" i="11"/>
  <c r="AD81" i="11"/>
  <c r="AF81" i="11" s="1"/>
  <c r="AA155" i="8"/>
  <c r="AD155" i="8"/>
  <c r="AF155" i="8" s="1"/>
  <c r="AA35" i="12"/>
  <c r="AD35" i="12"/>
  <c r="AF35" i="12" s="1"/>
  <c r="AA5" i="12"/>
  <c r="AD5" i="12"/>
  <c r="AA29" i="13"/>
  <c r="AD29" i="13"/>
  <c r="AF29" i="13" s="1"/>
  <c r="AD24" i="13"/>
  <c r="AF24" i="13" s="1"/>
  <c r="AA24" i="13"/>
  <c r="AA51" i="11"/>
  <c r="AD51" i="11"/>
  <c r="AF51" i="11" s="1"/>
  <c r="AD58" i="7"/>
  <c r="AF58" i="7" s="1"/>
  <c r="AA58" i="7"/>
  <c r="AA79" i="13"/>
  <c r="AD79" i="13"/>
  <c r="AF79" i="13" s="1"/>
  <c r="AE89" i="17"/>
  <c r="AG89" i="17" s="1"/>
  <c r="AB89" i="17"/>
  <c r="AB84" i="17"/>
  <c r="AA75" i="12"/>
  <c r="AD75" i="12"/>
  <c r="AF75" i="12" s="1"/>
  <c r="AA21" i="11"/>
  <c r="AD21" i="11"/>
  <c r="AF21" i="11" s="1"/>
  <c r="AA119" i="8"/>
  <c r="AD119" i="8"/>
  <c r="AF119" i="8" s="1"/>
  <c r="AD23" i="8"/>
  <c r="AF23" i="8" s="1"/>
  <c r="AA23" i="8"/>
  <c r="AE99" i="17"/>
  <c r="AG99" i="17" s="1"/>
  <c r="AB99" i="17"/>
  <c r="AA34" i="14"/>
  <c r="AD34" i="14"/>
  <c r="AF34" i="14" s="1"/>
  <c r="AE104" i="17"/>
  <c r="AG104" i="17" s="1"/>
  <c r="AB104" i="17"/>
  <c r="AE109" i="17"/>
  <c r="AG109" i="17" s="1"/>
  <c r="AB109" i="17"/>
  <c r="AB59" i="16"/>
  <c r="AE59" i="16"/>
  <c r="AG59" i="16" s="1"/>
  <c r="AA64" i="13"/>
  <c r="AD64" i="13"/>
  <c r="AF64" i="13" s="1"/>
  <c r="AA45" i="12"/>
  <c r="AD45" i="12"/>
  <c r="AF45" i="12" s="1"/>
  <c r="AD142" i="9"/>
  <c r="AF142" i="9" s="1"/>
  <c r="AA142" i="9"/>
  <c r="AA65" i="8"/>
  <c r="AD65" i="8"/>
  <c r="AF65" i="8" s="1"/>
  <c r="AA124" i="7"/>
  <c r="AD124" i="7"/>
  <c r="AB59" i="15"/>
  <c r="AE59" i="15"/>
  <c r="AG59" i="15" s="1"/>
  <c r="AD24" i="14"/>
  <c r="AF24" i="14" s="1"/>
  <c r="AA24" i="14"/>
  <c r="AD39" i="14"/>
  <c r="AF39" i="14" s="1"/>
  <c r="AA39" i="14"/>
  <c r="AE64" i="16"/>
  <c r="AG64" i="16" s="1"/>
  <c r="AB64" i="16"/>
  <c r="AB69" i="18"/>
  <c r="AE69" i="18"/>
  <c r="AG69" i="18" s="1"/>
  <c r="AE79" i="17"/>
  <c r="AG79" i="17" s="1"/>
  <c r="AB79" i="17"/>
  <c r="AD90" i="12"/>
  <c r="AF90" i="12" s="1"/>
  <c r="AA90" i="12"/>
  <c r="AD126" i="11"/>
  <c r="AF126" i="11" s="1"/>
  <c r="AA126" i="11"/>
  <c r="AD39" i="13"/>
  <c r="AF39" i="13" s="1"/>
  <c r="AA39" i="13"/>
  <c r="AB74" i="17"/>
  <c r="AE74" i="17"/>
  <c r="AG74" i="17" s="1"/>
  <c r="AB109" i="16"/>
  <c r="AB114" i="18"/>
  <c r="AE114" i="18"/>
  <c r="AG114" i="18" s="1"/>
  <c r="AE34" i="17"/>
  <c r="AG34" i="17" s="1"/>
  <c r="AB34" i="17"/>
  <c r="Y69" i="17"/>
  <c r="Y119" i="16"/>
  <c r="AD114" i="14"/>
  <c r="AF114" i="14" s="1"/>
  <c r="AA114" i="14"/>
  <c r="AD104" i="14"/>
  <c r="AF104" i="14" s="1"/>
  <c r="AA104" i="14"/>
  <c r="AD120" i="12"/>
  <c r="AF120" i="12" s="1"/>
  <c r="AA120" i="12"/>
  <c r="X40" i="12"/>
  <c r="X10" i="12"/>
  <c r="AD111" i="11"/>
  <c r="AF111" i="11" s="1"/>
  <c r="AA111" i="11"/>
  <c r="X86" i="11"/>
  <c r="X26" i="11"/>
  <c r="AD146" i="10"/>
  <c r="AF146" i="10" s="1"/>
  <c r="AA146" i="10"/>
  <c r="AD74" i="10"/>
  <c r="AF74" i="10" s="1"/>
  <c r="AA74" i="10"/>
  <c r="X4" i="10"/>
  <c r="X92" i="10"/>
  <c r="X106" i="9"/>
  <c r="AA148" i="7"/>
  <c r="AD148" i="7"/>
  <c r="AF148" i="7" s="1"/>
  <c r="AA143" i="6"/>
  <c r="AD143" i="6"/>
  <c r="AA53" i="8"/>
  <c r="AD53" i="8"/>
  <c r="AF53" i="8" s="1"/>
  <c r="AA34" i="7"/>
  <c r="AD34" i="7"/>
  <c r="AF34" i="7" s="1"/>
  <c r="AA53" i="6"/>
  <c r="AD53" i="6"/>
  <c r="AF53" i="6" s="1"/>
  <c r="AD91" i="5"/>
  <c r="AF91" i="5" s="1"/>
  <c r="AA91" i="5"/>
  <c r="AD44" i="10"/>
  <c r="AF44" i="10" s="1"/>
  <c r="AA44" i="10"/>
  <c r="X22" i="7"/>
  <c r="X59" i="6"/>
  <c r="AD10" i="9"/>
  <c r="AF10" i="9" s="1"/>
  <c r="AA10" i="9"/>
  <c r="AD95" i="8"/>
  <c r="AA95" i="8"/>
  <c r="AD74" i="5"/>
  <c r="AF74" i="5" s="1"/>
  <c r="AA74" i="5"/>
  <c r="AD10" i="5"/>
  <c r="AF10" i="5" s="1"/>
  <c r="AA10" i="5"/>
  <c r="AF62" i="5"/>
  <c r="AE62" i="5"/>
  <c r="AB59" i="17"/>
  <c r="AE59" i="17"/>
  <c r="AG59" i="17" s="1"/>
  <c r="AB24" i="16"/>
  <c r="AE24" i="16"/>
  <c r="AG24" i="16" s="1"/>
  <c r="AA124" i="14"/>
  <c r="AD124" i="14"/>
  <c r="AF124" i="14" s="1"/>
  <c r="AD76" i="11"/>
  <c r="AF76" i="11" s="1"/>
  <c r="AA76" i="11"/>
  <c r="AD16" i="11"/>
  <c r="AF16" i="11" s="1"/>
  <c r="AA16" i="11"/>
  <c r="AA100" i="9"/>
  <c r="AD100" i="9"/>
  <c r="AF100" i="9" s="1"/>
  <c r="AD134" i="10"/>
  <c r="AF134" i="10" s="1"/>
  <c r="AA134" i="10"/>
  <c r="AA68" i="10"/>
  <c r="AD68" i="10"/>
  <c r="AF68" i="10" s="1"/>
  <c r="AD106" i="7"/>
  <c r="AF106" i="7" s="1"/>
  <c r="AA106" i="7"/>
  <c r="X125" i="6"/>
  <c r="AA145" i="5"/>
  <c r="AD145" i="5"/>
  <c r="AD116" i="10"/>
  <c r="AF116" i="10" s="1"/>
  <c r="AA116" i="10"/>
  <c r="AA35" i="6"/>
  <c r="AD35" i="6"/>
  <c r="AF35" i="6" s="1"/>
  <c r="AD61" i="11"/>
  <c r="AF61" i="11" s="1"/>
  <c r="AA61" i="11"/>
  <c r="AF4" i="11"/>
  <c r="AD173" i="6"/>
  <c r="AF173" i="6" s="1"/>
  <c r="AA173" i="6"/>
  <c r="AD85" i="12"/>
  <c r="AF85" i="12" s="1"/>
  <c r="AA85" i="12"/>
  <c r="X71" i="8"/>
  <c r="X149" i="6"/>
  <c r="X121" i="5"/>
  <c r="X161" i="6"/>
  <c r="AE83" i="8"/>
  <c r="AF83" i="8"/>
  <c r="AD36" i="5"/>
  <c r="AA36" i="5"/>
  <c r="AD131" i="6"/>
  <c r="AF131" i="6" s="1"/>
  <c r="AA131" i="6"/>
  <c r="AE16" i="5"/>
  <c r="AF16" i="5" s="1"/>
  <c r="AE4" i="5"/>
  <c r="AD89" i="14"/>
  <c r="AF89" i="14" s="1"/>
  <c r="AA89" i="14"/>
  <c r="AD129" i="14"/>
  <c r="AF129" i="14" s="1"/>
  <c r="AA129" i="14"/>
  <c r="AE39" i="17"/>
  <c r="AG39" i="17" s="1"/>
  <c r="AB39" i="17"/>
  <c r="AD4" i="13"/>
  <c r="AA4" i="13"/>
  <c r="AE79" i="16"/>
  <c r="AG79" i="16" s="1"/>
  <c r="AB54" i="18"/>
  <c r="AE54" i="18"/>
  <c r="AG54" i="18" s="1"/>
  <c r="AB104" i="16"/>
  <c r="AE104" i="16"/>
  <c r="AG104" i="16" s="1"/>
  <c r="AE69" i="15"/>
  <c r="AG69" i="15" s="1"/>
  <c r="AB69" i="15"/>
  <c r="AE114" i="17"/>
  <c r="AG114" i="17" s="1"/>
  <c r="AB114" i="17"/>
  <c r="AA49" i="13"/>
  <c r="AD49" i="13"/>
  <c r="AF49" i="13" s="1"/>
  <c r="AD69" i="13"/>
  <c r="AF69" i="13" s="1"/>
  <c r="AA69" i="13"/>
  <c r="AA104" i="13"/>
  <c r="AD104" i="13"/>
  <c r="AF104" i="13" s="1"/>
  <c r="AD112" i="9"/>
  <c r="AF112" i="9" s="1"/>
  <c r="AA112" i="9"/>
  <c r="AD56" i="10"/>
  <c r="AF56" i="10" s="1"/>
  <c r="AA56" i="10"/>
  <c r="AD161" i="8"/>
  <c r="AF161" i="8" s="1"/>
  <c r="AA161" i="8"/>
  <c r="AF100" i="7"/>
  <c r="AE100" i="7"/>
  <c r="AA35" i="8"/>
  <c r="AD35" i="8"/>
  <c r="AF35" i="8" s="1"/>
  <c r="AA155" i="6"/>
  <c r="AD155" i="6"/>
  <c r="AF70" i="7"/>
  <c r="AE70" i="7"/>
  <c r="AA137" i="6"/>
  <c r="AD137" i="6"/>
  <c r="AF137" i="6" s="1"/>
  <c r="AD56" i="5"/>
  <c r="AF56" i="5" s="1"/>
  <c r="AA56" i="5"/>
  <c r="AB9" i="16"/>
  <c r="AE9" i="16"/>
  <c r="AG9" i="16" s="1"/>
  <c r="AE29" i="15"/>
  <c r="AG29" i="15" s="1"/>
  <c r="AB29" i="15"/>
  <c r="AB89" i="16"/>
  <c r="AE89" i="16"/>
  <c r="AG89" i="16" s="1"/>
  <c r="AA19" i="13"/>
  <c r="AD19" i="13"/>
  <c r="AF19" i="13" s="1"/>
  <c r="AD25" i="12"/>
  <c r="AF25" i="12" s="1"/>
  <c r="AA25" i="12"/>
  <c r="AA84" i="13"/>
  <c r="AD84" i="13"/>
  <c r="AF84" i="13" s="1"/>
  <c r="AD105" i="12"/>
  <c r="AF105" i="12" s="1"/>
  <c r="AA105" i="12"/>
  <c r="X56" i="11"/>
  <c r="AD110" i="10"/>
  <c r="AF110" i="10" s="1"/>
  <c r="AA110" i="10"/>
  <c r="AD38" i="10"/>
  <c r="AF38" i="10" s="1"/>
  <c r="AA38" i="10"/>
  <c r="AD62" i="10"/>
  <c r="AF62" i="10" s="1"/>
  <c r="AA62" i="10"/>
  <c r="AA140" i="10"/>
  <c r="AD140" i="10"/>
  <c r="AF140" i="10" s="1"/>
  <c r="AA137" i="8"/>
  <c r="AD137" i="8"/>
  <c r="AF137" i="8" s="1"/>
  <c r="AD125" i="8"/>
  <c r="AF125" i="8" s="1"/>
  <c r="AA125" i="8"/>
  <c r="AA107" i="6"/>
  <c r="AD107" i="6"/>
  <c r="AF107" i="6" s="1"/>
  <c r="AD91" i="11"/>
  <c r="AF91" i="11" s="1"/>
  <c r="AA91" i="11"/>
  <c r="AD77" i="8"/>
  <c r="AF77" i="8" s="1"/>
  <c r="AA77" i="8"/>
  <c r="AD5" i="6"/>
  <c r="AA5" i="6"/>
  <c r="AD143" i="8"/>
  <c r="AF143" i="8" s="1"/>
  <c r="AA143" i="8"/>
  <c r="AD166" i="7"/>
  <c r="AF166" i="7" s="1"/>
  <c r="AA166" i="7"/>
  <c r="X103" i="5"/>
  <c r="X4" i="9"/>
  <c r="AA154" i="7"/>
  <c r="AD154" i="7"/>
  <c r="AF154" i="7" s="1"/>
  <c r="AD113" i="6"/>
  <c r="AA113" i="6"/>
  <c r="AD29" i="6"/>
  <c r="AA29" i="6"/>
  <c r="AA68" i="5"/>
  <c r="AD68" i="5"/>
  <c r="AF68" i="5" s="1"/>
  <c r="AE94" i="16"/>
  <c r="AG94" i="16" s="1"/>
  <c r="AB94" i="16"/>
  <c r="AE64" i="15"/>
  <c r="AG64" i="15" s="1"/>
  <c r="AB64" i="15"/>
  <c r="AE44" i="16"/>
  <c r="AG44" i="16" s="1"/>
  <c r="AB44" i="16"/>
  <c r="AD74" i="14"/>
  <c r="AF74" i="14" s="1"/>
  <c r="AA74" i="14"/>
  <c r="AB44" i="17"/>
  <c r="AE44" i="17"/>
  <c r="AG44" i="17" s="1"/>
  <c r="Y14" i="16"/>
  <c r="AD84" i="14"/>
  <c r="AF84" i="14" s="1"/>
  <c r="AA84" i="14"/>
  <c r="AD114" i="13"/>
  <c r="AF114" i="13" s="1"/>
  <c r="AA114" i="13"/>
  <c r="X109" i="13"/>
  <c r="X76" i="7"/>
  <c r="AA40" i="9"/>
  <c r="AD40" i="9"/>
  <c r="AF40" i="9" s="1"/>
  <c r="AD64" i="7"/>
  <c r="AF64" i="7" s="1"/>
  <c r="AA64" i="7"/>
  <c r="AB119" i="17"/>
  <c r="AE119" i="17"/>
  <c r="AG119" i="17" s="1"/>
  <c r="AG4" i="16"/>
  <c r="AD100" i="12"/>
  <c r="AF100" i="12" s="1"/>
  <c r="AA100" i="12"/>
  <c r="AA80" i="12"/>
  <c r="AD80" i="12"/>
  <c r="AF80" i="12" s="1"/>
  <c r="AE14" i="17"/>
  <c r="AG14" i="17" s="1"/>
  <c r="AB14" i="17"/>
  <c r="AB84" i="18"/>
  <c r="AE84" i="18"/>
  <c r="AG84" i="18" s="1"/>
  <c r="AE64" i="17"/>
  <c r="AG64" i="17" s="1"/>
  <c r="AB64" i="17"/>
  <c r="AE129" i="17"/>
  <c r="AG129" i="17" s="1"/>
  <c r="AB129" i="17"/>
  <c r="AE34" i="15"/>
  <c r="AG34" i="15" s="1"/>
  <c r="AB34" i="15"/>
  <c r="AD54" i="14"/>
  <c r="AF54" i="14" s="1"/>
  <c r="AA54" i="14"/>
  <c r="AE4" i="17"/>
  <c r="AB4" i="17"/>
  <c r="AD9" i="13"/>
  <c r="AF9" i="13" s="1"/>
  <c r="AA9" i="13"/>
  <c r="AA65" i="12"/>
  <c r="AD65" i="12"/>
  <c r="AF65" i="12" s="1"/>
  <c r="AA50" i="12"/>
  <c r="AD50" i="12"/>
  <c r="AF50" i="12" s="1"/>
  <c r="AD54" i="13"/>
  <c r="AF54" i="13" s="1"/>
  <c r="AA54" i="13"/>
  <c r="AA106" i="11"/>
  <c r="AD106" i="11"/>
  <c r="AF106" i="11" s="1"/>
  <c r="AD46" i="11"/>
  <c r="AF46" i="11" s="1"/>
  <c r="AA46" i="11"/>
  <c r="AA20" i="10"/>
  <c r="AD20" i="10"/>
  <c r="AF20" i="10" s="1"/>
  <c r="AD30" i="12"/>
  <c r="AF30" i="12" s="1"/>
  <c r="AA30" i="12"/>
  <c r="AD26" i="10"/>
  <c r="AF26" i="10" s="1"/>
  <c r="AA26" i="10"/>
  <c r="AD15" i="12"/>
  <c r="AF15" i="12" s="1"/>
  <c r="AA15" i="12"/>
  <c r="X128" i="10"/>
  <c r="AD41" i="6"/>
  <c r="AA41" i="6"/>
  <c r="AA80" i="5"/>
  <c r="AD80" i="5"/>
  <c r="AF80" i="5" s="1"/>
  <c r="AD89" i="8"/>
  <c r="AF89" i="8" s="1"/>
  <c r="AA89" i="8"/>
  <c r="AD136" i="7"/>
  <c r="AF136" i="7" s="1"/>
  <c r="AA136" i="7"/>
  <c r="AD83" i="6"/>
  <c r="AF83" i="6" s="1"/>
  <c r="AA83" i="6"/>
  <c r="AA127" i="5"/>
  <c r="AD127" i="5"/>
  <c r="AF127" i="5" s="1"/>
  <c r="AD41" i="8"/>
  <c r="AF41" i="8" s="1"/>
  <c r="AA41" i="8"/>
  <c r="AA97" i="5"/>
  <c r="AD97" i="5"/>
  <c r="AF97" i="5" s="1"/>
  <c r="AD94" i="9"/>
  <c r="AF94" i="9" s="1"/>
  <c r="AA94" i="9"/>
  <c r="AD28" i="7"/>
  <c r="AF28" i="7" s="1"/>
  <c r="AA28" i="7"/>
  <c r="X77" i="6"/>
  <c r="AD59" i="8"/>
  <c r="AF59" i="8" s="1"/>
  <c r="AA59" i="8"/>
  <c r="AA118" i="7"/>
  <c r="AD118" i="7"/>
  <c r="AF118" i="7" s="1"/>
  <c r="AF119" i="6"/>
  <c r="AE119" i="6"/>
  <c r="AE26" i="5"/>
  <c r="AF26" i="5" s="1"/>
  <c r="AA163" i="5"/>
  <c r="AD163" i="5"/>
  <c r="AF163" i="5" s="1"/>
  <c r="AD46" i="5"/>
  <c r="AF46" i="5" s="1"/>
  <c r="AA46" i="5"/>
  <c r="AD21" i="5"/>
  <c r="AF21" i="5" s="1"/>
  <c r="AA21" i="5"/>
  <c r="AE51" i="5"/>
  <c r="AF51" i="5"/>
  <c r="AB49" i="16"/>
  <c r="AE49" i="16"/>
  <c r="AG49" i="16" s="1"/>
  <c r="AA94" i="14"/>
  <c r="AD94" i="14"/>
  <c r="AF94" i="14" s="1"/>
  <c r="AA124" i="13"/>
  <c r="AD124" i="13"/>
  <c r="AF124" i="13" s="1"/>
  <c r="AB94" i="17"/>
  <c r="AE94" i="17"/>
  <c r="AG94" i="17" s="1"/>
  <c r="AD99" i="14"/>
  <c r="AF99" i="14" s="1"/>
  <c r="AA99" i="14"/>
  <c r="AA110" i="12"/>
  <c r="AD110" i="12"/>
  <c r="AF110" i="12" s="1"/>
  <c r="AD130" i="12"/>
  <c r="AF130" i="12" s="1"/>
  <c r="AA130" i="12"/>
  <c r="X115" i="12"/>
  <c r="AA82" i="9"/>
  <c r="AD82" i="9"/>
  <c r="AF82" i="9" s="1"/>
  <c r="AD98" i="10"/>
  <c r="AF98" i="10" s="1"/>
  <c r="AA98" i="10"/>
  <c r="AA17" i="8"/>
  <c r="AD17" i="8"/>
  <c r="AF17" i="8" s="1"/>
  <c r="AD157" i="5"/>
  <c r="AF157" i="5" s="1"/>
  <c r="AA157" i="5"/>
  <c r="AD160" i="7"/>
  <c r="AF160" i="7" s="1"/>
  <c r="AA160" i="7"/>
  <c r="AA169" i="5"/>
  <c r="AD169" i="5"/>
  <c r="AF169" i="5" s="1"/>
  <c r="AB29" i="17"/>
  <c r="AE29" i="17"/>
  <c r="AG29" i="17" s="1"/>
  <c r="X64" i="14"/>
  <c r="Y44" i="15"/>
  <c r="AA99" i="13"/>
  <c r="AD99" i="13"/>
  <c r="AF99" i="13" s="1"/>
  <c r="AD89" i="13"/>
  <c r="AF89" i="13" s="1"/>
  <c r="AA89" i="13"/>
  <c r="AE24" i="17"/>
  <c r="AG24" i="17" s="1"/>
  <c r="AB24" i="17"/>
  <c r="AA14" i="14"/>
  <c r="AD14" i="14"/>
  <c r="AF14" i="14" s="1"/>
  <c r="AE14" i="15"/>
  <c r="AG14" i="15" s="1"/>
  <c r="AD70" i="12"/>
  <c r="AF70" i="12" s="1"/>
  <c r="AA70" i="12"/>
  <c r="AE124" i="16"/>
  <c r="AG124" i="16" s="1"/>
  <c r="AB124" i="16"/>
  <c r="AB99" i="18"/>
  <c r="AE99" i="18"/>
  <c r="AG99" i="18" s="1"/>
  <c r="AE44" i="18"/>
  <c r="AG44" i="18" s="1"/>
  <c r="AB44" i="18"/>
  <c r="AE49" i="17"/>
  <c r="AG49" i="17" s="1"/>
  <c r="AB49" i="17"/>
  <c r="AB9" i="17"/>
  <c r="AE9" i="17"/>
  <c r="AG9" i="17" s="1"/>
  <c r="X4" i="14"/>
  <c r="AD119" i="14"/>
  <c r="AF119" i="14" s="1"/>
  <c r="AA119" i="14"/>
  <c r="AD129" i="13"/>
  <c r="AF129" i="13" s="1"/>
  <c r="AA129" i="13"/>
  <c r="AD9" i="14"/>
  <c r="AF9" i="14" s="1"/>
  <c r="AA9" i="14"/>
  <c r="AD134" i="14"/>
  <c r="AF134" i="14" s="1"/>
  <c r="AA134" i="14"/>
  <c r="AB39" i="15"/>
  <c r="AE39" i="15"/>
  <c r="AG39" i="15" s="1"/>
  <c r="X69" i="14"/>
  <c r="AA121" i="11"/>
  <c r="AD121" i="11"/>
  <c r="AF121" i="11" s="1"/>
  <c r="AD9" i="10"/>
  <c r="AF9" i="10" s="1"/>
  <c r="AA9" i="10"/>
  <c r="AA104" i="10"/>
  <c r="AD104" i="10"/>
  <c r="AF104" i="10" s="1"/>
  <c r="AA118" i="9"/>
  <c r="AD118" i="9"/>
  <c r="AF118" i="9" s="1"/>
  <c r="AA101" i="8"/>
  <c r="AD101" i="8"/>
  <c r="AF101" i="8" s="1"/>
  <c r="AA16" i="7"/>
  <c r="AD16" i="7"/>
  <c r="AF16" i="7" s="1"/>
  <c r="AD46" i="9"/>
  <c r="AF46" i="9" s="1"/>
  <c r="AA46" i="9"/>
  <c r="AD52" i="7"/>
  <c r="AF52" i="7" s="1"/>
  <c r="AA52" i="7"/>
  <c r="AA71" i="6"/>
  <c r="AD71" i="6"/>
  <c r="AE4" i="7"/>
  <c r="AF4" i="7"/>
  <c r="AD31" i="11"/>
  <c r="AF31" i="11" s="1"/>
  <c r="AA31" i="11"/>
  <c r="AD5" i="8"/>
  <c r="AA5" i="8"/>
  <c r="AD139" i="5"/>
  <c r="AF139" i="5" s="1"/>
  <c r="AA139" i="5"/>
  <c r="AD55" i="12"/>
  <c r="AF55" i="12" s="1"/>
  <c r="AA55" i="12"/>
  <c r="AD76" i="9"/>
  <c r="AF76" i="9" s="1"/>
  <c r="AA76" i="9"/>
  <c r="AD107" i="8"/>
  <c r="AF107" i="8" s="1"/>
  <c r="AA107" i="8"/>
  <c r="AD130" i="7"/>
  <c r="AF130" i="7" s="1"/>
  <c r="AA130" i="7"/>
  <c r="AD65" i="6"/>
  <c r="AF65" i="6" s="1"/>
  <c r="AA65" i="6"/>
  <c r="AD152" i="10"/>
  <c r="AF152" i="10" s="1"/>
  <c r="AA152" i="10"/>
  <c r="AA41" i="5"/>
  <c r="AD41" i="5"/>
  <c r="AB4" i="15" l="1"/>
  <c r="AE49" i="15"/>
  <c r="AG49" i="15" s="1"/>
  <c r="AE9" i="15"/>
  <c r="AG9" i="15" s="1"/>
  <c r="AB19" i="15"/>
  <c r="AE19" i="15"/>
  <c r="AG19" i="15" s="1"/>
  <c r="AB24" i="15"/>
  <c r="AE24" i="15"/>
  <c r="AG24" i="15" s="1"/>
  <c r="AE19" i="16"/>
  <c r="AG19" i="16" s="1"/>
  <c r="AB19" i="16"/>
  <c r="AE39" i="16"/>
  <c r="AG39" i="16" s="1"/>
  <c r="AE114" i="16"/>
  <c r="AG114" i="16" s="1"/>
  <c r="AB114" i="16"/>
  <c r="AE69" i="16"/>
  <c r="AG69" i="16" s="1"/>
  <c r="AB69" i="16"/>
  <c r="AE29" i="16"/>
  <c r="AG29" i="16" s="1"/>
  <c r="AB74" i="16"/>
  <c r="AE74" i="16"/>
  <c r="AG74" i="16" s="1"/>
  <c r="AE99" i="16"/>
  <c r="AG99" i="16" s="1"/>
  <c r="AB99" i="16"/>
  <c r="AB129" i="16"/>
  <c r="AE129" i="16"/>
  <c r="AG129" i="16" s="1"/>
  <c r="AB84" i="16"/>
  <c r="AE84" i="16"/>
  <c r="AG84" i="16" s="1"/>
  <c r="AE124" i="17"/>
  <c r="AG124" i="17" s="1"/>
  <c r="AB124" i="17"/>
  <c r="AD4" i="14"/>
  <c r="AA4" i="14"/>
  <c r="AF5" i="8"/>
  <c r="AD177" i="8"/>
  <c r="AE71" i="6"/>
  <c r="AF71" i="6" s="1"/>
  <c r="AD69" i="14"/>
  <c r="AF69" i="14" s="1"/>
  <c r="AA69" i="14"/>
  <c r="AE44" i="15"/>
  <c r="AG44" i="15" s="1"/>
  <c r="AB44" i="15"/>
  <c r="AG4" i="17"/>
  <c r="AA56" i="11"/>
  <c r="AD56" i="11"/>
  <c r="AF56" i="11" s="1"/>
  <c r="AD178" i="5"/>
  <c r="AD121" i="5"/>
  <c r="AF121" i="5" s="1"/>
  <c r="AA121" i="5"/>
  <c r="AE41" i="5"/>
  <c r="AF41" i="5" s="1"/>
  <c r="AE41" i="6"/>
  <c r="AF41" i="6" s="1"/>
  <c r="AE113" i="6"/>
  <c r="AF113" i="6" s="1"/>
  <c r="AD149" i="6"/>
  <c r="AF149" i="6" s="1"/>
  <c r="AA149" i="6"/>
  <c r="AE95" i="8"/>
  <c r="AF95" i="8" s="1"/>
  <c r="AE73" i="15"/>
  <c r="AG4" i="15"/>
  <c r="AG73" i="15" s="1"/>
  <c r="AA64" i="14"/>
  <c r="AD64" i="14"/>
  <c r="AF64" i="14" s="1"/>
  <c r="AD128" i="10"/>
  <c r="AF128" i="10" s="1"/>
  <c r="AA128" i="10"/>
  <c r="AF4" i="5"/>
  <c r="AE36" i="5"/>
  <c r="AE178" i="5" s="1"/>
  <c r="AA71" i="8"/>
  <c r="AA177" i="8" s="1"/>
  <c r="AD71" i="8"/>
  <c r="AF71" i="8" s="1"/>
  <c r="AD10" i="12"/>
  <c r="AF10" i="12" s="1"/>
  <c r="AA10" i="12"/>
  <c r="AA136" i="12" s="1"/>
  <c r="AB119" i="16"/>
  <c r="AE119" i="16"/>
  <c r="AG119" i="16" s="1"/>
  <c r="AF124" i="7"/>
  <c r="AE124" i="7"/>
  <c r="AE177" i="7" s="1"/>
  <c r="AF5" i="12"/>
  <c r="AF136" i="12" s="1"/>
  <c r="AE145" i="5"/>
  <c r="AF145" i="5"/>
  <c r="AD106" i="9"/>
  <c r="AF106" i="9" s="1"/>
  <c r="AA106" i="9"/>
  <c r="AD40" i="12"/>
  <c r="AF40" i="12" s="1"/>
  <c r="AA40" i="12"/>
  <c r="AE69" i="17"/>
  <c r="AG69" i="17" s="1"/>
  <c r="AB69" i="17"/>
  <c r="AB141" i="17" s="1"/>
  <c r="AD76" i="7"/>
  <c r="AF76" i="7" s="1"/>
  <c r="AA76" i="7"/>
  <c r="AE14" i="16"/>
  <c r="AG14" i="16" s="1"/>
  <c r="AB14" i="16"/>
  <c r="AD115" i="12"/>
  <c r="AF115" i="12" s="1"/>
  <c r="AA115" i="12"/>
  <c r="AA109" i="13"/>
  <c r="AA136" i="13" s="1"/>
  <c r="AD109" i="13"/>
  <c r="AF109" i="13" s="1"/>
  <c r="AA4" i="9"/>
  <c r="AA154" i="9" s="1"/>
  <c r="AD4" i="9"/>
  <c r="AE155" i="6"/>
  <c r="AF155" i="6" s="1"/>
  <c r="AE177" i="8"/>
  <c r="AD59" i="6"/>
  <c r="AF59" i="6" s="1"/>
  <c r="AA59" i="6"/>
  <c r="AA175" i="6" s="1"/>
  <c r="AD92" i="10"/>
  <c r="AF92" i="10" s="1"/>
  <c r="AA92" i="10"/>
  <c r="AA26" i="11"/>
  <c r="AA136" i="11" s="1"/>
  <c r="AD26" i="11"/>
  <c r="AF26" i="11" s="1"/>
  <c r="AF136" i="11" s="1"/>
  <c r="AF146" i="11" s="1"/>
  <c r="AD77" i="6"/>
  <c r="AA77" i="6"/>
  <c r="AF29" i="6"/>
  <c r="AE29" i="6"/>
  <c r="AD103" i="5"/>
  <c r="AF103" i="5" s="1"/>
  <c r="AA103" i="5"/>
  <c r="AA178" i="5" s="1"/>
  <c r="AF5" i="6"/>
  <c r="AD136" i="13"/>
  <c r="AF4" i="13"/>
  <c r="AF136" i="13" s="1"/>
  <c r="AA161" i="6"/>
  <c r="AD161" i="6"/>
  <c r="AF161" i="6" s="1"/>
  <c r="AD125" i="6"/>
  <c r="AA125" i="6"/>
  <c r="AD22" i="7"/>
  <c r="AF22" i="7" s="1"/>
  <c r="AF177" i="7" s="1"/>
  <c r="AA22" i="7"/>
  <c r="AA177" i="7" s="1"/>
  <c r="AE143" i="6"/>
  <c r="AF143" i="6" s="1"/>
  <c r="AA4" i="10"/>
  <c r="AD4" i="10"/>
  <c r="AA86" i="11"/>
  <c r="AD86" i="11"/>
  <c r="AF86" i="11" s="1"/>
  <c r="AB73" i="15" l="1"/>
  <c r="AE133" i="16"/>
  <c r="AG133" i="16"/>
  <c r="AB133" i="16"/>
  <c r="AB134" i="16" s="1"/>
  <c r="AE125" i="6"/>
  <c r="AF125" i="6" s="1"/>
  <c r="AF175" i="7"/>
  <c r="AE77" i="6"/>
  <c r="AE175" i="6" s="1"/>
  <c r="AD154" i="9"/>
  <c r="AF4" i="9"/>
  <c r="AF154" i="9" s="1"/>
  <c r="AD177" i="7"/>
  <c r="AD136" i="11"/>
  <c r="AA138" i="14"/>
  <c r="AD168" i="10"/>
  <c r="AF4" i="10"/>
  <c r="AF168" i="10" s="1"/>
  <c r="AF4" i="14"/>
  <c r="AF138" i="14" s="1"/>
  <c r="AD138" i="14"/>
  <c r="AE141" i="17"/>
  <c r="AF36" i="5"/>
  <c r="AF178" i="5" s="1"/>
  <c r="AG141" i="17"/>
  <c r="AA168" i="10"/>
  <c r="AD175" i="6"/>
  <c r="AD136" i="12"/>
  <c r="AF177" i="8"/>
  <c r="AF77" i="6" l="1"/>
  <c r="AF175" i="6" s="1"/>
</calcChain>
</file>

<file path=xl/sharedStrings.xml><?xml version="1.0" encoding="utf-8"?>
<sst xmlns="http://schemas.openxmlformats.org/spreadsheetml/2006/main" count="8241" uniqueCount="335">
  <si>
    <t>Brioches</t>
  </si>
  <si>
    <t>CAFFE</t>
  </si>
  <si>
    <t xml:space="preserve">Vuota </t>
  </si>
  <si>
    <t>ESPRESSO</t>
  </si>
  <si>
    <t>GINSENG / Lungo</t>
  </si>
  <si>
    <t>Crema</t>
  </si>
  <si>
    <t>DECAFEINATO</t>
  </si>
  <si>
    <t>GINSENG CORRETTO</t>
  </si>
  <si>
    <t>Albicocca</t>
  </si>
  <si>
    <t>SHAKERATO</t>
  </si>
  <si>
    <t>CORRETTO</t>
  </si>
  <si>
    <t>CAPPUCCINO</t>
  </si>
  <si>
    <t>MOCCACINO</t>
  </si>
  <si>
    <t>CAPPUCCINO LUNGO</t>
  </si>
  <si>
    <t>KRAPFEN</t>
  </si>
  <si>
    <t>AMERICANO</t>
  </si>
  <si>
    <t>CAPPUCCINO DECA</t>
  </si>
  <si>
    <t>STRUDEL</t>
  </si>
  <si>
    <t>CAPPUCCINO ORZO</t>
  </si>
  <si>
    <t>ORZO</t>
  </si>
  <si>
    <t>CAPPUCCINO SOIA</t>
  </si>
  <si>
    <t>NUTELLA</t>
  </si>
  <si>
    <t>ORZO CORRETTO</t>
  </si>
  <si>
    <t>CAPPUCCINO GINSENG</t>
  </si>
  <si>
    <t>PISTACCHIO</t>
  </si>
  <si>
    <t>FRUTTI DI BOSCO</t>
  </si>
  <si>
    <t>MACCHIATO</t>
  </si>
  <si>
    <t>LATTE MACCHIATO PICCOLO</t>
  </si>
  <si>
    <t>MACCHIATO DECA</t>
  </si>
  <si>
    <t>LATTE MACCHIATO GRANDE</t>
  </si>
  <si>
    <t>FAGOTTINO 3 cioccolati</t>
  </si>
  <si>
    <t>MACCHIATO SOIA</t>
  </si>
  <si>
    <t>LATTE BIANCO</t>
  </si>
  <si>
    <t>VEGANA</t>
  </si>
  <si>
    <t>MACCHIATO ORZO</t>
  </si>
  <si>
    <t>CONCHIGLIA CREMA</t>
  </si>
  <si>
    <t>CREMA CAFFE Piccola</t>
  </si>
  <si>
    <t>TRECCIA FRUTTI ROSSI</t>
  </si>
  <si>
    <t>MACCHIATONE</t>
  </si>
  <si>
    <t>CREMA CAFFE Grande</t>
  </si>
  <si>
    <t>MACCHIATONE ORZO</t>
  </si>
  <si>
    <t>MINI FARCITE</t>
  </si>
  <si>
    <t>MACCHIATONE DECA</t>
  </si>
  <si>
    <t>CIOCCOLATA CALDA</t>
  </si>
  <si>
    <t>MINI PASTINE</t>
  </si>
  <si>
    <t>MACCHIATONE SOIA</t>
  </si>
  <si>
    <t>CIOCCOLATA CON PANNA</t>
  </si>
  <si>
    <t>BIRRA</t>
  </si>
  <si>
    <t>VINO</t>
  </si>
  <si>
    <t>Calice</t>
  </si>
  <si>
    <t>Bottiglia</t>
  </si>
  <si>
    <t>PROSECCO</t>
  </si>
  <si>
    <t>GANTER 0.2</t>
  </si>
  <si>
    <t>CUSTOZA DOC CORNALE'</t>
  </si>
  <si>
    <t>BRUT DOCG</t>
  </si>
  <si>
    <t>GANTER 0.4</t>
  </si>
  <si>
    <t>SORAGHE LUGANA</t>
  </si>
  <si>
    <t>EXTRA DRY DOC</t>
  </si>
  <si>
    <t>ENGEL 0.2</t>
  </si>
  <si>
    <t>MACULAN</t>
  </si>
  <si>
    <t>SERENA ALCOHOL FREE</t>
  </si>
  <si>
    <t>ENGEL 0.4</t>
  </si>
  <si>
    <t>ROSè</t>
  </si>
  <si>
    <t>EDIT 0.3</t>
  </si>
  <si>
    <t>€ 4.00</t>
  </si>
  <si>
    <t>PROSECCO Macchiato</t>
  </si>
  <si>
    <t>CORONA</t>
  </si>
  <si>
    <t>FINGER PILL</t>
  </si>
  <si>
    <t>BECK'S</t>
  </si>
  <si>
    <t>FINGER ROSSA</t>
  </si>
  <si>
    <t>€ 5.00</t>
  </si>
  <si>
    <t>VINO ALLA SPINA</t>
  </si>
  <si>
    <t>RADLER 0,3 ( bicchiere EDIT)</t>
  </si>
  <si>
    <t>FINGER IPA</t>
  </si>
  <si>
    <t>VINO SPINA MACCHIATO SELTZ</t>
  </si>
  <si>
    <t>Birra in calice 0.2</t>
  </si>
  <si>
    <t>FINGER BELGA</t>
  </si>
  <si>
    <t>€ 5.50</t>
  </si>
  <si>
    <t>VINO SPINA MACCHIATO Aperol/Campari</t>
  </si>
  <si>
    <t>Birra in calice 0.4</t>
  </si>
  <si>
    <t>CUSTOZA MACCHIATO (CAMPARI / APEROL)</t>
  </si>
  <si>
    <t>APERITIVO</t>
  </si>
  <si>
    <t>BIBITE</t>
  </si>
  <si>
    <t>COCTAIL</t>
  </si>
  <si>
    <t>ANALCOLICO : gingerino , crodino, acqua brillante</t>
  </si>
  <si>
    <t xml:space="preserve">BIBITE IN LATTINA: </t>
  </si>
  <si>
    <t>ALCOLICO (Mojito, Piña colada, Daiquiri, Cubalibre ,Margarita)</t>
  </si>
  <si>
    <t>SPRITZ APEROL / HUGO /CYNAR</t>
  </si>
  <si>
    <t>REDBULL</t>
  </si>
  <si>
    <t>ALCOLICO (Americano, Negroni, Blue lagoon)</t>
  </si>
  <si>
    <r>
      <rPr>
        <sz val="20"/>
        <color theme="1"/>
        <rFont val="Arial"/>
      </rPr>
      <t>^con P</t>
    </r>
    <r>
      <rPr>
        <b/>
        <sz val="20"/>
        <color theme="1"/>
        <rFont val="Arial"/>
      </rPr>
      <t>rosecco di bottiglia</t>
    </r>
  </si>
  <si>
    <t>ACQUA NATURALE E GASSATA</t>
  </si>
  <si>
    <t>ANALCOLICO</t>
  </si>
  <si>
    <t>SPRITZ CAMPARI / MEZZO E MEZZO</t>
  </si>
  <si>
    <r>
      <rPr>
        <sz val="20"/>
        <color theme="1"/>
        <rFont val="Arial"/>
      </rPr>
      <t xml:space="preserve">COCA COLA / FANTA IN </t>
    </r>
    <r>
      <rPr>
        <b/>
        <sz val="20"/>
        <color theme="1"/>
        <rFont val="Arial"/>
      </rPr>
      <t>VETRO</t>
    </r>
  </si>
  <si>
    <t>GIN TONIC</t>
  </si>
  <si>
    <t>^ con Prosecco di bottiglia</t>
  </si>
  <si>
    <t>Chinotto</t>
  </si>
  <si>
    <t>SPRITZ SERENA ANALCOLICO</t>
  </si>
  <si>
    <t>SUCCHI DI FRUTTA</t>
  </si>
  <si>
    <r>
      <rPr>
        <sz val="20"/>
        <color theme="1"/>
        <rFont val="Arial"/>
      </rPr>
      <t xml:space="preserve">ACQUA </t>
    </r>
    <r>
      <rPr>
        <b/>
        <sz val="20"/>
        <color theme="1"/>
        <rFont val="Arial"/>
      </rPr>
      <t>MENTA - 50ml</t>
    </r>
  </si>
  <si>
    <t>CAMPARI SODA</t>
  </si>
  <si>
    <t xml:space="preserve"> GIN TONIC TANQUERAY</t>
  </si>
  <si>
    <r>
      <rPr>
        <sz val="20"/>
        <color theme="1"/>
        <rFont val="Arial"/>
      </rPr>
      <t xml:space="preserve">ACQUA + </t>
    </r>
    <r>
      <rPr>
        <b/>
        <sz val="20"/>
        <color theme="1"/>
        <rFont val="Arial"/>
      </rPr>
      <t>poco</t>
    </r>
    <r>
      <rPr>
        <sz val="20"/>
        <color theme="1"/>
        <rFont val="Arial"/>
      </rPr>
      <t xml:space="preserve"> SCIROPPO -10ml</t>
    </r>
  </si>
  <si>
    <t>CAMPARI SODA MACHIATO</t>
  </si>
  <si>
    <t>Jägerbomb</t>
  </si>
  <si>
    <t>ACQUA + SCIROPPO Medio -30ml</t>
  </si>
  <si>
    <t>ACQUA TONICA</t>
  </si>
  <si>
    <t>MOJITO FIDEL</t>
  </si>
  <si>
    <t>ACQUA + SCIROPPO Grande -50ml</t>
  </si>
  <si>
    <t>SPREMUTA D'ARANCIA</t>
  </si>
  <si>
    <t>SPRITZ LISCIO/BIANCO</t>
  </si>
  <si>
    <t>INFUSI / TE</t>
  </si>
  <si>
    <t>SPRITZ MACCHIATO</t>
  </si>
  <si>
    <t>AMARO</t>
  </si>
  <si>
    <t>GRAPPA</t>
  </si>
  <si>
    <t>€ 3 / 4</t>
  </si>
  <si>
    <t>CUCINA</t>
  </si>
  <si>
    <t>INSALATONA</t>
  </si>
  <si>
    <t>PANE</t>
  </si>
  <si>
    <t>INSALATONA BASE</t>
  </si>
  <si>
    <t>PANINI</t>
  </si>
  <si>
    <t xml:space="preserve">Bresaola </t>
  </si>
  <si>
    <t>SCHIACIATA ALL'OLIO</t>
  </si>
  <si>
    <t>Capresse</t>
  </si>
  <si>
    <t>AGGIUNTA PROTEINE</t>
  </si>
  <si>
    <t>Paninetti</t>
  </si>
  <si>
    <t>Insalata di Riso</t>
  </si>
  <si>
    <t>AGGIUNTA VERDURE</t>
  </si>
  <si>
    <t>PANINO CUBANO</t>
  </si>
  <si>
    <t>TRAMEZZINI</t>
  </si>
  <si>
    <t>TOST</t>
  </si>
  <si>
    <t>TOSTONE</t>
  </si>
  <si>
    <t>PIZZETTE</t>
  </si>
  <si>
    <t>PIADINE</t>
  </si>
  <si>
    <t>Apertura</t>
  </si>
  <si>
    <t>Chiusura</t>
  </si>
  <si>
    <t>Totale cassa</t>
  </si>
  <si>
    <t>Tot nc 08</t>
  </si>
  <si>
    <t>quantita</t>
  </si>
  <si>
    <t>valore</t>
  </si>
  <si>
    <t>Totale</t>
  </si>
  <si>
    <t>Pagato Contanti</t>
  </si>
  <si>
    <t>10 gg giornale</t>
  </si>
  <si>
    <t>Apertuta</t>
  </si>
  <si>
    <t>Aiuto + concetta</t>
  </si>
  <si>
    <t>.+</t>
  </si>
  <si>
    <t>cino</t>
  </si>
  <si>
    <t>gasolio</t>
  </si>
  <si>
    <t>fornitori 20% incasso</t>
  </si>
  <si>
    <t>pubblicità</t>
  </si>
  <si>
    <t>banconote</t>
  </si>
  <si>
    <t>ALtri acquisti</t>
  </si>
  <si>
    <t>monette</t>
  </si>
  <si>
    <t>5 lea</t>
  </si>
  <si>
    <t>Cash &amp; Carry</t>
  </si>
  <si>
    <t>Giornale</t>
  </si>
  <si>
    <t xml:space="preserve">Cambio Monete </t>
  </si>
  <si>
    <t>Meno Apertura casa</t>
  </si>
  <si>
    <t>Meno Cambio monete</t>
  </si>
  <si>
    <t>ecc</t>
  </si>
  <si>
    <t>RESTO</t>
  </si>
  <si>
    <t>OK</t>
  </si>
  <si>
    <t>elett</t>
  </si>
  <si>
    <t xml:space="preserve">Depostio </t>
  </si>
  <si>
    <t>Fornitori 20%</t>
  </si>
  <si>
    <t>spesa cash &amp; carry</t>
  </si>
  <si>
    <t>ok</t>
  </si>
  <si>
    <t>Carne</t>
  </si>
  <si>
    <t>C+C</t>
  </si>
  <si>
    <t>pane</t>
  </si>
  <si>
    <t>elett e satispay</t>
  </si>
  <si>
    <t>k</t>
  </si>
  <si>
    <t>resto sbagliatto</t>
  </si>
  <si>
    <t>summa del pos e satispay</t>
  </si>
  <si>
    <t>Tot nc 09</t>
  </si>
  <si>
    <t>giornale</t>
  </si>
  <si>
    <t>spesa</t>
  </si>
  <si>
    <t>stip</t>
  </si>
  <si>
    <t>corsi</t>
  </si>
  <si>
    <t>traduzione</t>
  </si>
  <si>
    <t>compra</t>
  </si>
  <si>
    <t>Altre</t>
  </si>
  <si>
    <t xml:space="preserve">inserire i contanti dello scontrino di chiusura, in negativo </t>
  </si>
  <si>
    <t>TOSANO</t>
  </si>
  <si>
    <t>vendite</t>
  </si>
  <si>
    <t>periodico</t>
  </si>
  <si>
    <t>fornitori incasso</t>
  </si>
  <si>
    <t>Rec</t>
  </si>
  <si>
    <t>deposito</t>
  </si>
  <si>
    <t>yalian c+c</t>
  </si>
  <si>
    <t>acq</t>
  </si>
  <si>
    <t>Totale (-) Apertura</t>
  </si>
  <si>
    <t>Elett</t>
  </si>
  <si>
    <t>Totale Vendite</t>
  </si>
  <si>
    <t>resto</t>
  </si>
  <si>
    <t>ECC</t>
  </si>
  <si>
    <t>NC 20% ecc</t>
  </si>
  <si>
    <t>Resto</t>
  </si>
  <si>
    <t>Valore</t>
  </si>
  <si>
    <t>Qtà</t>
  </si>
  <si>
    <t>Festa</t>
  </si>
  <si>
    <t>08/012024</t>
  </si>
  <si>
    <t>Chiusura-</t>
  </si>
  <si>
    <t>acquisti</t>
  </si>
  <si>
    <t>tosano</t>
  </si>
  <si>
    <t>10 alberto</t>
  </si>
  <si>
    <t>50 tosano</t>
  </si>
  <si>
    <t>Totale:</t>
  </si>
  <si>
    <t>Altri pagamneti contanti</t>
  </si>
  <si>
    <t>Franzan</t>
  </si>
  <si>
    <t>dore</t>
  </si>
  <si>
    <t>dori</t>
  </si>
  <si>
    <t>Lea/yalia</t>
  </si>
  <si>
    <t>bollete mateo</t>
  </si>
  <si>
    <t>3=</t>
  </si>
  <si>
    <t xml:space="preserve">tosano </t>
  </si>
  <si>
    <t>franzan</t>
  </si>
  <si>
    <t>c+c</t>
  </si>
  <si>
    <t>cesti</t>
  </si>
  <si>
    <t>maiale</t>
  </si>
  <si>
    <t>doris</t>
  </si>
  <si>
    <t>red line</t>
  </si>
  <si>
    <t>Lea/yalian</t>
  </si>
  <si>
    <t>NC ok</t>
  </si>
  <si>
    <t>tosano , pesce</t>
  </si>
  <si>
    <t>-5 giornale</t>
  </si>
  <si>
    <t>?</t>
  </si>
  <si>
    <t>mance + lotteria</t>
  </si>
  <si>
    <t>Lea/Yalian</t>
  </si>
  <si>
    <t>50 / 50</t>
  </si>
  <si>
    <t>Pubb radio 305</t>
  </si>
  <si>
    <t>*232 rest</t>
  </si>
  <si>
    <t>IVA</t>
  </si>
  <si>
    <t>pesce carne cena cub</t>
  </si>
  <si>
    <t>crema</t>
  </si>
  <si>
    <t>20 menu</t>
  </si>
  <si>
    <t>20 spesa</t>
  </si>
  <si>
    <t>spesa 14/2</t>
  </si>
  <si>
    <t>20 pranzo</t>
  </si>
  <si>
    <t>35 spesa cc</t>
  </si>
  <si>
    <t>65 brioches</t>
  </si>
  <si>
    <t xml:space="preserve">Hausbrand </t>
  </si>
  <si>
    <t>*</t>
  </si>
  <si>
    <t>comm</t>
  </si>
  <si>
    <t>tosano 109</t>
  </si>
  <si>
    <t>50 idraulico</t>
  </si>
  <si>
    <t>20 maiale</t>
  </si>
  <si>
    <t>ok. giornale</t>
  </si>
  <si>
    <t>50 c+c</t>
  </si>
  <si>
    <t>coscia di maiale</t>
  </si>
  <si>
    <t>cassa</t>
  </si>
  <si>
    <t>30 cassetta cambio</t>
  </si>
  <si>
    <t>salottino</t>
  </si>
  <si>
    <t>cc</t>
  </si>
  <si>
    <t>30 carne</t>
  </si>
  <si>
    <t>7 pane ecc</t>
  </si>
  <si>
    <t>30 ale</t>
  </si>
  <si>
    <t>pesce</t>
  </si>
  <si>
    <t>30 cc</t>
  </si>
  <si>
    <t>g</t>
  </si>
  <si>
    <t>Stipendi</t>
  </si>
  <si>
    <t>inps</t>
  </si>
  <si>
    <t>Red line stintore</t>
  </si>
  <si>
    <t>commercialista</t>
  </si>
  <si>
    <t>Vetro</t>
  </si>
  <si>
    <t xml:space="preserve">resto </t>
  </si>
  <si>
    <t>Fatt Franzan</t>
  </si>
  <si>
    <t>commercialista pagamento bollo</t>
  </si>
  <si>
    <t>-200 inps</t>
  </si>
  <si>
    <t>Fattura matteo</t>
  </si>
  <si>
    <t>Viacqua matteo</t>
  </si>
  <si>
    <t>importo fatt</t>
  </si>
  <si>
    <t>importo x mese</t>
  </si>
  <si>
    <t>importo da pagare</t>
  </si>
  <si>
    <t>Ricevuta</t>
  </si>
  <si>
    <t>2024/1065000/1</t>
  </si>
  <si>
    <t>052024 112024</t>
  </si>
  <si>
    <t>si</t>
  </si>
  <si>
    <t>2025/235328/1</t>
  </si>
  <si>
    <t>112024 022025</t>
  </si>
  <si>
    <t>no</t>
  </si>
  <si>
    <t>INPS</t>
  </si>
  <si>
    <t>festa cub</t>
  </si>
  <si>
    <t>2024BE001826473</t>
  </si>
  <si>
    <t>Gen-Mar</t>
  </si>
  <si>
    <t>marzo azienda</t>
  </si>
  <si>
    <t>aprile azienda</t>
  </si>
  <si>
    <t>Fornitori / Spese giornaliera</t>
  </si>
  <si>
    <t>noventa</t>
  </si>
  <si>
    <t>dj</t>
  </si>
  <si>
    <t>fattura acqua intestata a matteo</t>
  </si>
  <si>
    <t>dorelvis</t>
  </si>
  <si>
    <t>fattura vetro</t>
  </si>
  <si>
    <t>Red line</t>
  </si>
  <si>
    <t>lea/yalian</t>
  </si>
  <si>
    <t xml:space="preserve">maggio azienda </t>
  </si>
  <si>
    <t>Apr-giu</t>
  </si>
  <si>
    <t>.</t>
  </si>
  <si>
    <t>festa</t>
  </si>
  <si>
    <t>festa birra</t>
  </si>
  <si>
    <t>DJ</t>
  </si>
  <si>
    <t>Separati</t>
  </si>
  <si>
    <t>algida</t>
  </si>
  <si>
    <t>leydi</t>
  </si>
  <si>
    <t>cambio</t>
  </si>
  <si>
    <t xml:space="preserve">giugno azienda </t>
  </si>
  <si>
    <t>separati</t>
  </si>
  <si>
    <t>festa 25</t>
  </si>
  <si>
    <t>Commercialista</t>
  </si>
  <si>
    <t>Lug - sett</t>
  </si>
  <si>
    <t xml:space="preserve">luglio azienda </t>
  </si>
  <si>
    <t>Fornitori / Spese gg</t>
  </si>
  <si>
    <t>NC ecc</t>
  </si>
  <si>
    <t>Fattura</t>
  </si>
  <si>
    <t>festa 30</t>
  </si>
  <si>
    <t>pagat</t>
  </si>
  <si>
    <t>Media</t>
  </si>
  <si>
    <t>Piastra</t>
  </si>
  <si>
    <t>GG</t>
  </si>
  <si>
    <t>Multa</t>
  </si>
  <si>
    <t>TARI</t>
  </si>
  <si>
    <t>3 cassa</t>
  </si>
  <si>
    <t>lind</t>
  </si>
  <si>
    <t>Bustapaga</t>
  </si>
  <si>
    <t>banca</t>
  </si>
  <si>
    <t>Hasbrand</t>
  </si>
  <si>
    <t>mamma</t>
  </si>
  <si>
    <t>diritti segreteria</t>
  </si>
  <si>
    <t xml:space="preserve">Franzan </t>
  </si>
  <si>
    <t>settembre</t>
  </si>
  <si>
    <t>lea yalian</t>
  </si>
  <si>
    <t>Tasse</t>
  </si>
  <si>
    <t>Con fattura</t>
  </si>
  <si>
    <t>spesa forntori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</si>
</sst>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€&quot;#,##0.00"/>
    <numFmt numFmtId="165" formatCode="[$€-2]\ #,##0.00"/>
    <numFmt numFmtId="166" formatCode="[h]\.mm\.ss"/>
    <numFmt numFmtId="167" formatCode="d/m/yyyy"/>
    <numFmt numFmtId="168" formatCode="dd/mm/yy"/>
    <numFmt numFmtId="169" formatCode="d/m"/>
    <numFmt numFmtId="170" formatCode="0.0"/>
  </numFmts>
  <fonts count="11" x14ac:knownFonts="1">
    <font>
      <sz val="10"/>
      <color rgb="FF000000"/>
      <name val="Arial"/>
      <scheme val="minor"/>
    </font>
    <font>
      <b/>
      <sz val="20"/>
      <color theme="1"/>
      <name val="Arial"/>
      <scheme val="minor"/>
    </font>
    <font>
      <sz val="20"/>
      <color theme="1"/>
      <name val="Arial"/>
      <scheme val="minor"/>
    </font>
    <font>
      <sz val="10"/>
      <name val="Arial"/>
    </font>
    <font>
      <sz val="20"/>
      <color theme="1"/>
      <name val="Arial"/>
    </font>
    <font>
      <b/>
      <sz val="2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0"/>
      <color theme="1"/>
      <name val="Arial"/>
    </font>
  </fonts>
  <fills count="11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D9EAD3"/>
        <bgColor rgb="FFD9EAD3"/>
      </patternFill>
    </fill>
    <fill>
      <patternFill patternType="solid">
        <fgColor rgb="FF434343"/>
        <bgColor rgb="FF434343"/>
      </patternFill>
    </fill>
    <fill>
      <patternFill patternType="solid">
        <fgColor rgb="FFFF9900"/>
        <bgColor rgb="FFFF990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164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2" fillId="0" borderId="3" xfId="0" applyFont="1" applyBorder="1"/>
    <xf numFmtId="165" fontId="1" fillId="0" borderId="4" xfId="0" applyNumberFormat="1" applyFont="1" applyBorder="1" applyAlignment="1">
      <alignment horizontal="center" vertical="center"/>
    </xf>
    <xf numFmtId="0" fontId="2" fillId="0" borderId="5" xfId="0" applyFont="1" applyBorder="1"/>
    <xf numFmtId="165" fontId="1" fillId="0" borderId="6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7" xfId="0" applyFont="1" applyBorder="1"/>
    <xf numFmtId="164" fontId="1" fillId="0" borderId="8" xfId="0" applyNumberFormat="1" applyFont="1" applyBorder="1" applyAlignment="1">
      <alignment horizontal="center" vertical="center"/>
    </xf>
    <xf numFmtId="0" fontId="4" fillId="0" borderId="3" xfId="0" applyFont="1" applyBorder="1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3" borderId="1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164" fontId="1" fillId="0" borderId="4" xfId="0" applyNumberFormat="1" applyFont="1" applyBorder="1" applyAlignment="1">
      <alignment horizontal="center" vertical="center" wrapText="1"/>
    </xf>
    <xf numFmtId="0" fontId="2" fillId="2" borderId="3" xfId="0" applyFont="1" applyFill="1" applyBorder="1" applyAlignment="1">
      <alignment wrapText="1"/>
    </xf>
    <xf numFmtId="164" fontId="1" fillId="2" borderId="4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wrapText="1"/>
    </xf>
    <xf numFmtId="164" fontId="5" fillId="2" borderId="4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wrapText="1"/>
    </xf>
    <xf numFmtId="164" fontId="1" fillId="4" borderId="4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6" fillId="0" borderId="0" xfId="0" applyFont="1"/>
    <xf numFmtId="14" fontId="6" fillId="0" borderId="0" xfId="0" applyNumberFormat="1" applyFont="1"/>
    <xf numFmtId="0" fontId="6" fillId="4" borderId="0" xfId="0" applyFont="1" applyFill="1"/>
    <xf numFmtId="2" fontId="6" fillId="0" borderId="0" xfId="0" applyNumberFormat="1" applyFont="1"/>
    <xf numFmtId="0" fontId="6" fillId="5" borderId="0" xfId="0" applyFont="1" applyFill="1"/>
    <xf numFmtId="0" fontId="6" fillId="6" borderId="0" xfId="0" applyFont="1" applyFill="1"/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6" fillId="7" borderId="0" xfId="0" applyFont="1" applyFill="1"/>
    <xf numFmtId="1" fontId="6" fillId="0" borderId="0" xfId="0" applyNumberFormat="1" applyFont="1"/>
    <xf numFmtId="0" fontId="7" fillId="4" borderId="0" xfId="0" applyFont="1" applyFill="1"/>
    <xf numFmtId="0" fontId="7" fillId="0" borderId="0" xfId="0" applyFont="1"/>
    <xf numFmtId="166" fontId="6" fillId="0" borderId="0" xfId="0" applyNumberFormat="1" applyFont="1"/>
    <xf numFmtId="0" fontId="6" fillId="8" borderId="0" xfId="0" applyFont="1" applyFill="1"/>
    <xf numFmtId="0" fontId="8" fillId="5" borderId="11" xfId="0" applyFont="1" applyFill="1" applyBorder="1"/>
    <xf numFmtId="14" fontId="6" fillId="0" borderId="11" xfId="0" applyNumberFormat="1" applyFont="1" applyBorder="1"/>
    <xf numFmtId="0" fontId="6" fillId="0" borderId="11" xfId="0" applyFont="1" applyBorder="1"/>
    <xf numFmtId="0" fontId="8" fillId="0" borderId="11" xfId="0" applyFont="1" applyBorder="1"/>
    <xf numFmtId="0" fontId="6" fillId="9" borderId="0" xfId="0" applyFont="1" applyFill="1"/>
    <xf numFmtId="0" fontId="8" fillId="0" borderId="11" xfId="0" applyFont="1" applyBorder="1" applyAlignment="1">
      <alignment wrapText="1"/>
    </xf>
    <xf numFmtId="0" fontId="8" fillId="8" borderId="11" xfId="0" applyFont="1" applyFill="1" applyBorder="1" applyAlignment="1">
      <alignment wrapText="1"/>
    </xf>
    <xf numFmtId="0" fontId="8" fillId="8" borderId="11" xfId="0" applyFont="1" applyFill="1" applyBorder="1"/>
    <xf numFmtId="0" fontId="8" fillId="3" borderId="11" xfId="0" applyFont="1" applyFill="1" applyBorder="1" applyAlignment="1">
      <alignment wrapText="1"/>
    </xf>
    <xf numFmtId="0" fontId="8" fillId="0" borderId="0" xfId="0" applyFont="1"/>
    <xf numFmtId="2" fontId="6" fillId="4" borderId="11" xfId="0" applyNumberFormat="1" applyFont="1" applyFill="1" applyBorder="1" applyAlignment="1">
      <alignment horizontal="right"/>
    </xf>
    <xf numFmtId="0" fontId="6" fillId="8" borderId="11" xfId="0" applyFont="1" applyFill="1" applyBorder="1"/>
    <xf numFmtId="0" fontId="6" fillId="3" borderId="11" xfId="0" applyFont="1" applyFill="1" applyBorder="1"/>
    <xf numFmtId="0" fontId="6" fillId="0" borderId="11" xfId="0" applyFont="1" applyBorder="1" applyAlignment="1">
      <alignment horizontal="right"/>
    </xf>
    <xf numFmtId="0" fontId="8" fillId="3" borderId="11" xfId="0" applyFont="1" applyFill="1" applyBorder="1"/>
    <xf numFmtId="0" fontId="6" fillId="3" borderId="0" xfId="0" applyFont="1" applyFill="1"/>
    <xf numFmtId="0" fontId="9" fillId="0" borderId="0" xfId="0" applyFont="1"/>
    <xf numFmtId="1" fontId="8" fillId="3" borderId="0" xfId="0" applyNumberFormat="1" applyFont="1" applyFill="1"/>
    <xf numFmtId="0" fontId="7" fillId="0" borderId="11" xfId="0" applyFont="1" applyBorder="1" applyAlignment="1">
      <alignment horizontal="right"/>
    </xf>
    <xf numFmtId="0" fontId="6" fillId="0" borderId="0" xfId="0" applyFont="1" applyAlignment="1">
      <alignment wrapText="1"/>
    </xf>
    <xf numFmtId="0" fontId="8" fillId="5" borderId="0" xfId="0" applyFont="1" applyFill="1"/>
    <xf numFmtId="0" fontId="8" fillId="0" borderId="0" xfId="0" applyFont="1" applyAlignment="1">
      <alignment wrapText="1"/>
    </xf>
    <xf numFmtId="0" fontId="8" fillId="8" borderId="0" xfId="0" applyFont="1" applyFill="1" applyAlignment="1">
      <alignment wrapText="1"/>
    </xf>
    <xf numFmtId="0" fontId="8" fillId="8" borderId="0" xfId="0" applyFont="1" applyFill="1"/>
    <xf numFmtId="0" fontId="8" fillId="3" borderId="0" xfId="0" applyFont="1" applyFill="1" applyAlignment="1">
      <alignment wrapText="1"/>
    </xf>
    <xf numFmtId="2" fontId="8" fillId="0" borderId="0" xfId="0" applyNumberFormat="1" applyFont="1"/>
    <xf numFmtId="167" fontId="6" fillId="0" borderId="11" xfId="0" applyNumberFormat="1" applyFont="1" applyBorder="1"/>
    <xf numFmtId="0" fontId="6" fillId="0" borderId="11" xfId="0" applyFont="1" applyBorder="1" applyAlignment="1">
      <alignment horizontal="left"/>
    </xf>
    <xf numFmtId="0" fontId="7" fillId="0" borderId="7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168" fontId="6" fillId="0" borderId="0" xfId="0" applyNumberFormat="1" applyFont="1"/>
    <xf numFmtId="0" fontId="10" fillId="5" borderId="11" xfId="0" applyFont="1" applyFill="1" applyBorder="1"/>
    <xf numFmtId="14" fontId="7" fillId="0" borderId="11" xfId="0" applyNumberFormat="1" applyFont="1" applyBorder="1"/>
    <xf numFmtId="0" fontId="7" fillId="0" borderId="11" xfId="0" applyFont="1" applyBorder="1"/>
    <xf numFmtId="0" fontId="7" fillId="9" borderId="0" xfId="0" applyFont="1" applyFill="1"/>
    <xf numFmtId="0" fontId="10" fillId="0" borderId="11" xfId="0" applyFont="1" applyBorder="1"/>
    <xf numFmtId="0" fontId="10" fillId="0" borderId="11" xfId="0" applyFont="1" applyBorder="1" applyAlignment="1">
      <alignment wrapText="1"/>
    </xf>
    <xf numFmtId="0" fontId="10" fillId="8" borderId="11" xfId="0" applyFont="1" applyFill="1" applyBorder="1" applyAlignment="1">
      <alignment wrapText="1"/>
    </xf>
    <xf numFmtId="0" fontId="10" fillId="8" borderId="11" xfId="0" applyFont="1" applyFill="1" applyBorder="1"/>
    <xf numFmtId="0" fontId="10" fillId="3" borderId="11" xfId="0" applyFont="1" applyFill="1" applyBorder="1" applyAlignment="1">
      <alignment wrapText="1"/>
    </xf>
    <xf numFmtId="2" fontId="7" fillId="0" borderId="0" xfId="0" applyNumberFormat="1" applyFont="1"/>
    <xf numFmtId="2" fontId="7" fillId="4" borderId="11" xfId="0" applyNumberFormat="1" applyFont="1" applyFill="1" applyBorder="1" applyAlignment="1">
      <alignment horizontal="right"/>
    </xf>
    <xf numFmtId="0" fontId="7" fillId="8" borderId="11" xfId="0" applyFont="1" applyFill="1" applyBorder="1"/>
    <xf numFmtId="0" fontId="7" fillId="3" borderId="11" xfId="0" applyFont="1" applyFill="1" applyBorder="1"/>
    <xf numFmtId="0" fontId="10" fillId="0" borderId="11" xfId="0" applyFont="1" applyBorder="1" applyAlignment="1">
      <alignment horizontal="right"/>
    </xf>
    <xf numFmtId="0" fontId="10" fillId="3" borderId="11" xfId="0" applyFont="1" applyFill="1" applyBorder="1" applyAlignment="1">
      <alignment horizontal="right"/>
    </xf>
    <xf numFmtId="2" fontId="10" fillId="0" borderId="0" xfId="0" applyNumberFormat="1" applyFont="1" applyAlignment="1">
      <alignment horizontal="right"/>
    </xf>
    <xf numFmtId="0" fontId="6" fillId="0" borderId="3" xfId="0" applyFont="1" applyBorder="1"/>
    <xf numFmtId="0" fontId="6" fillId="0" borderId="4" xfId="0" applyFont="1" applyBorder="1"/>
    <xf numFmtId="1" fontId="8" fillId="3" borderId="3" xfId="0" applyNumberFormat="1" applyFont="1" applyFill="1" applyBorder="1"/>
    <xf numFmtId="1" fontId="8" fillId="3" borderId="4" xfId="0" applyNumberFormat="1" applyFont="1" applyFill="1" applyBorder="1"/>
    <xf numFmtId="0" fontId="6" fillId="0" borderId="3" xfId="0" applyFont="1" applyBorder="1" applyAlignment="1">
      <alignment wrapText="1"/>
    </xf>
    <xf numFmtId="0" fontId="8" fillId="0" borderId="5" xfId="0" applyFont="1" applyBorder="1"/>
    <xf numFmtId="1" fontId="8" fillId="0" borderId="6" xfId="0" applyNumberFormat="1" applyFont="1" applyBorder="1"/>
    <xf numFmtId="0" fontId="6" fillId="2" borderId="0" xfId="0" applyFont="1" applyFill="1"/>
    <xf numFmtId="0" fontId="6" fillId="0" borderId="0" xfId="0" applyFont="1" applyAlignment="1">
      <alignment horizontal="left"/>
    </xf>
    <xf numFmtId="169" fontId="7" fillId="0" borderId="0" xfId="0" applyNumberFormat="1" applyFont="1" applyAlignment="1">
      <alignment horizontal="right"/>
    </xf>
    <xf numFmtId="0" fontId="6" fillId="10" borderId="0" xfId="0" applyFont="1" applyFill="1"/>
    <xf numFmtId="0" fontId="7" fillId="10" borderId="0" xfId="0" applyFont="1" applyFill="1"/>
    <xf numFmtId="0" fontId="7" fillId="8" borderId="11" xfId="0" applyFont="1" applyFill="1" applyBorder="1" applyAlignment="1">
      <alignment horizontal="right"/>
    </xf>
    <xf numFmtId="0" fontId="7" fillId="8" borderId="8" xfId="0" applyFont="1" applyFill="1" applyBorder="1" applyAlignment="1">
      <alignment horizontal="right"/>
    </xf>
    <xf numFmtId="0" fontId="7" fillId="10" borderId="11" xfId="0" applyFont="1" applyFill="1" applyBorder="1"/>
    <xf numFmtId="0" fontId="10" fillId="0" borderId="0" xfId="0" applyFont="1"/>
    <xf numFmtId="0" fontId="7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right"/>
    </xf>
    <xf numFmtId="170" fontId="7" fillId="0" borderId="0" xfId="0" applyNumberFormat="1" applyFont="1"/>
    <xf numFmtId="0" fontId="7" fillId="5" borderId="0" xfId="0" applyFont="1" applyFill="1" applyAlignment="1">
      <alignment horizontal="right"/>
    </xf>
    <xf numFmtId="1" fontId="8" fillId="0" borderId="0" xfId="0" applyNumberFormat="1" applyFont="1"/>
    <xf numFmtId="164" fontId="1" fillId="0" borderId="2" xfId="0" applyNumberFormat="1" applyFont="1" applyBorder="1" applyAlignment="1">
      <alignment horizontal="center" vertical="center"/>
    </xf>
    <xf numFmtId="0" fontId="3" fillId="0" borderId="6" xfId="0" applyFont="1" applyBorder="1"/>
    <xf numFmtId="0" fontId="3" fillId="0" borderId="4" xfId="0" applyFont="1" applyBorder="1"/>
    <xf numFmtId="0" fontId="2" fillId="0" borderId="0" xfId="0" applyFont="1" applyAlignment="1">
      <alignment horizontal="center"/>
    </xf>
    <xf numFmtId="0" fontId="0" fillId="0" borderId="0" xfId="0"/>
    <xf numFmtId="164" fontId="1" fillId="2" borderId="2" xfId="0" applyNumberFormat="1" applyFont="1" applyFill="1" applyBorder="1" applyAlignment="1">
      <alignment horizontal="center" vertical="center"/>
    </xf>
    <xf numFmtId="0" fontId="6" fillId="0" borderId="12" xfId="0" applyFont="1" applyBorder="1"/>
    <xf numFmtId="0" fontId="3" fillId="0" borderId="13" xfId="0" applyFont="1" applyBorder="1"/>
    <xf numFmtId="0" fontId="7" fillId="0" borderId="11" xfId="0" applyFont="1" applyBorder="1" applyAlignment="1">
      <alignment wrapText="1"/>
    </xf>
    <xf numFmtId="0" fontId="7" fillId="0" borderId="11" xfId="0" applyFont="1" applyBorder="1" applyAlignment="1">
      <alignment horizontal="right" wrapText="1"/>
    </xf>
    <xf numFmtId="0" fontId="0" fillId="0" borderId="0" xfId="0" applyAlignment="1">
      <alignment wrapText="1"/>
    </xf>
    <xf numFmtId="0" fontId="10" fillId="0" borderId="11" xfId="0" applyFont="1" applyBorder="1" applyAlignment="1">
      <alignment horizontal="righ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1011"/>
  <sheetViews>
    <sheetView topLeftCell="A31" workbookViewId="0"/>
  </sheetViews>
  <sheetFormatPr defaultColWidth="12.5703125" defaultRowHeight="15.75" customHeight="1" x14ac:dyDescent="0.2"/>
  <cols>
    <col min="1" max="1" width="2.85546875" customWidth="1"/>
    <col min="2" max="2" width="54.7109375" customWidth="1"/>
    <col min="3" max="3" width="15.85546875" customWidth="1"/>
    <col min="4" max="4" width="3.85546875" customWidth="1"/>
    <col min="5" max="5" width="53.28515625" customWidth="1"/>
    <col min="6" max="6" width="14" customWidth="1"/>
    <col min="7" max="7" width="15.140625" customWidth="1"/>
    <col min="8" max="8" width="4.140625" customWidth="1"/>
    <col min="9" max="9" width="55.42578125" customWidth="1"/>
    <col min="10" max="10" width="15.28515625" customWidth="1"/>
    <col min="11" max="11" width="14.7109375" customWidth="1"/>
    <col min="12" max="12" width="7.85546875" customWidth="1"/>
  </cols>
  <sheetData>
    <row r="1" spans="1:27" ht="26.25" x14ac:dyDescent="0.4">
      <c r="A1" s="1"/>
      <c r="B1" s="1" t="s">
        <v>0</v>
      </c>
      <c r="C1" s="2"/>
      <c r="D1" s="2"/>
      <c r="E1" s="1" t="s">
        <v>1</v>
      </c>
      <c r="F1" s="2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26.25" x14ac:dyDescent="0.35">
      <c r="A2" s="2"/>
      <c r="B2" s="4" t="s">
        <v>2</v>
      </c>
      <c r="C2" s="121">
        <v>1.4</v>
      </c>
      <c r="D2" s="2"/>
      <c r="E2" s="4" t="s">
        <v>3</v>
      </c>
      <c r="F2" s="6">
        <v>1.2</v>
      </c>
      <c r="G2" s="3"/>
      <c r="H2" s="3"/>
      <c r="I2" s="4" t="s">
        <v>4</v>
      </c>
      <c r="J2" s="6">
        <v>1.8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26.25" x14ac:dyDescent="0.35">
      <c r="A3" s="2"/>
      <c r="B3" s="7" t="s">
        <v>5</v>
      </c>
      <c r="C3" s="123"/>
      <c r="D3" s="2"/>
      <c r="E3" s="7" t="s">
        <v>6</v>
      </c>
      <c r="F3" s="8">
        <v>1.3</v>
      </c>
      <c r="G3" s="3"/>
      <c r="H3" s="3"/>
      <c r="I3" s="9" t="s">
        <v>7</v>
      </c>
      <c r="J3" s="10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26.25" x14ac:dyDescent="0.35">
      <c r="A4" s="2"/>
      <c r="B4" s="7" t="s">
        <v>8</v>
      </c>
      <c r="C4" s="123"/>
      <c r="D4" s="2"/>
      <c r="E4" s="7" t="s">
        <v>9</v>
      </c>
      <c r="F4" s="8">
        <v>2</v>
      </c>
      <c r="G4" s="3"/>
      <c r="H4" s="3"/>
      <c r="I4" s="2"/>
      <c r="J4" s="11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26.25" x14ac:dyDescent="0.35">
      <c r="A5" s="2"/>
      <c r="B5" s="9"/>
      <c r="C5" s="122"/>
      <c r="D5" s="2"/>
      <c r="E5" s="7" t="s">
        <v>10</v>
      </c>
      <c r="F5" s="8">
        <v>1.8</v>
      </c>
      <c r="G5" s="3"/>
      <c r="H5" s="3"/>
      <c r="I5" s="4" t="s">
        <v>11</v>
      </c>
      <c r="J5" s="6">
        <v>1.8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6.25" x14ac:dyDescent="0.35">
      <c r="A6" s="2"/>
      <c r="B6" s="2"/>
      <c r="C6" s="12"/>
      <c r="D6" s="2"/>
      <c r="E6" s="7" t="s">
        <v>12</v>
      </c>
      <c r="F6" s="8">
        <v>1.8</v>
      </c>
      <c r="G6" s="3"/>
      <c r="H6" s="3"/>
      <c r="I6" s="7" t="s">
        <v>13</v>
      </c>
      <c r="J6" s="8">
        <v>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26.25" x14ac:dyDescent="0.35">
      <c r="A7" s="2"/>
      <c r="B7" s="4" t="s">
        <v>14</v>
      </c>
      <c r="C7" s="121">
        <v>1.5</v>
      </c>
      <c r="D7" s="2"/>
      <c r="E7" s="9" t="s">
        <v>15</v>
      </c>
      <c r="F7" s="10">
        <v>1.5</v>
      </c>
      <c r="G7" s="3"/>
      <c r="H7" s="3"/>
      <c r="I7" s="7" t="s">
        <v>16</v>
      </c>
      <c r="J7" s="8">
        <v>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26.25" x14ac:dyDescent="0.35">
      <c r="A8" s="2"/>
      <c r="B8" s="9" t="s">
        <v>17</v>
      </c>
      <c r="C8" s="122"/>
      <c r="D8" s="2"/>
      <c r="G8" s="3"/>
      <c r="H8" s="3"/>
      <c r="I8" s="7" t="s">
        <v>18</v>
      </c>
      <c r="J8" s="8">
        <v>2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26.25" x14ac:dyDescent="0.35">
      <c r="A9" s="2"/>
      <c r="B9" s="2"/>
      <c r="C9" s="2"/>
      <c r="D9" s="2"/>
      <c r="E9" s="4" t="s">
        <v>19</v>
      </c>
      <c r="F9" s="6">
        <v>1.5</v>
      </c>
      <c r="G9" s="124"/>
      <c r="H9" s="3"/>
      <c r="I9" s="7" t="s">
        <v>20</v>
      </c>
      <c r="J9" s="13">
        <v>2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26.25" x14ac:dyDescent="0.35">
      <c r="A10" s="2"/>
      <c r="B10" s="4" t="s">
        <v>21</v>
      </c>
      <c r="C10" s="121">
        <v>1.6</v>
      </c>
      <c r="D10" s="2"/>
      <c r="E10" s="9" t="s">
        <v>22</v>
      </c>
      <c r="F10" s="10">
        <v>2</v>
      </c>
      <c r="G10" s="125"/>
      <c r="H10" s="3"/>
      <c r="I10" s="9" t="s">
        <v>23</v>
      </c>
      <c r="J10" s="12">
        <v>2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6.25" x14ac:dyDescent="0.35">
      <c r="A11" s="2"/>
      <c r="B11" s="7" t="s">
        <v>24</v>
      </c>
      <c r="C11" s="123"/>
      <c r="D11" s="2"/>
      <c r="G11" s="125"/>
      <c r="H11" s="3"/>
      <c r="I11" s="2"/>
      <c r="J11" s="11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51" x14ac:dyDescent="0.35">
      <c r="A12" s="2"/>
      <c r="B12" s="9" t="s">
        <v>25</v>
      </c>
      <c r="C12" s="122"/>
      <c r="D12" s="2"/>
      <c r="E12" s="4" t="s">
        <v>26</v>
      </c>
      <c r="F12" s="6">
        <v>1.3</v>
      </c>
      <c r="G12" s="3"/>
      <c r="H12" s="3"/>
      <c r="I12" s="14" t="s">
        <v>27</v>
      </c>
      <c r="J12" s="5">
        <v>1.5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51" x14ac:dyDescent="0.35">
      <c r="A13" s="2"/>
      <c r="B13" s="2"/>
      <c r="C13" s="2"/>
      <c r="D13" s="2"/>
      <c r="E13" s="7" t="s">
        <v>28</v>
      </c>
      <c r="F13" s="8">
        <v>1.5</v>
      </c>
      <c r="G13" s="3"/>
      <c r="H13" s="3"/>
      <c r="I13" s="15" t="s">
        <v>29</v>
      </c>
      <c r="J13" s="13">
        <v>2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26.25" x14ac:dyDescent="0.35">
      <c r="A14" s="2"/>
      <c r="B14" s="4" t="s">
        <v>30</v>
      </c>
      <c r="C14" s="126">
        <v>1.8</v>
      </c>
      <c r="D14" s="2"/>
      <c r="E14" s="7" t="s">
        <v>31</v>
      </c>
      <c r="F14" s="8">
        <v>1.5</v>
      </c>
      <c r="G14" s="3"/>
      <c r="H14" s="3"/>
      <c r="I14" s="16" t="s">
        <v>32</v>
      </c>
      <c r="J14" s="12">
        <v>1.5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26.25" x14ac:dyDescent="0.35">
      <c r="A15" s="2"/>
      <c r="B15" s="7" t="s">
        <v>33</v>
      </c>
      <c r="C15" s="123"/>
      <c r="D15" s="2"/>
      <c r="E15" s="9" t="s">
        <v>34</v>
      </c>
      <c r="F15" s="10">
        <v>1.6</v>
      </c>
      <c r="G15" s="3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26.25" x14ac:dyDescent="0.35">
      <c r="A16" s="2"/>
      <c r="B16" s="7" t="s">
        <v>35</v>
      </c>
      <c r="C16" s="123"/>
      <c r="D16" s="2"/>
      <c r="G16" s="3"/>
      <c r="H16" s="3"/>
      <c r="I16" s="17" t="s">
        <v>36</v>
      </c>
      <c r="J16" s="18">
        <v>1.5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26.25" x14ac:dyDescent="0.35">
      <c r="A17" s="2"/>
      <c r="B17" s="9" t="s">
        <v>37</v>
      </c>
      <c r="C17" s="122"/>
      <c r="D17" s="2"/>
      <c r="E17" s="4" t="s">
        <v>38</v>
      </c>
      <c r="F17" s="6">
        <v>1.5</v>
      </c>
      <c r="G17" s="3"/>
      <c r="H17" s="3"/>
      <c r="I17" s="17" t="s">
        <v>39</v>
      </c>
      <c r="J17" s="18">
        <v>3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26.25" x14ac:dyDescent="0.35">
      <c r="A18" s="2"/>
      <c r="B18" s="2"/>
      <c r="C18" s="2"/>
      <c r="D18" s="2"/>
      <c r="E18" s="7" t="s">
        <v>40</v>
      </c>
      <c r="F18" s="8">
        <v>1.8</v>
      </c>
      <c r="G18" s="3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26.25" x14ac:dyDescent="0.4">
      <c r="A19" s="2"/>
      <c r="B19" s="4" t="s">
        <v>41</v>
      </c>
      <c r="C19" s="121">
        <v>1.1000000000000001</v>
      </c>
      <c r="D19" s="2"/>
      <c r="E19" s="19" t="s">
        <v>42</v>
      </c>
      <c r="F19" s="8">
        <v>1.8</v>
      </c>
      <c r="G19" s="20"/>
      <c r="H19" s="20"/>
      <c r="I19" s="4" t="s">
        <v>43</v>
      </c>
      <c r="J19" s="5">
        <v>3</v>
      </c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26.25" x14ac:dyDescent="0.4">
      <c r="A20" s="2"/>
      <c r="B20" s="9" t="s">
        <v>44</v>
      </c>
      <c r="C20" s="122"/>
      <c r="D20" s="2"/>
      <c r="E20" s="9" t="s">
        <v>45</v>
      </c>
      <c r="F20" s="10">
        <v>1.8</v>
      </c>
      <c r="G20" s="20"/>
      <c r="H20" s="20"/>
      <c r="I20" s="9" t="s">
        <v>46</v>
      </c>
      <c r="J20" s="12">
        <v>3.5</v>
      </c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5.5" x14ac:dyDescent="0.35">
      <c r="A21" s="21"/>
      <c r="B21" s="21"/>
      <c r="C21" s="21"/>
      <c r="D21" s="21"/>
      <c r="E21" s="21"/>
      <c r="F21" s="21"/>
      <c r="G21" s="22"/>
      <c r="H21" s="22"/>
      <c r="I21" s="21"/>
      <c r="J21" s="21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26.25" x14ac:dyDescent="0.4">
      <c r="A22" s="1"/>
      <c r="B22" s="1" t="s">
        <v>47</v>
      </c>
      <c r="C22" s="2"/>
      <c r="D22" s="2"/>
      <c r="E22" s="1" t="s">
        <v>48</v>
      </c>
      <c r="F22" s="1" t="s">
        <v>49</v>
      </c>
      <c r="G22" s="20" t="s">
        <v>50</v>
      </c>
      <c r="H22" s="20"/>
      <c r="I22" s="1" t="s">
        <v>51</v>
      </c>
      <c r="J22" s="1" t="s">
        <v>49</v>
      </c>
      <c r="K22" s="1" t="s">
        <v>50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32.25" customHeight="1" x14ac:dyDescent="0.35">
      <c r="A23" s="2"/>
      <c r="B23" s="4" t="s">
        <v>52</v>
      </c>
      <c r="C23" s="5">
        <v>2.5</v>
      </c>
      <c r="D23" s="2"/>
      <c r="E23" s="4" t="s">
        <v>53</v>
      </c>
      <c r="F23" s="23">
        <v>2.5</v>
      </c>
      <c r="G23" s="5">
        <v>12</v>
      </c>
      <c r="H23" s="11"/>
      <c r="I23" s="4" t="s">
        <v>54</v>
      </c>
      <c r="J23" s="23">
        <v>3</v>
      </c>
      <c r="K23" s="5">
        <v>18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33" customHeight="1" x14ac:dyDescent="0.35">
      <c r="A24" s="2"/>
      <c r="B24" s="7" t="s">
        <v>55</v>
      </c>
      <c r="C24" s="13">
        <v>4.5</v>
      </c>
      <c r="D24" s="2"/>
      <c r="E24" s="7" t="s">
        <v>56</v>
      </c>
      <c r="F24" s="11">
        <v>3</v>
      </c>
      <c r="G24" s="13">
        <v>18</v>
      </c>
      <c r="H24" s="11"/>
      <c r="I24" s="7" t="s">
        <v>57</v>
      </c>
      <c r="J24" s="11">
        <v>3</v>
      </c>
      <c r="K24" s="13">
        <v>18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33" customHeight="1" x14ac:dyDescent="0.35">
      <c r="A25" s="2"/>
      <c r="B25" s="7" t="s">
        <v>58</v>
      </c>
      <c r="C25" s="13">
        <v>2.5</v>
      </c>
      <c r="D25" s="2"/>
      <c r="E25" s="7" t="s">
        <v>59</v>
      </c>
      <c r="F25" s="11">
        <v>4</v>
      </c>
      <c r="G25" s="13"/>
      <c r="H25" s="11"/>
      <c r="I25" s="15" t="s">
        <v>60</v>
      </c>
      <c r="J25" s="11">
        <v>3</v>
      </c>
      <c r="K25" s="13">
        <v>18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33" customHeight="1" x14ac:dyDescent="0.35">
      <c r="A26" s="2"/>
      <c r="B26" s="7" t="s">
        <v>61</v>
      </c>
      <c r="C26" s="13">
        <v>4.5</v>
      </c>
      <c r="D26" s="2"/>
      <c r="E26" s="9"/>
      <c r="F26" s="24"/>
      <c r="G26" s="12"/>
      <c r="H26" s="11"/>
      <c r="I26" s="15" t="s">
        <v>62</v>
      </c>
      <c r="J26" s="11">
        <v>3.5</v>
      </c>
      <c r="K26" s="13">
        <v>21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36.75" customHeight="1" x14ac:dyDescent="0.35">
      <c r="A27" s="2"/>
      <c r="B27" s="7" t="s">
        <v>63</v>
      </c>
      <c r="C27" s="25" t="s">
        <v>64</v>
      </c>
      <c r="D27" s="2"/>
      <c r="F27" s="2"/>
      <c r="G27" s="3"/>
      <c r="H27" s="3"/>
      <c r="I27" s="9" t="s">
        <v>65</v>
      </c>
      <c r="J27" s="26">
        <v>4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34.5" customHeight="1" x14ac:dyDescent="0.35">
      <c r="A28" s="2"/>
      <c r="B28" s="7" t="s">
        <v>66</v>
      </c>
      <c r="C28" s="13">
        <v>3.5</v>
      </c>
      <c r="D28" s="2"/>
      <c r="E28" s="4" t="s">
        <v>67</v>
      </c>
      <c r="F28" s="25" t="s">
        <v>64</v>
      </c>
      <c r="G28" s="3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26.25" x14ac:dyDescent="0.35">
      <c r="A29" s="2"/>
      <c r="B29" s="7" t="s">
        <v>68</v>
      </c>
      <c r="C29" s="13">
        <v>3</v>
      </c>
      <c r="D29" s="2"/>
      <c r="E29" s="4" t="s">
        <v>69</v>
      </c>
      <c r="F29" s="25" t="s">
        <v>70</v>
      </c>
      <c r="G29" s="3"/>
      <c r="H29" s="3"/>
      <c r="I29" s="4" t="s">
        <v>71</v>
      </c>
      <c r="J29" s="5">
        <v>1.5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58.5" customHeight="1" x14ac:dyDescent="0.35">
      <c r="A30" s="27"/>
      <c r="B30" s="15" t="s">
        <v>72</v>
      </c>
      <c r="C30" s="28">
        <v>3.5</v>
      </c>
      <c r="D30" s="2"/>
      <c r="E30" s="4" t="s">
        <v>73</v>
      </c>
      <c r="F30" s="25" t="s">
        <v>70</v>
      </c>
      <c r="G30" s="3"/>
      <c r="H30" s="3"/>
      <c r="I30" s="15" t="s">
        <v>74</v>
      </c>
      <c r="J30" s="13">
        <v>2.5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51" x14ac:dyDescent="0.35">
      <c r="A31" s="2"/>
      <c r="B31" s="7" t="s">
        <v>75</v>
      </c>
      <c r="C31" s="13">
        <v>2.5</v>
      </c>
      <c r="D31" s="2"/>
      <c r="E31" s="4" t="s">
        <v>76</v>
      </c>
      <c r="F31" s="25" t="s">
        <v>77</v>
      </c>
      <c r="G31" s="3"/>
      <c r="H31" s="3"/>
      <c r="I31" s="15" t="s">
        <v>78</v>
      </c>
      <c r="J31" s="13">
        <v>3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51" x14ac:dyDescent="0.35">
      <c r="A32" s="2"/>
      <c r="B32" s="9" t="s">
        <v>79</v>
      </c>
      <c r="C32" s="12">
        <v>4.5</v>
      </c>
      <c r="D32" s="2"/>
      <c r="E32" s="2"/>
      <c r="F32" s="2"/>
      <c r="G32" s="3"/>
      <c r="H32" s="3"/>
      <c r="I32" s="16" t="s">
        <v>80</v>
      </c>
      <c r="J32" s="12">
        <v>3.5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25.5" x14ac:dyDescent="0.35">
      <c r="A33" s="21"/>
      <c r="B33" s="21"/>
      <c r="C33" s="21"/>
      <c r="D33" s="21"/>
      <c r="E33" s="21"/>
      <c r="F33" s="21"/>
      <c r="G33" s="22"/>
      <c r="H33" s="22"/>
      <c r="I33" s="21"/>
      <c r="J33" s="2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26.25" x14ac:dyDescent="0.4">
      <c r="A34" s="1"/>
      <c r="B34" s="1" t="s">
        <v>81</v>
      </c>
      <c r="C34" s="2"/>
      <c r="D34" s="2"/>
      <c r="E34" s="1" t="s">
        <v>82</v>
      </c>
      <c r="F34" s="2"/>
      <c r="G34" s="3"/>
      <c r="H34" s="3"/>
      <c r="I34" s="1" t="s">
        <v>83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76.5" x14ac:dyDescent="0.35">
      <c r="A35" s="27"/>
      <c r="B35" s="14" t="s">
        <v>84</v>
      </c>
      <c r="C35" s="5">
        <v>2.5</v>
      </c>
      <c r="D35" s="2"/>
      <c r="E35" s="4" t="s">
        <v>85</v>
      </c>
      <c r="F35" s="5">
        <v>3</v>
      </c>
      <c r="G35" s="3"/>
      <c r="H35" s="3"/>
      <c r="I35" s="14" t="s">
        <v>86</v>
      </c>
      <c r="J35" s="5">
        <v>8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51" x14ac:dyDescent="0.35">
      <c r="A36" s="27"/>
      <c r="B36" s="29" t="s">
        <v>87</v>
      </c>
      <c r="C36" s="30">
        <v>3.5</v>
      </c>
      <c r="D36" s="2"/>
      <c r="E36" s="7" t="s">
        <v>88</v>
      </c>
      <c r="F36" s="13">
        <v>3.5</v>
      </c>
      <c r="G36" s="3"/>
      <c r="H36" s="3"/>
      <c r="I36" s="15" t="s">
        <v>89</v>
      </c>
      <c r="J36" s="13">
        <v>7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56.25" customHeight="1" x14ac:dyDescent="0.4">
      <c r="A37" s="2"/>
      <c r="B37" s="31" t="s">
        <v>90</v>
      </c>
      <c r="C37" s="32">
        <v>4</v>
      </c>
      <c r="D37" s="2"/>
      <c r="E37" s="15" t="s">
        <v>91</v>
      </c>
      <c r="F37" s="30">
        <v>1.5</v>
      </c>
      <c r="G37" s="3"/>
      <c r="H37" s="3"/>
      <c r="I37" s="7" t="s">
        <v>92</v>
      </c>
      <c r="J37" s="13">
        <v>7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51.75" x14ac:dyDescent="0.4">
      <c r="A38" s="27"/>
      <c r="B38" s="33" t="s">
        <v>93</v>
      </c>
      <c r="C38" s="34">
        <v>4</v>
      </c>
      <c r="D38" s="2"/>
      <c r="E38" s="15" t="s">
        <v>94</v>
      </c>
      <c r="F38" s="13">
        <v>3.5</v>
      </c>
      <c r="G38" s="3"/>
      <c r="H38" s="3"/>
      <c r="I38" s="15" t="s">
        <v>95</v>
      </c>
      <c r="J38" s="13">
        <v>7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26.25" x14ac:dyDescent="0.35">
      <c r="A39" s="27"/>
      <c r="B39" s="33" t="s">
        <v>96</v>
      </c>
      <c r="C39" s="34">
        <v>4.5</v>
      </c>
      <c r="D39" s="2"/>
      <c r="E39" s="7" t="s">
        <v>97</v>
      </c>
      <c r="F39" s="13">
        <v>3.5</v>
      </c>
      <c r="G39" s="3"/>
      <c r="H39" s="3"/>
      <c r="I39" s="15"/>
      <c r="J39" s="1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51" x14ac:dyDescent="0.35">
      <c r="A40" s="27"/>
      <c r="B40" s="15" t="s">
        <v>98</v>
      </c>
      <c r="C40" s="13">
        <v>3.5</v>
      </c>
      <c r="D40" s="2"/>
      <c r="E40" s="7" t="s">
        <v>99</v>
      </c>
      <c r="F40" s="13">
        <v>3</v>
      </c>
      <c r="G40" s="3"/>
      <c r="H40" s="3"/>
      <c r="I40" s="15"/>
      <c r="J40" s="13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26.25" x14ac:dyDescent="0.4">
      <c r="A41" s="2"/>
      <c r="B41" s="7" t="s">
        <v>100</v>
      </c>
      <c r="C41" s="13">
        <v>2.5</v>
      </c>
      <c r="D41" s="2"/>
      <c r="E41" s="7" t="s">
        <v>101</v>
      </c>
      <c r="F41" s="13">
        <v>3</v>
      </c>
      <c r="G41" s="3"/>
      <c r="H41" s="3"/>
      <c r="I41" s="15" t="s">
        <v>102</v>
      </c>
      <c r="J41" s="13">
        <v>8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37.5" customHeight="1" x14ac:dyDescent="0.4">
      <c r="A42" s="35"/>
      <c r="B42" s="7" t="s">
        <v>103</v>
      </c>
      <c r="C42" s="30">
        <v>1.5</v>
      </c>
      <c r="D42" s="2"/>
      <c r="E42" s="7" t="s">
        <v>104</v>
      </c>
      <c r="F42" s="13">
        <v>4</v>
      </c>
      <c r="G42" s="3"/>
      <c r="H42" s="3"/>
      <c r="I42" s="7" t="s">
        <v>105</v>
      </c>
      <c r="J42" s="13">
        <v>8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38.25" customHeight="1" x14ac:dyDescent="0.35">
      <c r="A43" s="35"/>
      <c r="B43" s="7" t="s">
        <v>106</v>
      </c>
      <c r="C43" s="30">
        <v>2.5</v>
      </c>
      <c r="D43" s="2"/>
      <c r="E43" s="7" t="s">
        <v>107</v>
      </c>
      <c r="F43" s="13">
        <v>3</v>
      </c>
      <c r="G43" s="3"/>
      <c r="H43" s="3"/>
      <c r="I43" s="9" t="s">
        <v>108</v>
      </c>
      <c r="J43" s="12">
        <v>9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26.25" x14ac:dyDescent="0.35">
      <c r="A44" s="2"/>
      <c r="B44" s="7" t="s">
        <v>109</v>
      </c>
      <c r="C44" s="30">
        <v>3</v>
      </c>
      <c r="D44" s="2"/>
      <c r="E44" s="7" t="s">
        <v>110</v>
      </c>
      <c r="F44" s="13">
        <v>3</v>
      </c>
      <c r="G44" s="3"/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26.25" x14ac:dyDescent="0.35">
      <c r="A45" s="2"/>
      <c r="B45" s="36" t="s">
        <v>111</v>
      </c>
      <c r="C45" s="13">
        <v>2.5</v>
      </c>
      <c r="D45" s="2"/>
      <c r="E45" s="9" t="s">
        <v>112</v>
      </c>
      <c r="F45" s="12">
        <v>2.5</v>
      </c>
      <c r="G45" s="3"/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26.25" x14ac:dyDescent="0.35">
      <c r="A46" s="2"/>
      <c r="B46" s="37" t="s">
        <v>113</v>
      </c>
      <c r="C46" s="12">
        <v>3.5</v>
      </c>
      <c r="D46" s="2"/>
      <c r="G46" s="3"/>
      <c r="H46" s="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26.25" x14ac:dyDescent="0.35">
      <c r="A47" s="2"/>
      <c r="B47" s="35"/>
      <c r="C47" s="11"/>
      <c r="D47" s="2"/>
      <c r="E47" s="9" t="s">
        <v>114</v>
      </c>
      <c r="F47" s="12">
        <v>4</v>
      </c>
      <c r="G47" s="3"/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26.25" x14ac:dyDescent="0.35">
      <c r="A48" s="2"/>
      <c r="B48" s="35"/>
      <c r="C48" s="11"/>
      <c r="D48" s="2"/>
      <c r="E48" s="9" t="s">
        <v>115</v>
      </c>
      <c r="F48" s="12" t="s">
        <v>116</v>
      </c>
      <c r="G48" s="3"/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26.25" x14ac:dyDescent="0.35">
      <c r="A49" s="2"/>
      <c r="B49" s="35"/>
      <c r="C49" s="11"/>
      <c r="D49" s="2"/>
      <c r="E49" s="9"/>
      <c r="F49" s="12">
        <v>2.5</v>
      </c>
      <c r="G49" s="3"/>
      <c r="H49" s="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26.25" x14ac:dyDescent="0.35">
      <c r="A50" s="2"/>
      <c r="B50" s="35"/>
      <c r="C50" s="11"/>
      <c r="D50" s="2"/>
      <c r="E50" s="9"/>
      <c r="F50" s="12">
        <v>2.5</v>
      </c>
      <c r="G50" s="3"/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26.25" x14ac:dyDescent="0.35">
      <c r="A51" s="2"/>
      <c r="B51" s="35"/>
      <c r="C51" s="11"/>
      <c r="D51" s="2"/>
      <c r="G51" s="3"/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25.5" x14ac:dyDescent="0.35">
      <c r="A52" s="21"/>
      <c r="B52" s="21" t="s">
        <v>117</v>
      </c>
      <c r="C52" s="21"/>
      <c r="D52" s="21"/>
      <c r="E52" s="21"/>
      <c r="F52" s="21"/>
      <c r="G52" s="22"/>
      <c r="H52" s="22"/>
      <c r="I52" s="21"/>
      <c r="J52" s="21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26.25" x14ac:dyDescent="0.4">
      <c r="A53" s="1"/>
      <c r="B53" s="1" t="s">
        <v>118</v>
      </c>
      <c r="C53" s="2"/>
      <c r="D53" s="2"/>
      <c r="E53" s="1" t="s">
        <v>119</v>
      </c>
      <c r="F53" s="2"/>
      <c r="G53" s="3"/>
      <c r="H53" s="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26.25" x14ac:dyDescent="0.35">
      <c r="A54" s="2"/>
      <c r="B54" s="4" t="s">
        <v>120</v>
      </c>
      <c r="C54" s="5">
        <v>7</v>
      </c>
      <c r="D54" s="2"/>
      <c r="E54" s="4" t="s">
        <v>121</v>
      </c>
      <c r="F54" s="5">
        <v>5</v>
      </c>
      <c r="G54" s="3"/>
      <c r="H54" s="3"/>
      <c r="I54" s="4" t="s">
        <v>122</v>
      </c>
      <c r="J54" s="5">
        <v>8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26.25" x14ac:dyDescent="0.35">
      <c r="A55" s="2"/>
      <c r="B55" s="7"/>
      <c r="C55" s="13"/>
      <c r="D55" s="2"/>
      <c r="E55" s="4" t="s">
        <v>123</v>
      </c>
      <c r="F55" s="5">
        <v>6</v>
      </c>
      <c r="G55" s="3"/>
      <c r="H55" s="3"/>
      <c r="I55" s="7" t="s">
        <v>124</v>
      </c>
      <c r="J55" s="13">
        <v>7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26.25" x14ac:dyDescent="0.35">
      <c r="A56" s="2"/>
      <c r="B56" s="7" t="s">
        <v>125</v>
      </c>
      <c r="C56" s="13">
        <v>1</v>
      </c>
      <c r="D56" s="2"/>
      <c r="E56" s="7" t="s">
        <v>126</v>
      </c>
      <c r="F56" s="13">
        <v>2</v>
      </c>
      <c r="G56" s="3"/>
      <c r="H56" s="3"/>
      <c r="I56" s="9" t="s">
        <v>127</v>
      </c>
      <c r="J56" s="12">
        <v>9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26.25" x14ac:dyDescent="0.35">
      <c r="A57" s="2"/>
      <c r="B57" s="9" t="s">
        <v>128</v>
      </c>
      <c r="C57" s="12">
        <v>0.5</v>
      </c>
      <c r="D57" s="2"/>
      <c r="E57" s="7" t="s">
        <v>129</v>
      </c>
      <c r="F57" s="13">
        <v>8</v>
      </c>
      <c r="G57" s="3"/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26.25" x14ac:dyDescent="0.35">
      <c r="A58" s="2"/>
      <c r="B58" s="2"/>
      <c r="C58" s="2"/>
      <c r="D58" s="2"/>
      <c r="E58" s="9" t="s">
        <v>130</v>
      </c>
      <c r="F58" s="12">
        <v>2</v>
      </c>
      <c r="G58" s="3"/>
      <c r="H58" s="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25.5" x14ac:dyDescent="0.35">
      <c r="A59" s="2"/>
      <c r="B59" s="2"/>
      <c r="C59" s="2"/>
      <c r="D59" s="2"/>
      <c r="E59" s="2"/>
      <c r="F59" s="2"/>
      <c r="G59" s="3"/>
      <c r="H59" s="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26.25" x14ac:dyDescent="0.4">
      <c r="A60" s="1"/>
      <c r="D60" s="2"/>
      <c r="E60" s="4" t="s">
        <v>131</v>
      </c>
      <c r="F60" s="5">
        <v>2.5</v>
      </c>
      <c r="G60" s="3"/>
      <c r="H60" s="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26.25" x14ac:dyDescent="0.35">
      <c r="A61" s="2"/>
      <c r="D61" s="2"/>
      <c r="E61" s="7" t="s">
        <v>132</v>
      </c>
      <c r="F61" s="13">
        <v>5.5</v>
      </c>
      <c r="G61" s="3"/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26.25" x14ac:dyDescent="0.35">
      <c r="A62" s="2"/>
      <c r="D62" s="2"/>
      <c r="E62" s="7" t="s">
        <v>133</v>
      </c>
      <c r="F62" s="13">
        <v>2.6</v>
      </c>
      <c r="G62" s="3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26.25" x14ac:dyDescent="0.35">
      <c r="A63" s="2"/>
      <c r="D63" s="2"/>
      <c r="E63" s="9" t="s">
        <v>134</v>
      </c>
      <c r="F63" s="12">
        <v>4.5</v>
      </c>
      <c r="G63" s="3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25.5" x14ac:dyDescent="0.35">
      <c r="A64" s="2"/>
      <c r="D64" s="2"/>
      <c r="E64" s="2"/>
      <c r="F64" s="2"/>
      <c r="G64" s="3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25.5" x14ac:dyDescent="0.35">
      <c r="A65" s="2"/>
      <c r="B65" s="2"/>
      <c r="C65" s="2"/>
      <c r="D65" s="2"/>
      <c r="E65" s="2"/>
      <c r="F65" s="2"/>
      <c r="G65" s="3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25.5" x14ac:dyDescent="0.35">
      <c r="A66" s="2"/>
      <c r="B66" s="2"/>
      <c r="C66" s="2"/>
      <c r="D66" s="2"/>
      <c r="E66" s="2"/>
      <c r="F66" s="2"/>
      <c r="G66" s="3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25.5" x14ac:dyDescent="0.35">
      <c r="A67" s="2"/>
      <c r="B67" s="2"/>
      <c r="C67" s="2"/>
      <c r="D67" s="2"/>
      <c r="E67" s="2"/>
      <c r="F67" s="2"/>
      <c r="G67" s="3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25.5" x14ac:dyDescent="0.35">
      <c r="A68" s="2"/>
      <c r="B68" s="2"/>
      <c r="C68" s="2"/>
      <c r="D68" s="2"/>
      <c r="E68" s="2"/>
      <c r="F68" s="2"/>
      <c r="G68" s="3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25.5" x14ac:dyDescent="0.35">
      <c r="A69" s="2"/>
      <c r="B69" s="2"/>
      <c r="C69" s="2"/>
      <c r="D69" s="2"/>
      <c r="E69" s="2"/>
      <c r="F69" s="2"/>
      <c r="G69" s="3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25.5" x14ac:dyDescent="0.35">
      <c r="A70" s="2"/>
      <c r="B70" s="2"/>
      <c r="C70" s="2"/>
      <c r="D70" s="2"/>
      <c r="E70" s="2"/>
      <c r="F70" s="2"/>
      <c r="G70" s="3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25.5" x14ac:dyDescent="0.35">
      <c r="A71" s="2"/>
      <c r="B71" s="2"/>
      <c r="C71" s="2"/>
      <c r="D71" s="2"/>
      <c r="E71" s="2"/>
      <c r="F71" s="2"/>
      <c r="G71" s="3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25.5" x14ac:dyDescent="0.35">
      <c r="A72" s="2"/>
      <c r="B72" s="2"/>
      <c r="C72" s="2"/>
      <c r="D72" s="2"/>
      <c r="E72" s="2"/>
      <c r="F72" s="2"/>
      <c r="G72" s="3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25.5" x14ac:dyDescent="0.35">
      <c r="A73" s="2"/>
      <c r="B73" s="2"/>
      <c r="C73" s="2"/>
      <c r="D73" s="2"/>
      <c r="E73" s="2"/>
      <c r="F73" s="2"/>
      <c r="G73" s="3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25.5" x14ac:dyDescent="0.35">
      <c r="A74" s="2"/>
      <c r="B74" s="2"/>
      <c r="C74" s="2"/>
      <c r="D74" s="2"/>
      <c r="E74" s="2"/>
      <c r="F74" s="2"/>
      <c r="G74" s="3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25.5" x14ac:dyDescent="0.35">
      <c r="A75" s="2"/>
      <c r="B75" s="2"/>
      <c r="C75" s="2"/>
      <c r="D75" s="2"/>
      <c r="E75" s="2"/>
      <c r="F75" s="2"/>
      <c r="G75" s="3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25.5" x14ac:dyDescent="0.35">
      <c r="A76" s="2"/>
      <c r="B76" s="2"/>
      <c r="C76" s="2"/>
      <c r="D76" s="2"/>
      <c r="E76" s="2"/>
      <c r="F76" s="2"/>
      <c r="G76" s="3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25.5" x14ac:dyDescent="0.35">
      <c r="A77" s="2"/>
      <c r="B77" s="2"/>
      <c r="C77" s="2"/>
      <c r="D77" s="2"/>
      <c r="E77" s="2"/>
      <c r="F77" s="2"/>
      <c r="G77" s="3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25.5" x14ac:dyDescent="0.35">
      <c r="A78" s="2"/>
      <c r="B78" s="2"/>
      <c r="C78" s="2"/>
      <c r="D78" s="2"/>
      <c r="E78" s="2"/>
      <c r="F78" s="2"/>
      <c r="G78" s="3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25.5" x14ac:dyDescent="0.35">
      <c r="A79" s="2"/>
      <c r="B79" s="2"/>
      <c r="C79" s="2"/>
      <c r="D79" s="2"/>
      <c r="E79" s="2"/>
      <c r="F79" s="2"/>
      <c r="G79" s="3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25.5" x14ac:dyDescent="0.35">
      <c r="A80" s="2"/>
      <c r="B80" s="2"/>
      <c r="C80" s="2"/>
      <c r="D80" s="2"/>
      <c r="E80" s="2"/>
      <c r="F80" s="2"/>
      <c r="G80" s="3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25.5" x14ac:dyDescent="0.35">
      <c r="A81" s="2"/>
      <c r="B81" s="2"/>
      <c r="C81" s="2"/>
      <c r="D81" s="2"/>
      <c r="E81" s="2"/>
      <c r="F81" s="2"/>
      <c r="G81" s="3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25.5" x14ac:dyDescent="0.35">
      <c r="A82" s="2"/>
      <c r="B82" s="2"/>
      <c r="C82" s="2"/>
      <c r="D82" s="2"/>
      <c r="E82" s="2"/>
      <c r="F82" s="2"/>
      <c r="G82" s="3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25.5" x14ac:dyDescent="0.35">
      <c r="A83" s="2"/>
      <c r="B83" s="2"/>
      <c r="C83" s="2"/>
      <c r="D83" s="2"/>
      <c r="E83" s="2"/>
      <c r="F83" s="2"/>
      <c r="G83" s="3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25.5" x14ac:dyDescent="0.35">
      <c r="A84" s="2"/>
      <c r="B84" s="2"/>
      <c r="C84" s="2"/>
      <c r="D84" s="2"/>
      <c r="E84" s="2"/>
      <c r="F84" s="2"/>
      <c r="G84" s="3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25.5" x14ac:dyDescent="0.35">
      <c r="A85" s="2"/>
      <c r="B85" s="2"/>
      <c r="C85" s="2"/>
      <c r="D85" s="2"/>
      <c r="E85" s="2"/>
      <c r="F85" s="2"/>
      <c r="G85" s="3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25.5" x14ac:dyDescent="0.35">
      <c r="A86" s="2"/>
      <c r="B86" s="2"/>
      <c r="C86" s="2"/>
      <c r="D86" s="2"/>
      <c r="E86" s="2"/>
      <c r="F86" s="2"/>
      <c r="G86" s="3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25.5" x14ac:dyDescent="0.35">
      <c r="A87" s="2"/>
      <c r="B87" s="2"/>
      <c r="C87" s="2"/>
      <c r="D87" s="2"/>
      <c r="E87" s="2"/>
      <c r="F87" s="2"/>
      <c r="G87" s="3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25.5" x14ac:dyDescent="0.35">
      <c r="A88" s="2"/>
      <c r="B88" s="2"/>
      <c r="C88" s="2"/>
      <c r="D88" s="2"/>
      <c r="E88" s="2"/>
      <c r="F88" s="2"/>
      <c r="G88" s="3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25.5" x14ac:dyDescent="0.35">
      <c r="A89" s="2"/>
      <c r="B89" s="2"/>
      <c r="C89" s="2"/>
      <c r="D89" s="2"/>
      <c r="E89" s="2"/>
      <c r="F89" s="2"/>
      <c r="G89" s="3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25.5" x14ac:dyDescent="0.35">
      <c r="A90" s="2"/>
      <c r="B90" s="2"/>
      <c r="C90" s="2"/>
      <c r="D90" s="2"/>
      <c r="E90" s="2"/>
      <c r="F90" s="2"/>
      <c r="G90" s="3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25.5" x14ac:dyDescent="0.35">
      <c r="A91" s="2"/>
      <c r="B91" s="2"/>
      <c r="C91" s="2"/>
      <c r="D91" s="2"/>
      <c r="E91" s="2"/>
      <c r="F91" s="2"/>
      <c r="G91" s="3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25.5" x14ac:dyDescent="0.35">
      <c r="A92" s="2"/>
      <c r="B92" s="2"/>
      <c r="C92" s="2"/>
      <c r="D92" s="2"/>
      <c r="E92" s="2"/>
      <c r="F92" s="2"/>
      <c r="G92" s="3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25.5" x14ac:dyDescent="0.35">
      <c r="A93" s="2"/>
      <c r="B93" s="2"/>
      <c r="C93" s="2"/>
      <c r="D93" s="2"/>
      <c r="E93" s="2"/>
      <c r="F93" s="2"/>
      <c r="G93" s="3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25.5" x14ac:dyDescent="0.35">
      <c r="A94" s="2"/>
      <c r="B94" s="2"/>
      <c r="C94" s="2"/>
      <c r="D94" s="2"/>
      <c r="E94" s="2"/>
      <c r="F94" s="2"/>
      <c r="G94" s="3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25.5" x14ac:dyDescent="0.35">
      <c r="A95" s="2"/>
      <c r="B95" s="2"/>
      <c r="C95" s="2"/>
      <c r="D95" s="2"/>
      <c r="E95" s="2"/>
      <c r="F95" s="2"/>
      <c r="G95" s="3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25.5" x14ac:dyDescent="0.35">
      <c r="A96" s="2"/>
      <c r="B96" s="2"/>
      <c r="C96" s="2"/>
      <c r="D96" s="2"/>
      <c r="E96" s="2"/>
      <c r="F96" s="2"/>
      <c r="G96" s="3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25.5" x14ac:dyDescent="0.35">
      <c r="A97" s="2"/>
      <c r="B97" s="2"/>
      <c r="C97" s="2"/>
      <c r="D97" s="2"/>
      <c r="E97" s="2"/>
      <c r="F97" s="2"/>
      <c r="G97" s="3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25.5" x14ac:dyDescent="0.35">
      <c r="A98" s="2"/>
      <c r="B98" s="2"/>
      <c r="C98" s="2"/>
      <c r="D98" s="2"/>
      <c r="E98" s="2"/>
      <c r="F98" s="2"/>
      <c r="G98" s="3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25.5" x14ac:dyDescent="0.35">
      <c r="A99" s="2"/>
      <c r="B99" s="2"/>
      <c r="C99" s="2"/>
      <c r="D99" s="2"/>
      <c r="E99" s="2"/>
      <c r="F99" s="2"/>
      <c r="G99" s="3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25.5" x14ac:dyDescent="0.35">
      <c r="A100" s="2"/>
      <c r="B100" s="2"/>
      <c r="C100" s="2"/>
      <c r="D100" s="2"/>
      <c r="E100" s="2"/>
      <c r="F100" s="2"/>
      <c r="G100" s="3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25.5" x14ac:dyDescent="0.35">
      <c r="A101" s="2"/>
      <c r="B101" s="2"/>
      <c r="C101" s="2"/>
      <c r="D101" s="2"/>
      <c r="E101" s="2"/>
      <c r="F101" s="2"/>
      <c r="G101" s="3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25.5" x14ac:dyDescent="0.35">
      <c r="A102" s="2"/>
      <c r="B102" s="2"/>
      <c r="C102" s="2"/>
      <c r="D102" s="2"/>
      <c r="E102" s="2"/>
      <c r="F102" s="2"/>
      <c r="G102" s="3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25.5" x14ac:dyDescent="0.35">
      <c r="A103" s="2"/>
      <c r="B103" s="2"/>
      <c r="C103" s="2"/>
      <c r="D103" s="2"/>
      <c r="E103" s="2"/>
      <c r="F103" s="2"/>
      <c r="G103" s="3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25.5" x14ac:dyDescent="0.35">
      <c r="A104" s="2"/>
      <c r="B104" s="2"/>
      <c r="C104" s="2"/>
      <c r="D104" s="2"/>
      <c r="E104" s="2"/>
      <c r="F104" s="2"/>
      <c r="G104" s="3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25.5" x14ac:dyDescent="0.35">
      <c r="A105" s="2"/>
      <c r="B105" s="2"/>
      <c r="C105" s="2"/>
      <c r="D105" s="2"/>
      <c r="E105" s="2"/>
      <c r="F105" s="2"/>
      <c r="G105" s="3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25.5" x14ac:dyDescent="0.35">
      <c r="A106" s="2"/>
      <c r="B106" s="2"/>
      <c r="C106" s="2"/>
      <c r="D106" s="2"/>
      <c r="E106" s="2"/>
      <c r="F106" s="2"/>
      <c r="G106" s="3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25.5" x14ac:dyDescent="0.35">
      <c r="A107" s="2"/>
      <c r="B107" s="2"/>
      <c r="C107" s="2"/>
      <c r="D107" s="2"/>
      <c r="E107" s="2"/>
      <c r="F107" s="2"/>
      <c r="G107" s="3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25.5" x14ac:dyDescent="0.35">
      <c r="A108" s="2"/>
      <c r="B108" s="2"/>
      <c r="C108" s="2"/>
      <c r="D108" s="2"/>
      <c r="E108" s="2"/>
      <c r="F108" s="2"/>
      <c r="G108" s="3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25.5" x14ac:dyDescent="0.35">
      <c r="A109" s="2"/>
      <c r="B109" s="2"/>
      <c r="C109" s="2"/>
      <c r="D109" s="2"/>
      <c r="E109" s="2"/>
      <c r="F109" s="2"/>
      <c r="G109" s="3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25.5" x14ac:dyDescent="0.35">
      <c r="A110" s="2"/>
      <c r="B110" s="2"/>
      <c r="C110" s="2"/>
      <c r="D110" s="2"/>
      <c r="E110" s="2"/>
      <c r="F110" s="2"/>
      <c r="G110" s="3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25.5" x14ac:dyDescent="0.35">
      <c r="A111" s="2"/>
      <c r="B111" s="2"/>
      <c r="C111" s="2"/>
      <c r="D111" s="2"/>
      <c r="E111" s="2"/>
      <c r="F111" s="2"/>
      <c r="G111" s="3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25.5" x14ac:dyDescent="0.35">
      <c r="A112" s="2"/>
      <c r="B112" s="2"/>
      <c r="C112" s="2"/>
      <c r="D112" s="2"/>
      <c r="E112" s="2"/>
      <c r="F112" s="2"/>
      <c r="G112" s="3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25.5" x14ac:dyDescent="0.35">
      <c r="A113" s="2"/>
      <c r="B113" s="2"/>
      <c r="C113" s="2"/>
      <c r="D113" s="2"/>
      <c r="E113" s="2"/>
      <c r="F113" s="2"/>
      <c r="G113" s="3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25.5" x14ac:dyDescent="0.35">
      <c r="A114" s="2"/>
      <c r="B114" s="2"/>
      <c r="C114" s="2"/>
      <c r="D114" s="2"/>
      <c r="E114" s="2"/>
      <c r="F114" s="2"/>
      <c r="G114" s="3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25.5" x14ac:dyDescent="0.35">
      <c r="A115" s="2"/>
      <c r="B115" s="2"/>
      <c r="C115" s="2"/>
      <c r="D115" s="2"/>
      <c r="E115" s="2"/>
      <c r="F115" s="2"/>
      <c r="G115" s="3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25.5" x14ac:dyDescent="0.35">
      <c r="A116" s="2"/>
      <c r="B116" s="2"/>
      <c r="C116" s="2"/>
      <c r="D116" s="2"/>
      <c r="E116" s="2"/>
      <c r="F116" s="2"/>
      <c r="G116" s="3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25.5" x14ac:dyDescent="0.35">
      <c r="A117" s="2"/>
      <c r="B117" s="2"/>
      <c r="C117" s="2"/>
      <c r="D117" s="2"/>
      <c r="E117" s="2"/>
      <c r="F117" s="2"/>
      <c r="G117" s="3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25.5" x14ac:dyDescent="0.35">
      <c r="A118" s="2"/>
      <c r="B118" s="2"/>
      <c r="C118" s="2"/>
      <c r="D118" s="2"/>
      <c r="E118" s="2"/>
      <c r="F118" s="2"/>
      <c r="G118" s="3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25.5" x14ac:dyDescent="0.35">
      <c r="A119" s="2"/>
      <c r="B119" s="2"/>
      <c r="C119" s="2"/>
      <c r="D119" s="2"/>
      <c r="E119" s="2"/>
      <c r="F119" s="2"/>
      <c r="G119" s="3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25.5" x14ac:dyDescent="0.35">
      <c r="A120" s="2"/>
      <c r="B120" s="2"/>
      <c r="C120" s="2"/>
      <c r="D120" s="2"/>
      <c r="E120" s="2"/>
      <c r="F120" s="2"/>
      <c r="G120" s="3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25.5" x14ac:dyDescent="0.35">
      <c r="A121" s="2"/>
      <c r="B121" s="2"/>
      <c r="C121" s="2"/>
      <c r="D121" s="2"/>
      <c r="E121" s="2"/>
      <c r="F121" s="2"/>
      <c r="G121" s="3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25.5" x14ac:dyDescent="0.35">
      <c r="A122" s="2"/>
      <c r="B122" s="2"/>
      <c r="C122" s="2"/>
      <c r="D122" s="2"/>
      <c r="E122" s="2"/>
      <c r="F122" s="2"/>
      <c r="G122" s="3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25.5" x14ac:dyDescent="0.35">
      <c r="A123" s="2"/>
      <c r="B123" s="2"/>
      <c r="C123" s="2"/>
      <c r="D123" s="2"/>
      <c r="E123" s="2"/>
      <c r="F123" s="2"/>
      <c r="G123" s="3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25.5" x14ac:dyDescent="0.35">
      <c r="A124" s="2"/>
      <c r="B124" s="2"/>
      <c r="C124" s="2"/>
      <c r="D124" s="2"/>
      <c r="E124" s="2"/>
      <c r="F124" s="2"/>
      <c r="G124" s="3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25.5" x14ac:dyDescent="0.35">
      <c r="A125" s="2"/>
      <c r="B125" s="2"/>
      <c r="C125" s="2"/>
      <c r="D125" s="2"/>
      <c r="E125" s="2"/>
      <c r="F125" s="2"/>
      <c r="G125" s="3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25.5" x14ac:dyDescent="0.35">
      <c r="A126" s="2"/>
      <c r="B126" s="2"/>
      <c r="C126" s="2"/>
      <c r="D126" s="2"/>
      <c r="E126" s="2"/>
      <c r="F126" s="2"/>
      <c r="G126" s="3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25.5" x14ac:dyDescent="0.35">
      <c r="A127" s="2"/>
      <c r="B127" s="2"/>
      <c r="C127" s="2"/>
      <c r="D127" s="2"/>
      <c r="E127" s="2"/>
      <c r="F127" s="2"/>
      <c r="G127" s="3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25.5" x14ac:dyDescent="0.35">
      <c r="A128" s="2"/>
      <c r="B128" s="2"/>
      <c r="C128" s="2"/>
      <c r="D128" s="2"/>
      <c r="E128" s="2"/>
      <c r="F128" s="2"/>
      <c r="G128" s="3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25.5" x14ac:dyDescent="0.35">
      <c r="A129" s="2"/>
      <c r="B129" s="2"/>
      <c r="C129" s="2"/>
      <c r="D129" s="2"/>
      <c r="E129" s="2"/>
      <c r="F129" s="2"/>
      <c r="G129" s="3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25.5" x14ac:dyDescent="0.35">
      <c r="A130" s="2"/>
      <c r="B130" s="2"/>
      <c r="C130" s="2"/>
      <c r="D130" s="2"/>
      <c r="E130" s="2"/>
      <c r="F130" s="2"/>
      <c r="G130" s="3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25.5" x14ac:dyDescent="0.35">
      <c r="A131" s="2"/>
      <c r="B131" s="2"/>
      <c r="C131" s="2"/>
      <c r="D131" s="2"/>
      <c r="E131" s="2"/>
      <c r="F131" s="2"/>
      <c r="G131" s="3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25.5" x14ac:dyDescent="0.35">
      <c r="A132" s="2"/>
      <c r="B132" s="2"/>
      <c r="C132" s="2"/>
      <c r="D132" s="2"/>
      <c r="E132" s="2"/>
      <c r="F132" s="2"/>
      <c r="G132" s="3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25.5" x14ac:dyDescent="0.35">
      <c r="A133" s="2"/>
      <c r="B133" s="2"/>
      <c r="C133" s="2"/>
      <c r="D133" s="2"/>
      <c r="E133" s="2"/>
      <c r="F133" s="2"/>
      <c r="G133" s="3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25.5" x14ac:dyDescent="0.35">
      <c r="A134" s="2"/>
      <c r="B134" s="2"/>
      <c r="C134" s="2"/>
      <c r="D134" s="2"/>
      <c r="E134" s="2"/>
      <c r="F134" s="2"/>
      <c r="G134" s="3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25.5" x14ac:dyDescent="0.35">
      <c r="A135" s="2"/>
      <c r="B135" s="2"/>
      <c r="C135" s="2"/>
      <c r="D135" s="2"/>
      <c r="E135" s="2"/>
      <c r="F135" s="2"/>
      <c r="G135" s="3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25.5" x14ac:dyDescent="0.35">
      <c r="A136" s="2"/>
      <c r="B136" s="2"/>
      <c r="C136" s="2"/>
      <c r="D136" s="2"/>
      <c r="E136" s="2"/>
      <c r="F136" s="2"/>
      <c r="G136" s="3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25.5" x14ac:dyDescent="0.35">
      <c r="A137" s="2"/>
      <c r="B137" s="2"/>
      <c r="C137" s="2"/>
      <c r="D137" s="2"/>
      <c r="E137" s="2"/>
      <c r="F137" s="2"/>
      <c r="G137" s="3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25.5" x14ac:dyDescent="0.35">
      <c r="A138" s="2"/>
      <c r="B138" s="2"/>
      <c r="C138" s="2"/>
      <c r="D138" s="2"/>
      <c r="E138" s="2"/>
      <c r="F138" s="2"/>
      <c r="G138" s="3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25.5" x14ac:dyDescent="0.35">
      <c r="A139" s="2"/>
      <c r="B139" s="2"/>
      <c r="C139" s="2"/>
      <c r="D139" s="2"/>
      <c r="E139" s="2"/>
      <c r="F139" s="2"/>
      <c r="G139" s="3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25.5" x14ac:dyDescent="0.35">
      <c r="A140" s="2"/>
      <c r="B140" s="2"/>
      <c r="C140" s="2"/>
      <c r="D140" s="2"/>
      <c r="E140" s="2"/>
      <c r="F140" s="2"/>
      <c r="G140" s="3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25.5" x14ac:dyDescent="0.35">
      <c r="A141" s="2"/>
      <c r="B141" s="2"/>
      <c r="C141" s="2"/>
      <c r="D141" s="2"/>
      <c r="E141" s="2"/>
      <c r="F141" s="2"/>
      <c r="G141" s="3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25.5" x14ac:dyDescent="0.35">
      <c r="A142" s="2"/>
      <c r="B142" s="2"/>
      <c r="C142" s="2"/>
      <c r="D142" s="2"/>
      <c r="E142" s="2"/>
      <c r="F142" s="2"/>
      <c r="G142" s="3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25.5" x14ac:dyDescent="0.35">
      <c r="A143" s="2"/>
      <c r="B143" s="2"/>
      <c r="C143" s="2"/>
      <c r="D143" s="2"/>
      <c r="E143" s="2"/>
      <c r="F143" s="2"/>
      <c r="G143" s="3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25.5" x14ac:dyDescent="0.35">
      <c r="A144" s="2"/>
      <c r="B144" s="2"/>
      <c r="C144" s="2"/>
      <c r="D144" s="2"/>
      <c r="E144" s="2"/>
      <c r="F144" s="2"/>
      <c r="G144" s="3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25.5" x14ac:dyDescent="0.35">
      <c r="A145" s="2"/>
      <c r="B145" s="2"/>
      <c r="C145" s="2"/>
      <c r="D145" s="2"/>
      <c r="E145" s="2"/>
      <c r="F145" s="2"/>
      <c r="G145" s="3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25.5" x14ac:dyDescent="0.35">
      <c r="A146" s="2"/>
      <c r="B146" s="2"/>
      <c r="C146" s="2"/>
      <c r="D146" s="2"/>
      <c r="E146" s="2"/>
      <c r="F146" s="2"/>
      <c r="G146" s="3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25.5" x14ac:dyDescent="0.35">
      <c r="A147" s="2"/>
      <c r="B147" s="2"/>
      <c r="C147" s="2"/>
      <c r="D147" s="2"/>
      <c r="E147" s="2"/>
      <c r="F147" s="2"/>
      <c r="G147" s="3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25.5" x14ac:dyDescent="0.35">
      <c r="A148" s="2"/>
      <c r="B148" s="2"/>
      <c r="C148" s="2"/>
      <c r="D148" s="2"/>
      <c r="E148" s="2"/>
      <c r="F148" s="2"/>
      <c r="G148" s="3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25.5" x14ac:dyDescent="0.35">
      <c r="A149" s="2"/>
      <c r="B149" s="2"/>
      <c r="C149" s="2"/>
      <c r="D149" s="2"/>
      <c r="E149" s="2"/>
      <c r="F149" s="2"/>
      <c r="G149" s="3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25.5" x14ac:dyDescent="0.35">
      <c r="A150" s="2"/>
      <c r="B150" s="2"/>
      <c r="C150" s="2"/>
      <c r="D150" s="2"/>
      <c r="E150" s="2"/>
      <c r="F150" s="2"/>
      <c r="G150" s="3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25.5" x14ac:dyDescent="0.35">
      <c r="A151" s="2"/>
      <c r="B151" s="2"/>
      <c r="C151" s="2"/>
      <c r="D151" s="2"/>
      <c r="E151" s="2"/>
      <c r="F151" s="2"/>
      <c r="G151" s="3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25.5" x14ac:dyDescent="0.35">
      <c r="A152" s="2"/>
      <c r="B152" s="2"/>
      <c r="C152" s="2"/>
      <c r="D152" s="2"/>
      <c r="E152" s="2"/>
      <c r="F152" s="2"/>
      <c r="G152" s="3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25.5" x14ac:dyDescent="0.35">
      <c r="A153" s="2"/>
      <c r="B153" s="2"/>
      <c r="C153" s="2"/>
      <c r="D153" s="2"/>
      <c r="E153" s="2"/>
      <c r="F153" s="2"/>
      <c r="G153" s="3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25.5" x14ac:dyDescent="0.35">
      <c r="A154" s="2"/>
      <c r="B154" s="2"/>
      <c r="C154" s="2"/>
      <c r="D154" s="2"/>
      <c r="E154" s="2"/>
      <c r="F154" s="2"/>
      <c r="G154" s="3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25.5" x14ac:dyDescent="0.35">
      <c r="A155" s="2"/>
      <c r="B155" s="2"/>
      <c r="C155" s="2"/>
      <c r="D155" s="2"/>
      <c r="E155" s="2"/>
      <c r="F155" s="2"/>
      <c r="G155" s="3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25.5" x14ac:dyDescent="0.35">
      <c r="A156" s="2"/>
      <c r="B156" s="2"/>
      <c r="C156" s="2"/>
      <c r="D156" s="2"/>
      <c r="E156" s="2"/>
      <c r="F156" s="2"/>
      <c r="G156" s="3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25.5" x14ac:dyDescent="0.35">
      <c r="A157" s="2"/>
      <c r="B157" s="2"/>
      <c r="C157" s="2"/>
      <c r="D157" s="2"/>
      <c r="E157" s="2"/>
      <c r="F157" s="2"/>
      <c r="G157" s="3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25.5" x14ac:dyDescent="0.35">
      <c r="A158" s="2"/>
      <c r="B158" s="2"/>
      <c r="C158" s="2"/>
      <c r="D158" s="2"/>
      <c r="E158" s="2"/>
      <c r="F158" s="2"/>
      <c r="G158" s="3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25.5" x14ac:dyDescent="0.35">
      <c r="A159" s="2"/>
      <c r="B159" s="2"/>
      <c r="C159" s="2"/>
      <c r="D159" s="2"/>
      <c r="E159" s="2"/>
      <c r="F159" s="2"/>
      <c r="G159" s="3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25.5" x14ac:dyDescent="0.35">
      <c r="A160" s="2"/>
      <c r="B160" s="2"/>
      <c r="C160" s="2"/>
      <c r="D160" s="2"/>
      <c r="E160" s="2"/>
      <c r="F160" s="2"/>
      <c r="G160" s="3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25.5" x14ac:dyDescent="0.35">
      <c r="A161" s="2"/>
      <c r="B161" s="2"/>
      <c r="C161" s="2"/>
      <c r="D161" s="2"/>
      <c r="E161" s="2"/>
      <c r="F161" s="2"/>
      <c r="G161" s="3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25.5" x14ac:dyDescent="0.35">
      <c r="A162" s="2"/>
      <c r="B162" s="2"/>
      <c r="C162" s="2"/>
      <c r="D162" s="2"/>
      <c r="E162" s="2"/>
      <c r="F162" s="2"/>
      <c r="G162" s="3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25.5" x14ac:dyDescent="0.35">
      <c r="A163" s="2"/>
      <c r="B163" s="2"/>
      <c r="C163" s="2"/>
      <c r="D163" s="2"/>
      <c r="E163" s="2"/>
      <c r="F163" s="2"/>
      <c r="G163" s="3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25.5" x14ac:dyDescent="0.35">
      <c r="A164" s="2"/>
      <c r="B164" s="2"/>
      <c r="C164" s="2"/>
      <c r="D164" s="2"/>
      <c r="E164" s="2"/>
      <c r="F164" s="2"/>
      <c r="G164" s="3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25.5" x14ac:dyDescent="0.35">
      <c r="A165" s="2"/>
      <c r="B165" s="2"/>
      <c r="C165" s="2"/>
      <c r="D165" s="2"/>
      <c r="E165" s="2"/>
      <c r="F165" s="2"/>
      <c r="G165" s="3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25.5" x14ac:dyDescent="0.35">
      <c r="A166" s="2"/>
      <c r="B166" s="2"/>
      <c r="C166" s="2"/>
      <c r="D166" s="2"/>
      <c r="E166" s="2"/>
      <c r="F166" s="2"/>
      <c r="G166" s="3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25.5" x14ac:dyDescent="0.35">
      <c r="A167" s="2"/>
      <c r="B167" s="2"/>
      <c r="C167" s="2"/>
      <c r="D167" s="2"/>
      <c r="E167" s="2"/>
      <c r="F167" s="2"/>
      <c r="G167" s="3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25.5" x14ac:dyDescent="0.35">
      <c r="A168" s="2"/>
      <c r="B168" s="2"/>
      <c r="C168" s="2"/>
      <c r="D168" s="2"/>
      <c r="E168" s="2"/>
      <c r="F168" s="2"/>
      <c r="G168" s="3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25.5" x14ac:dyDescent="0.35">
      <c r="A169" s="2"/>
      <c r="B169" s="2"/>
      <c r="C169" s="2"/>
      <c r="D169" s="2"/>
      <c r="E169" s="2"/>
      <c r="F169" s="2"/>
      <c r="G169" s="3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25.5" x14ac:dyDescent="0.35">
      <c r="A170" s="2"/>
      <c r="B170" s="2"/>
      <c r="C170" s="2"/>
      <c r="D170" s="2"/>
      <c r="E170" s="2"/>
      <c r="F170" s="2"/>
      <c r="G170" s="3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25.5" x14ac:dyDescent="0.35">
      <c r="A171" s="2"/>
      <c r="B171" s="2"/>
      <c r="C171" s="2"/>
      <c r="D171" s="2"/>
      <c r="E171" s="2"/>
      <c r="F171" s="2"/>
      <c r="G171" s="3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25.5" x14ac:dyDescent="0.35">
      <c r="A172" s="2"/>
      <c r="B172" s="2"/>
      <c r="C172" s="2"/>
      <c r="D172" s="2"/>
      <c r="E172" s="2"/>
      <c r="F172" s="2"/>
      <c r="G172" s="3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25.5" x14ac:dyDescent="0.35">
      <c r="A173" s="2"/>
      <c r="B173" s="2"/>
      <c r="C173" s="2"/>
      <c r="D173" s="2"/>
      <c r="E173" s="2"/>
      <c r="F173" s="2"/>
      <c r="G173" s="3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25.5" x14ac:dyDescent="0.35">
      <c r="A174" s="2"/>
      <c r="B174" s="2"/>
      <c r="C174" s="2"/>
      <c r="D174" s="2"/>
      <c r="E174" s="2"/>
      <c r="F174" s="2"/>
      <c r="G174" s="3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25.5" x14ac:dyDescent="0.35">
      <c r="A175" s="2"/>
      <c r="B175" s="2"/>
      <c r="C175" s="2"/>
      <c r="D175" s="2"/>
      <c r="E175" s="2"/>
      <c r="F175" s="2"/>
      <c r="G175" s="3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25.5" x14ac:dyDescent="0.35">
      <c r="A176" s="2"/>
      <c r="B176" s="2"/>
      <c r="C176" s="2"/>
      <c r="D176" s="2"/>
      <c r="E176" s="2"/>
      <c r="F176" s="2"/>
      <c r="G176" s="3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25.5" x14ac:dyDescent="0.35">
      <c r="A177" s="2"/>
      <c r="B177" s="2"/>
      <c r="C177" s="2"/>
      <c r="D177" s="2"/>
      <c r="E177" s="2"/>
      <c r="F177" s="2"/>
      <c r="G177" s="3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25.5" x14ac:dyDescent="0.35">
      <c r="A178" s="2"/>
      <c r="B178" s="2"/>
      <c r="C178" s="2"/>
      <c r="D178" s="2"/>
      <c r="E178" s="2"/>
      <c r="F178" s="2"/>
      <c r="G178" s="3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25.5" x14ac:dyDescent="0.35">
      <c r="A179" s="2"/>
      <c r="B179" s="2"/>
      <c r="C179" s="2"/>
      <c r="D179" s="2"/>
      <c r="E179" s="2"/>
      <c r="F179" s="2"/>
      <c r="G179" s="3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25.5" x14ac:dyDescent="0.35">
      <c r="A180" s="2"/>
      <c r="B180" s="2"/>
      <c r="C180" s="2"/>
      <c r="D180" s="2"/>
      <c r="E180" s="2"/>
      <c r="F180" s="2"/>
      <c r="G180" s="3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25.5" x14ac:dyDescent="0.35">
      <c r="A181" s="2"/>
      <c r="B181" s="2"/>
      <c r="C181" s="2"/>
      <c r="D181" s="2"/>
      <c r="E181" s="2"/>
      <c r="F181" s="2"/>
      <c r="G181" s="3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25.5" x14ac:dyDescent="0.35">
      <c r="A182" s="2"/>
      <c r="B182" s="2"/>
      <c r="C182" s="2"/>
      <c r="D182" s="2"/>
      <c r="E182" s="2"/>
      <c r="F182" s="2"/>
      <c r="G182" s="3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25.5" x14ac:dyDescent="0.35">
      <c r="A183" s="2"/>
      <c r="B183" s="2"/>
      <c r="C183" s="2"/>
      <c r="D183" s="2"/>
      <c r="E183" s="2"/>
      <c r="F183" s="2"/>
      <c r="G183" s="3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25.5" x14ac:dyDescent="0.35">
      <c r="A184" s="2"/>
      <c r="B184" s="2"/>
      <c r="C184" s="2"/>
      <c r="D184" s="2"/>
      <c r="E184" s="2"/>
      <c r="F184" s="2"/>
      <c r="G184" s="3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25.5" x14ac:dyDescent="0.35">
      <c r="A185" s="2"/>
      <c r="B185" s="2"/>
      <c r="C185" s="2"/>
      <c r="D185" s="2"/>
      <c r="E185" s="2"/>
      <c r="F185" s="2"/>
      <c r="G185" s="3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25.5" x14ac:dyDescent="0.35">
      <c r="A186" s="2"/>
      <c r="B186" s="2"/>
      <c r="C186" s="2"/>
      <c r="D186" s="2"/>
      <c r="E186" s="2"/>
      <c r="F186" s="2"/>
      <c r="G186" s="3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25.5" x14ac:dyDescent="0.35">
      <c r="A187" s="2"/>
      <c r="B187" s="2"/>
      <c r="C187" s="2"/>
      <c r="D187" s="2"/>
      <c r="E187" s="2"/>
      <c r="F187" s="2"/>
      <c r="G187" s="3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25.5" x14ac:dyDescent="0.35">
      <c r="A188" s="2"/>
      <c r="B188" s="2"/>
      <c r="C188" s="2"/>
      <c r="D188" s="2"/>
      <c r="E188" s="2"/>
      <c r="F188" s="2"/>
      <c r="G188" s="3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25.5" x14ac:dyDescent="0.35">
      <c r="A189" s="2"/>
      <c r="B189" s="2"/>
      <c r="C189" s="2"/>
      <c r="D189" s="2"/>
      <c r="E189" s="2"/>
      <c r="F189" s="2"/>
      <c r="G189" s="3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25.5" x14ac:dyDescent="0.35">
      <c r="A190" s="2"/>
      <c r="B190" s="2"/>
      <c r="C190" s="2"/>
      <c r="D190" s="2"/>
      <c r="E190" s="2"/>
      <c r="F190" s="2"/>
      <c r="G190" s="3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25.5" x14ac:dyDescent="0.35">
      <c r="A191" s="2"/>
      <c r="B191" s="2"/>
      <c r="C191" s="2"/>
      <c r="D191" s="2"/>
      <c r="E191" s="2"/>
      <c r="F191" s="2"/>
      <c r="G191" s="3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25.5" x14ac:dyDescent="0.35">
      <c r="A192" s="2"/>
      <c r="B192" s="2"/>
      <c r="C192" s="2"/>
      <c r="D192" s="2"/>
      <c r="E192" s="2"/>
      <c r="F192" s="2"/>
      <c r="G192" s="3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25.5" x14ac:dyDescent="0.35">
      <c r="A193" s="2"/>
      <c r="B193" s="2"/>
      <c r="C193" s="2"/>
      <c r="D193" s="2"/>
      <c r="E193" s="2"/>
      <c r="F193" s="2"/>
      <c r="G193" s="3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25.5" x14ac:dyDescent="0.35">
      <c r="A194" s="2"/>
      <c r="B194" s="2"/>
      <c r="C194" s="2"/>
      <c r="D194" s="2"/>
      <c r="E194" s="2"/>
      <c r="F194" s="2"/>
      <c r="G194" s="3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25.5" x14ac:dyDescent="0.35">
      <c r="A195" s="2"/>
      <c r="B195" s="2"/>
      <c r="C195" s="2"/>
      <c r="D195" s="2"/>
      <c r="E195" s="2"/>
      <c r="F195" s="2"/>
      <c r="G195" s="3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25.5" x14ac:dyDescent="0.35">
      <c r="A196" s="2"/>
      <c r="B196" s="2"/>
      <c r="C196" s="2"/>
      <c r="D196" s="2"/>
      <c r="E196" s="2"/>
      <c r="F196" s="2"/>
      <c r="G196" s="3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25.5" x14ac:dyDescent="0.35">
      <c r="A197" s="2"/>
      <c r="B197" s="2"/>
      <c r="C197" s="2"/>
      <c r="D197" s="2"/>
      <c r="E197" s="2"/>
      <c r="F197" s="2"/>
      <c r="G197" s="3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25.5" x14ac:dyDescent="0.35">
      <c r="A198" s="2"/>
      <c r="B198" s="2"/>
      <c r="C198" s="2"/>
      <c r="D198" s="2"/>
      <c r="E198" s="2"/>
      <c r="F198" s="2"/>
      <c r="G198" s="3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25.5" x14ac:dyDescent="0.35">
      <c r="A199" s="2"/>
      <c r="B199" s="2"/>
      <c r="C199" s="2"/>
      <c r="D199" s="2"/>
      <c r="E199" s="2"/>
      <c r="F199" s="2"/>
      <c r="G199" s="3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25.5" x14ac:dyDescent="0.35">
      <c r="A200" s="2"/>
      <c r="B200" s="2"/>
      <c r="C200" s="2"/>
      <c r="D200" s="2"/>
      <c r="E200" s="2"/>
      <c r="F200" s="2"/>
      <c r="G200" s="3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25.5" x14ac:dyDescent="0.35">
      <c r="A201" s="2"/>
      <c r="B201" s="2"/>
      <c r="C201" s="2"/>
      <c r="D201" s="2"/>
      <c r="E201" s="2"/>
      <c r="F201" s="2"/>
      <c r="G201" s="3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25.5" x14ac:dyDescent="0.35">
      <c r="A202" s="2"/>
      <c r="B202" s="2"/>
      <c r="C202" s="2"/>
      <c r="D202" s="2"/>
      <c r="E202" s="2"/>
      <c r="F202" s="2"/>
      <c r="G202" s="3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25.5" x14ac:dyDescent="0.35">
      <c r="A203" s="2"/>
      <c r="B203" s="2"/>
      <c r="C203" s="2"/>
      <c r="D203" s="2"/>
      <c r="E203" s="2"/>
      <c r="F203" s="2"/>
      <c r="G203" s="3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25.5" x14ac:dyDescent="0.35">
      <c r="A204" s="2"/>
      <c r="B204" s="2"/>
      <c r="C204" s="2"/>
      <c r="D204" s="2"/>
      <c r="E204" s="2"/>
      <c r="F204" s="2"/>
      <c r="G204" s="3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25.5" x14ac:dyDescent="0.35">
      <c r="A205" s="2"/>
      <c r="B205" s="2"/>
      <c r="C205" s="2"/>
      <c r="D205" s="2"/>
      <c r="E205" s="2"/>
      <c r="F205" s="2"/>
      <c r="G205" s="3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25.5" x14ac:dyDescent="0.35">
      <c r="A206" s="2"/>
      <c r="B206" s="2"/>
      <c r="C206" s="2"/>
      <c r="D206" s="2"/>
      <c r="E206" s="2"/>
      <c r="F206" s="2"/>
      <c r="G206" s="3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25.5" x14ac:dyDescent="0.35">
      <c r="A207" s="2"/>
      <c r="B207" s="2"/>
      <c r="C207" s="2"/>
      <c r="D207" s="2"/>
      <c r="E207" s="2"/>
      <c r="F207" s="2"/>
      <c r="G207" s="3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25.5" x14ac:dyDescent="0.35">
      <c r="A208" s="2"/>
      <c r="B208" s="2"/>
      <c r="C208" s="2"/>
      <c r="D208" s="2"/>
      <c r="E208" s="2"/>
      <c r="F208" s="2"/>
      <c r="G208" s="3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25.5" x14ac:dyDescent="0.35">
      <c r="A209" s="2"/>
      <c r="B209" s="2"/>
      <c r="C209" s="2"/>
      <c r="D209" s="2"/>
      <c r="E209" s="2"/>
      <c r="F209" s="2"/>
      <c r="G209" s="3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25.5" x14ac:dyDescent="0.35">
      <c r="A210" s="2"/>
      <c r="B210" s="2"/>
      <c r="C210" s="2"/>
      <c r="D210" s="2"/>
      <c r="E210" s="2"/>
      <c r="F210" s="2"/>
      <c r="G210" s="3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25.5" x14ac:dyDescent="0.35">
      <c r="A211" s="2"/>
      <c r="B211" s="2"/>
      <c r="C211" s="2"/>
      <c r="D211" s="2"/>
      <c r="E211" s="2"/>
      <c r="F211" s="2"/>
      <c r="G211" s="3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25.5" x14ac:dyDescent="0.35">
      <c r="A212" s="2"/>
      <c r="B212" s="2"/>
      <c r="C212" s="2"/>
      <c r="D212" s="2"/>
      <c r="E212" s="2"/>
      <c r="F212" s="2"/>
      <c r="G212" s="3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25.5" x14ac:dyDescent="0.35">
      <c r="A213" s="2"/>
      <c r="B213" s="2"/>
      <c r="C213" s="2"/>
      <c r="D213" s="2"/>
      <c r="E213" s="2"/>
      <c r="F213" s="2"/>
      <c r="G213" s="3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25.5" x14ac:dyDescent="0.35">
      <c r="A214" s="2"/>
      <c r="B214" s="2"/>
      <c r="C214" s="2"/>
      <c r="D214" s="2"/>
      <c r="E214" s="2"/>
      <c r="F214" s="2"/>
      <c r="G214" s="3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25.5" x14ac:dyDescent="0.35">
      <c r="A215" s="2"/>
      <c r="B215" s="2"/>
      <c r="C215" s="2"/>
      <c r="D215" s="2"/>
      <c r="E215" s="2"/>
      <c r="F215" s="2"/>
      <c r="G215" s="3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25.5" x14ac:dyDescent="0.35">
      <c r="A216" s="2"/>
      <c r="B216" s="2"/>
      <c r="C216" s="2"/>
      <c r="D216" s="2"/>
      <c r="E216" s="2"/>
      <c r="F216" s="2"/>
      <c r="G216" s="3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25.5" x14ac:dyDescent="0.35">
      <c r="A217" s="2"/>
      <c r="B217" s="2"/>
      <c r="C217" s="2"/>
      <c r="D217" s="2"/>
      <c r="E217" s="2"/>
      <c r="F217" s="2"/>
      <c r="G217" s="3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25.5" x14ac:dyDescent="0.35">
      <c r="A218" s="2"/>
      <c r="B218" s="2"/>
      <c r="C218" s="2"/>
      <c r="D218" s="2"/>
      <c r="E218" s="2"/>
      <c r="F218" s="2"/>
      <c r="G218" s="3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25.5" x14ac:dyDescent="0.35">
      <c r="A219" s="2"/>
      <c r="B219" s="2"/>
      <c r="C219" s="2"/>
      <c r="D219" s="2"/>
      <c r="E219" s="2"/>
      <c r="F219" s="2"/>
      <c r="G219" s="3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25.5" x14ac:dyDescent="0.35">
      <c r="A220" s="2"/>
      <c r="B220" s="2"/>
      <c r="C220" s="2"/>
      <c r="D220" s="2"/>
      <c r="E220" s="2"/>
      <c r="F220" s="2"/>
      <c r="G220" s="3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25.5" x14ac:dyDescent="0.35">
      <c r="A221" s="2"/>
      <c r="B221" s="2"/>
      <c r="C221" s="2"/>
      <c r="D221" s="2"/>
      <c r="E221" s="2"/>
      <c r="F221" s="2"/>
      <c r="G221" s="3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25.5" x14ac:dyDescent="0.35">
      <c r="A222" s="2"/>
      <c r="B222" s="2"/>
      <c r="C222" s="2"/>
      <c r="D222" s="2"/>
      <c r="E222" s="2"/>
      <c r="F222" s="2"/>
      <c r="G222" s="3"/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25.5" x14ac:dyDescent="0.35">
      <c r="A223" s="2"/>
      <c r="B223" s="2"/>
      <c r="C223" s="2"/>
      <c r="D223" s="2"/>
      <c r="E223" s="2"/>
      <c r="F223" s="2"/>
      <c r="G223" s="3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25.5" x14ac:dyDescent="0.35">
      <c r="A224" s="2"/>
      <c r="B224" s="2"/>
      <c r="C224" s="2"/>
      <c r="D224" s="2"/>
      <c r="E224" s="2"/>
      <c r="F224" s="2"/>
      <c r="G224" s="3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25.5" x14ac:dyDescent="0.35">
      <c r="A225" s="2"/>
      <c r="B225" s="2"/>
      <c r="C225" s="2"/>
      <c r="D225" s="2"/>
      <c r="E225" s="2"/>
      <c r="F225" s="2"/>
      <c r="G225" s="3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25.5" x14ac:dyDescent="0.35">
      <c r="A226" s="2"/>
      <c r="B226" s="2"/>
      <c r="C226" s="2"/>
      <c r="D226" s="2"/>
      <c r="E226" s="2"/>
      <c r="F226" s="2"/>
      <c r="G226" s="3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25.5" x14ac:dyDescent="0.35">
      <c r="A227" s="2"/>
      <c r="B227" s="2"/>
      <c r="C227" s="2"/>
      <c r="D227" s="2"/>
      <c r="E227" s="2"/>
      <c r="F227" s="2"/>
      <c r="G227" s="3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25.5" x14ac:dyDescent="0.35">
      <c r="A228" s="2"/>
      <c r="B228" s="2"/>
      <c r="C228" s="2"/>
      <c r="D228" s="2"/>
      <c r="E228" s="2"/>
      <c r="F228" s="2"/>
      <c r="G228" s="3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25.5" x14ac:dyDescent="0.35">
      <c r="A229" s="2"/>
      <c r="B229" s="2"/>
      <c r="C229" s="2"/>
      <c r="D229" s="2"/>
      <c r="E229" s="2"/>
      <c r="F229" s="2"/>
      <c r="G229" s="3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25.5" x14ac:dyDescent="0.35">
      <c r="A230" s="2"/>
      <c r="B230" s="2"/>
      <c r="C230" s="2"/>
      <c r="D230" s="2"/>
      <c r="E230" s="2"/>
      <c r="F230" s="2"/>
      <c r="G230" s="3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25.5" x14ac:dyDescent="0.35">
      <c r="A231" s="2"/>
      <c r="B231" s="2"/>
      <c r="C231" s="2"/>
      <c r="D231" s="2"/>
      <c r="E231" s="2"/>
      <c r="F231" s="2"/>
      <c r="G231" s="3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25.5" x14ac:dyDescent="0.35">
      <c r="A232" s="2"/>
      <c r="B232" s="2"/>
      <c r="C232" s="2"/>
      <c r="D232" s="2"/>
      <c r="E232" s="2"/>
      <c r="F232" s="2"/>
      <c r="G232" s="3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25.5" x14ac:dyDescent="0.35">
      <c r="A233" s="2"/>
      <c r="B233" s="2"/>
      <c r="C233" s="2"/>
      <c r="D233" s="2"/>
      <c r="E233" s="2"/>
      <c r="F233" s="2"/>
      <c r="G233" s="3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25.5" x14ac:dyDescent="0.35">
      <c r="A234" s="2"/>
      <c r="B234" s="2"/>
      <c r="C234" s="2"/>
      <c r="D234" s="2"/>
      <c r="E234" s="2"/>
      <c r="F234" s="2"/>
      <c r="G234" s="3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25.5" x14ac:dyDescent="0.35">
      <c r="A235" s="2"/>
      <c r="B235" s="2"/>
      <c r="C235" s="2"/>
      <c r="D235" s="2"/>
      <c r="E235" s="2"/>
      <c r="F235" s="2"/>
      <c r="G235" s="3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25.5" x14ac:dyDescent="0.35">
      <c r="A236" s="2"/>
      <c r="B236" s="2"/>
      <c r="C236" s="2"/>
      <c r="D236" s="2"/>
      <c r="E236" s="2"/>
      <c r="F236" s="2"/>
      <c r="G236" s="3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25.5" x14ac:dyDescent="0.35">
      <c r="A237" s="2"/>
      <c r="B237" s="2"/>
      <c r="C237" s="2"/>
      <c r="D237" s="2"/>
      <c r="E237" s="2"/>
      <c r="F237" s="2"/>
      <c r="G237" s="3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25.5" x14ac:dyDescent="0.35">
      <c r="A238" s="2"/>
      <c r="B238" s="2"/>
      <c r="C238" s="2"/>
      <c r="D238" s="2"/>
      <c r="E238" s="2"/>
      <c r="F238" s="2"/>
      <c r="G238" s="3"/>
      <c r="H238" s="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25.5" x14ac:dyDescent="0.35">
      <c r="A239" s="2"/>
      <c r="B239" s="2"/>
      <c r="C239" s="2"/>
      <c r="D239" s="2"/>
      <c r="E239" s="2"/>
      <c r="F239" s="2"/>
      <c r="G239" s="3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25.5" x14ac:dyDescent="0.35">
      <c r="A240" s="2"/>
      <c r="B240" s="2"/>
      <c r="C240" s="2"/>
      <c r="D240" s="2"/>
      <c r="E240" s="2"/>
      <c r="F240" s="2"/>
      <c r="G240" s="3"/>
      <c r="H240" s="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25.5" x14ac:dyDescent="0.35">
      <c r="A241" s="2"/>
      <c r="B241" s="2"/>
      <c r="C241" s="2"/>
      <c r="D241" s="2"/>
      <c r="E241" s="2"/>
      <c r="F241" s="2"/>
      <c r="G241" s="3"/>
      <c r="H241" s="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25.5" x14ac:dyDescent="0.35">
      <c r="A242" s="2"/>
      <c r="B242" s="2"/>
      <c r="C242" s="2"/>
      <c r="D242" s="2"/>
      <c r="E242" s="2"/>
      <c r="F242" s="2"/>
      <c r="G242" s="3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25.5" x14ac:dyDescent="0.35">
      <c r="A243" s="2"/>
      <c r="B243" s="2"/>
      <c r="C243" s="2"/>
      <c r="D243" s="2"/>
      <c r="E243" s="2"/>
      <c r="F243" s="2"/>
      <c r="G243" s="3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25.5" x14ac:dyDescent="0.35">
      <c r="A244" s="2"/>
      <c r="B244" s="2"/>
      <c r="C244" s="2"/>
      <c r="D244" s="2"/>
      <c r="E244" s="2"/>
      <c r="F244" s="2"/>
      <c r="G244" s="3"/>
      <c r="H244" s="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25.5" x14ac:dyDescent="0.35">
      <c r="A245" s="2"/>
      <c r="B245" s="2"/>
      <c r="C245" s="2"/>
      <c r="D245" s="2"/>
      <c r="E245" s="2"/>
      <c r="F245" s="2"/>
      <c r="G245" s="3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25.5" x14ac:dyDescent="0.35">
      <c r="A246" s="2"/>
      <c r="B246" s="2"/>
      <c r="C246" s="2"/>
      <c r="D246" s="2"/>
      <c r="E246" s="2"/>
      <c r="F246" s="2"/>
      <c r="G246" s="3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25.5" x14ac:dyDescent="0.35">
      <c r="A247" s="2"/>
      <c r="B247" s="2"/>
      <c r="C247" s="2"/>
      <c r="D247" s="2"/>
      <c r="E247" s="2"/>
      <c r="F247" s="2"/>
      <c r="G247" s="3"/>
      <c r="H247" s="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25.5" x14ac:dyDescent="0.35">
      <c r="A248" s="2"/>
      <c r="B248" s="2"/>
      <c r="C248" s="2"/>
      <c r="D248" s="2"/>
      <c r="E248" s="2"/>
      <c r="F248" s="2"/>
      <c r="G248" s="3"/>
      <c r="H248" s="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25.5" x14ac:dyDescent="0.35">
      <c r="A249" s="2"/>
      <c r="B249" s="2"/>
      <c r="C249" s="2"/>
      <c r="D249" s="2"/>
      <c r="E249" s="2"/>
      <c r="F249" s="2"/>
      <c r="G249" s="3"/>
      <c r="H249" s="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25.5" x14ac:dyDescent="0.35">
      <c r="A250" s="2"/>
      <c r="B250" s="2"/>
      <c r="C250" s="2"/>
      <c r="D250" s="2"/>
      <c r="E250" s="2"/>
      <c r="F250" s="2"/>
      <c r="G250" s="3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25.5" x14ac:dyDescent="0.35">
      <c r="A251" s="2"/>
      <c r="B251" s="2"/>
      <c r="C251" s="2"/>
      <c r="D251" s="2"/>
      <c r="E251" s="2"/>
      <c r="F251" s="2"/>
      <c r="G251" s="3"/>
      <c r="H251" s="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25.5" x14ac:dyDescent="0.35">
      <c r="A252" s="2"/>
      <c r="B252" s="2"/>
      <c r="C252" s="2"/>
      <c r="D252" s="2"/>
      <c r="E252" s="2"/>
      <c r="F252" s="2"/>
      <c r="G252" s="3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25.5" x14ac:dyDescent="0.35">
      <c r="A253" s="2"/>
      <c r="B253" s="2"/>
      <c r="C253" s="2"/>
      <c r="D253" s="2"/>
      <c r="E253" s="2"/>
      <c r="F253" s="2"/>
      <c r="G253" s="3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25.5" x14ac:dyDescent="0.35">
      <c r="A254" s="2"/>
      <c r="B254" s="2"/>
      <c r="C254" s="2"/>
      <c r="D254" s="2"/>
      <c r="E254" s="2"/>
      <c r="F254" s="2"/>
      <c r="G254" s="3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25.5" x14ac:dyDescent="0.35">
      <c r="A255" s="2"/>
      <c r="B255" s="2"/>
      <c r="C255" s="2"/>
      <c r="D255" s="2"/>
      <c r="E255" s="2"/>
      <c r="F255" s="2"/>
      <c r="G255" s="3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25.5" x14ac:dyDescent="0.35">
      <c r="A256" s="2"/>
      <c r="B256" s="2"/>
      <c r="C256" s="2"/>
      <c r="D256" s="2"/>
      <c r="E256" s="2"/>
      <c r="F256" s="2"/>
      <c r="G256" s="3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25.5" x14ac:dyDescent="0.35">
      <c r="A257" s="2"/>
      <c r="B257" s="2"/>
      <c r="C257" s="2"/>
      <c r="D257" s="2"/>
      <c r="E257" s="2"/>
      <c r="F257" s="2"/>
      <c r="G257" s="3"/>
      <c r="H257" s="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25.5" x14ac:dyDescent="0.35">
      <c r="A258" s="2"/>
      <c r="B258" s="2"/>
      <c r="C258" s="2"/>
      <c r="D258" s="2"/>
      <c r="E258" s="2"/>
      <c r="F258" s="2"/>
      <c r="G258" s="3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25.5" x14ac:dyDescent="0.35">
      <c r="A259" s="2"/>
      <c r="B259" s="2"/>
      <c r="C259" s="2"/>
      <c r="D259" s="2"/>
      <c r="E259" s="2"/>
      <c r="F259" s="2"/>
      <c r="G259" s="3"/>
      <c r="H259" s="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25.5" x14ac:dyDescent="0.35">
      <c r="A260" s="2"/>
      <c r="B260" s="2"/>
      <c r="C260" s="2"/>
      <c r="D260" s="2"/>
      <c r="E260" s="2"/>
      <c r="F260" s="2"/>
      <c r="G260" s="3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25.5" x14ac:dyDescent="0.35">
      <c r="A261" s="2"/>
      <c r="B261" s="2"/>
      <c r="C261" s="2"/>
      <c r="D261" s="2"/>
      <c r="E261" s="2"/>
      <c r="F261" s="2"/>
      <c r="G261" s="3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25.5" x14ac:dyDescent="0.35">
      <c r="A262" s="2"/>
      <c r="B262" s="2"/>
      <c r="C262" s="2"/>
      <c r="D262" s="2"/>
      <c r="E262" s="2"/>
      <c r="F262" s="2"/>
      <c r="G262" s="3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25.5" x14ac:dyDescent="0.35">
      <c r="A263" s="2"/>
      <c r="B263" s="2"/>
      <c r="C263" s="2"/>
      <c r="D263" s="2"/>
      <c r="E263" s="2"/>
      <c r="F263" s="2"/>
      <c r="G263" s="3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25.5" x14ac:dyDescent="0.35">
      <c r="A264" s="2"/>
      <c r="B264" s="2"/>
      <c r="C264" s="2"/>
      <c r="D264" s="2"/>
      <c r="E264" s="2"/>
      <c r="F264" s="2"/>
      <c r="G264" s="3"/>
      <c r="H264" s="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25.5" x14ac:dyDescent="0.35">
      <c r="A265" s="2"/>
      <c r="B265" s="2"/>
      <c r="C265" s="2"/>
      <c r="D265" s="2"/>
      <c r="E265" s="2"/>
      <c r="F265" s="2"/>
      <c r="G265" s="3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25.5" x14ac:dyDescent="0.35">
      <c r="A266" s="2"/>
      <c r="B266" s="2"/>
      <c r="C266" s="2"/>
      <c r="D266" s="2"/>
      <c r="E266" s="2"/>
      <c r="F266" s="2"/>
      <c r="G266" s="3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25.5" x14ac:dyDescent="0.35">
      <c r="A267" s="2"/>
      <c r="B267" s="2"/>
      <c r="C267" s="2"/>
      <c r="D267" s="2"/>
      <c r="E267" s="2"/>
      <c r="F267" s="2"/>
      <c r="G267" s="3"/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25.5" x14ac:dyDescent="0.35">
      <c r="A268" s="2"/>
      <c r="B268" s="2"/>
      <c r="C268" s="2"/>
      <c r="D268" s="2"/>
      <c r="E268" s="2"/>
      <c r="F268" s="2"/>
      <c r="G268" s="3"/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25.5" x14ac:dyDescent="0.35">
      <c r="A269" s="2"/>
      <c r="B269" s="2"/>
      <c r="C269" s="2"/>
      <c r="D269" s="2"/>
      <c r="E269" s="2"/>
      <c r="F269" s="2"/>
      <c r="G269" s="3"/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25.5" x14ac:dyDescent="0.35">
      <c r="A270" s="2"/>
      <c r="B270" s="2"/>
      <c r="C270" s="2"/>
      <c r="D270" s="2"/>
      <c r="E270" s="2"/>
      <c r="F270" s="2"/>
      <c r="G270" s="3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25.5" x14ac:dyDescent="0.35">
      <c r="A271" s="2"/>
      <c r="B271" s="2"/>
      <c r="C271" s="2"/>
      <c r="D271" s="2"/>
      <c r="E271" s="2"/>
      <c r="F271" s="2"/>
      <c r="G271" s="3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25.5" x14ac:dyDescent="0.35">
      <c r="A272" s="2"/>
      <c r="B272" s="2"/>
      <c r="C272" s="2"/>
      <c r="D272" s="2"/>
      <c r="E272" s="2"/>
      <c r="F272" s="2"/>
      <c r="G272" s="3"/>
      <c r="H272" s="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25.5" x14ac:dyDescent="0.35">
      <c r="A273" s="2"/>
      <c r="B273" s="2"/>
      <c r="C273" s="2"/>
      <c r="D273" s="2"/>
      <c r="E273" s="2"/>
      <c r="F273" s="2"/>
      <c r="G273" s="3"/>
      <c r="H273" s="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25.5" x14ac:dyDescent="0.35">
      <c r="A274" s="2"/>
      <c r="B274" s="2"/>
      <c r="C274" s="2"/>
      <c r="D274" s="2"/>
      <c r="E274" s="2"/>
      <c r="F274" s="2"/>
      <c r="G274" s="3"/>
      <c r="H274" s="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25.5" x14ac:dyDescent="0.35">
      <c r="A275" s="2"/>
      <c r="B275" s="2"/>
      <c r="C275" s="2"/>
      <c r="D275" s="2"/>
      <c r="E275" s="2"/>
      <c r="F275" s="2"/>
      <c r="G275" s="3"/>
      <c r="H275" s="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25.5" x14ac:dyDescent="0.35">
      <c r="A276" s="2"/>
      <c r="B276" s="2"/>
      <c r="C276" s="2"/>
      <c r="D276" s="2"/>
      <c r="E276" s="2"/>
      <c r="F276" s="2"/>
      <c r="G276" s="3"/>
      <c r="H276" s="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25.5" x14ac:dyDescent="0.35">
      <c r="A277" s="2"/>
      <c r="B277" s="2"/>
      <c r="C277" s="2"/>
      <c r="D277" s="2"/>
      <c r="E277" s="2"/>
      <c r="F277" s="2"/>
      <c r="G277" s="3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25.5" x14ac:dyDescent="0.35">
      <c r="A278" s="2"/>
      <c r="B278" s="2"/>
      <c r="C278" s="2"/>
      <c r="D278" s="2"/>
      <c r="E278" s="2"/>
      <c r="F278" s="2"/>
      <c r="G278" s="3"/>
      <c r="H278" s="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25.5" x14ac:dyDescent="0.35">
      <c r="A279" s="2"/>
      <c r="B279" s="2"/>
      <c r="C279" s="2"/>
      <c r="D279" s="2"/>
      <c r="E279" s="2"/>
      <c r="F279" s="2"/>
      <c r="G279" s="3"/>
      <c r="H279" s="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25.5" x14ac:dyDescent="0.35">
      <c r="A280" s="2"/>
      <c r="B280" s="2"/>
      <c r="C280" s="2"/>
      <c r="D280" s="2"/>
      <c r="E280" s="2"/>
      <c r="F280" s="2"/>
      <c r="G280" s="3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25.5" x14ac:dyDescent="0.35">
      <c r="A281" s="2"/>
      <c r="B281" s="2"/>
      <c r="C281" s="2"/>
      <c r="D281" s="2"/>
      <c r="E281" s="2"/>
      <c r="F281" s="2"/>
      <c r="G281" s="3"/>
      <c r="H281" s="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25.5" x14ac:dyDescent="0.35">
      <c r="A282" s="2"/>
      <c r="B282" s="2"/>
      <c r="C282" s="2"/>
      <c r="D282" s="2"/>
      <c r="E282" s="2"/>
      <c r="F282" s="2"/>
      <c r="G282" s="3"/>
      <c r="H282" s="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25.5" x14ac:dyDescent="0.35">
      <c r="A283" s="2"/>
      <c r="B283" s="2"/>
      <c r="C283" s="2"/>
      <c r="D283" s="2"/>
      <c r="E283" s="2"/>
      <c r="F283" s="2"/>
      <c r="G283" s="3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25.5" x14ac:dyDescent="0.35">
      <c r="A284" s="2"/>
      <c r="B284" s="2"/>
      <c r="C284" s="2"/>
      <c r="D284" s="2"/>
      <c r="E284" s="2"/>
      <c r="F284" s="2"/>
      <c r="G284" s="3"/>
      <c r="H284" s="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25.5" x14ac:dyDescent="0.35">
      <c r="A285" s="2"/>
      <c r="B285" s="2"/>
      <c r="C285" s="2"/>
      <c r="D285" s="2"/>
      <c r="E285" s="2"/>
      <c r="F285" s="2"/>
      <c r="G285" s="3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25.5" x14ac:dyDescent="0.35">
      <c r="A286" s="2"/>
      <c r="B286" s="2"/>
      <c r="C286" s="2"/>
      <c r="D286" s="2"/>
      <c r="E286" s="2"/>
      <c r="F286" s="2"/>
      <c r="G286" s="3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25.5" x14ac:dyDescent="0.35">
      <c r="A287" s="2"/>
      <c r="B287" s="2"/>
      <c r="C287" s="2"/>
      <c r="D287" s="2"/>
      <c r="E287" s="2"/>
      <c r="F287" s="2"/>
      <c r="G287" s="3"/>
      <c r="H287" s="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25.5" x14ac:dyDescent="0.35">
      <c r="A288" s="2"/>
      <c r="B288" s="2"/>
      <c r="C288" s="2"/>
      <c r="D288" s="2"/>
      <c r="E288" s="2"/>
      <c r="F288" s="2"/>
      <c r="G288" s="3"/>
      <c r="H288" s="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25.5" x14ac:dyDescent="0.35">
      <c r="A289" s="2"/>
      <c r="B289" s="2"/>
      <c r="C289" s="2"/>
      <c r="D289" s="2"/>
      <c r="E289" s="2"/>
      <c r="F289" s="2"/>
      <c r="G289" s="3"/>
      <c r="H289" s="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25.5" x14ac:dyDescent="0.35">
      <c r="A290" s="2"/>
      <c r="B290" s="2"/>
      <c r="C290" s="2"/>
      <c r="D290" s="2"/>
      <c r="E290" s="2"/>
      <c r="F290" s="2"/>
      <c r="G290" s="3"/>
      <c r="H290" s="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25.5" x14ac:dyDescent="0.35">
      <c r="A291" s="2"/>
      <c r="B291" s="2"/>
      <c r="C291" s="2"/>
      <c r="D291" s="2"/>
      <c r="E291" s="2"/>
      <c r="F291" s="2"/>
      <c r="G291" s="3"/>
      <c r="H291" s="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25.5" x14ac:dyDescent="0.35">
      <c r="A292" s="2"/>
      <c r="B292" s="2"/>
      <c r="C292" s="2"/>
      <c r="D292" s="2"/>
      <c r="E292" s="2"/>
      <c r="F292" s="2"/>
      <c r="G292" s="3"/>
      <c r="H292" s="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25.5" x14ac:dyDescent="0.35">
      <c r="A293" s="2"/>
      <c r="B293" s="2"/>
      <c r="C293" s="2"/>
      <c r="D293" s="2"/>
      <c r="E293" s="2"/>
      <c r="F293" s="2"/>
      <c r="G293" s="3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25.5" x14ac:dyDescent="0.35">
      <c r="A294" s="2"/>
      <c r="B294" s="2"/>
      <c r="C294" s="2"/>
      <c r="D294" s="2"/>
      <c r="E294" s="2"/>
      <c r="F294" s="2"/>
      <c r="G294" s="3"/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25.5" x14ac:dyDescent="0.35">
      <c r="A295" s="2"/>
      <c r="B295" s="2"/>
      <c r="C295" s="2"/>
      <c r="D295" s="2"/>
      <c r="E295" s="2"/>
      <c r="F295" s="2"/>
      <c r="G295" s="3"/>
      <c r="H295" s="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25.5" x14ac:dyDescent="0.35">
      <c r="A296" s="2"/>
      <c r="B296" s="2"/>
      <c r="C296" s="2"/>
      <c r="D296" s="2"/>
      <c r="E296" s="2"/>
      <c r="F296" s="2"/>
      <c r="G296" s="3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25.5" x14ac:dyDescent="0.35">
      <c r="A297" s="2"/>
      <c r="B297" s="2"/>
      <c r="C297" s="2"/>
      <c r="D297" s="2"/>
      <c r="E297" s="2"/>
      <c r="F297" s="2"/>
      <c r="G297" s="3"/>
      <c r="H297" s="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25.5" x14ac:dyDescent="0.35">
      <c r="A298" s="2"/>
      <c r="B298" s="2"/>
      <c r="C298" s="2"/>
      <c r="D298" s="2"/>
      <c r="E298" s="2"/>
      <c r="F298" s="2"/>
      <c r="G298" s="3"/>
      <c r="H298" s="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25.5" x14ac:dyDescent="0.35">
      <c r="A299" s="2"/>
      <c r="B299" s="2"/>
      <c r="C299" s="2"/>
      <c r="D299" s="2"/>
      <c r="E299" s="2"/>
      <c r="F299" s="2"/>
      <c r="G299" s="3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25.5" x14ac:dyDescent="0.35">
      <c r="A300" s="2"/>
      <c r="B300" s="2"/>
      <c r="C300" s="2"/>
      <c r="D300" s="2"/>
      <c r="E300" s="2"/>
      <c r="F300" s="2"/>
      <c r="G300" s="3"/>
      <c r="H300" s="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25.5" x14ac:dyDescent="0.35">
      <c r="A301" s="2"/>
      <c r="B301" s="2"/>
      <c r="C301" s="2"/>
      <c r="D301" s="2"/>
      <c r="E301" s="2"/>
      <c r="F301" s="2"/>
      <c r="G301" s="3"/>
      <c r="H301" s="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25.5" x14ac:dyDescent="0.35">
      <c r="A302" s="2"/>
      <c r="B302" s="2"/>
      <c r="C302" s="2"/>
      <c r="D302" s="2"/>
      <c r="E302" s="2"/>
      <c r="F302" s="2"/>
      <c r="G302" s="3"/>
      <c r="H302" s="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25.5" x14ac:dyDescent="0.35">
      <c r="A303" s="2"/>
      <c r="B303" s="2"/>
      <c r="C303" s="2"/>
      <c r="D303" s="2"/>
      <c r="E303" s="2"/>
      <c r="F303" s="2"/>
      <c r="G303" s="3"/>
      <c r="H303" s="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25.5" x14ac:dyDescent="0.35">
      <c r="A304" s="2"/>
      <c r="B304" s="2"/>
      <c r="C304" s="2"/>
      <c r="D304" s="2"/>
      <c r="E304" s="2"/>
      <c r="F304" s="2"/>
      <c r="G304" s="3"/>
      <c r="H304" s="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25.5" x14ac:dyDescent="0.35">
      <c r="A305" s="2"/>
      <c r="B305" s="2"/>
      <c r="C305" s="2"/>
      <c r="D305" s="2"/>
      <c r="E305" s="2"/>
      <c r="F305" s="2"/>
      <c r="G305" s="3"/>
      <c r="H305" s="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25.5" x14ac:dyDescent="0.35">
      <c r="A306" s="2"/>
      <c r="B306" s="2"/>
      <c r="C306" s="2"/>
      <c r="D306" s="2"/>
      <c r="E306" s="2"/>
      <c r="F306" s="2"/>
      <c r="G306" s="3"/>
      <c r="H306" s="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25.5" x14ac:dyDescent="0.35">
      <c r="A307" s="2"/>
      <c r="B307" s="2"/>
      <c r="C307" s="2"/>
      <c r="D307" s="2"/>
      <c r="E307" s="2"/>
      <c r="F307" s="2"/>
      <c r="G307" s="3"/>
      <c r="H307" s="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25.5" x14ac:dyDescent="0.35">
      <c r="A308" s="2"/>
      <c r="B308" s="2"/>
      <c r="C308" s="2"/>
      <c r="D308" s="2"/>
      <c r="E308" s="2"/>
      <c r="F308" s="2"/>
      <c r="G308" s="3"/>
      <c r="H308" s="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25.5" x14ac:dyDescent="0.35">
      <c r="A309" s="2"/>
      <c r="B309" s="2"/>
      <c r="C309" s="2"/>
      <c r="D309" s="2"/>
      <c r="E309" s="2"/>
      <c r="F309" s="2"/>
      <c r="G309" s="3"/>
      <c r="H309" s="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25.5" x14ac:dyDescent="0.35">
      <c r="A310" s="2"/>
      <c r="B310" s="2"/>
      <c r="C310" s="2"/>
      <c r="D310" s="2"/>
      <c r="E310" s="2"/>
      <c r="F310" s="2"/>
      <c r="G310" s="3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25.5" x14ac:dyDescent="0.35">
      <c r="A311" s="2"/>
      <c r="B311" s="2"/>
      <c r="C311" s="2"/>
      <c r="D311" s="2"/>
      <c r="E311" s="2"/>
      <c r="F311" s="2"/>
      <c r="G311" s="3"/>
      <c r="H311" s="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25.5" x14ac:dyDescent="0.35">
      <c r="A312" s="2"/>
      <c r="B312" s="2"/>
      <c r="C312" s="2"/>
      <c r="D312" s="2"/>
      <c r="E312" s="2"/>
      <c r="F312" s="2"/>
      <c r="G312" s="3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25.5" x14ac:dyDescent="0.35">
      <c r="A313" s="2"/>
      <c r="B313" s="2"/>
      <c r="C313" s="2"/>
      <c r="D313" s="2"/>
      <c r="E313" s="2"/>
      <c r="F313" s="2"/>
      <c r="G313" s="3"/>
      <c r="H313" s="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25.5" x14ac:dyDescent="0.35">
      <c r="A314" s="2"/>
      <c r="B314" s="2"/>
      <c r="C314" s="2"/>
      <c r="D314" s="2"/>
      <c r="E314" s="2"/>
      <c r="F314" s="2"/>
      <c r="G314" s="3"/>
      <c r="H314" s="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25.5" x14ac:dyDescent="0.35">
      <c r="A315" s="2"/>
      <c r="B315" s="2"/>
      <c r="C315" s="2"/>
      <c r="D315" s="2"/>
      <c r="E315" s="2"/>
      <c r="F315" s="2"/>
      <c r="G315" s="3"/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25.5" x14ac:dyDescent="0.35">
      <c r="A316" s="2"/>
      <c r="B316" s="2"/>
      <c r="C316" s="2"/>
      <c r="D316" s="2"/>
      <c r="E316" s="2"/>
      <c r="F316" s="2"/>
      <c r="G316" s="3"/>
      <c r="H316" s="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25.5" x14ac:dyDescent="0.35">
      <c r="A317" s="2"/>
      <c r="B317" s="2"/>
      <c r="C317" s="2"/>
      <c r="D317" s="2"/>
      <c r="E317" s="2"/>
      <c r="F317" s="2"/>
      <c r="G317" s="3"/>
      <c r="H317" s="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25.5" x14ac:dyDescent="0.35">
      <c r="A318" s="2"/>
      <c r="B318" s="2"/>
      <c r="C318" s="2"/>
      <c r="D318" s="2"/>
      <c r="E318" s="2"/>
      <c r="F318" s="2"/>
      <c r="G318" s="3"/>
      <c r="H318" s="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25.5" x14ac:dyDescent="0.35">
      <c r="A319" s="2"/>
      <c r="B319" s="2"/>
      <c r="C319" s="2"/>
      <c r="D319" s="2"/>
      <c r="E319" s="2"/>
      <c r="F319" s="2"/>
      <c r="G319" s="3"/>
      <c r="H319" s="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25.5" x14ac:dyDescent="0.35">
      <c r="A320" s="2"/>
      <c r="B320" s="2"/>
      <c r="C320" s="2"/>
      <c r="D320" s="2"/>
      <c r="E320" s="2"/>
      <c r="F320" s="2"/>
      <c r="G320" s="3"/>
      <c r="H320" s="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25.5" x14ac:dyDescent="0.35">
      <c r="A321" s="2"/>
      <c r="B321" s="2"/>
      <c r="C321" s="2"/>
      <c r="D321" s="2"/>
      <c r="E321" s="2"/>
      <c r="F321" s="2"/>
      <c r="G321" s="3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25.5" x14ac:dyDescent="0.35">
      <c r="A322" s="2"/>
      <c r="B322" s="2"/>
      <c r="C322" s="2"/>
      <c r="D322" s="2"/>
      <c r="E322" s="2"/>
      <c r="F322" s="2"/>
      <c r="G322" s="3"/>
      <c r="H322" s="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25.5" x14ac:dyDescent="0.35">
      <c r="A323" s="2"/>
      <c r="B323" s="2"/>
      <c r="C323" s="2"/>
      <c r="D323" s="2"/>
      <c r="E323" s="2"/>
      <c r="F323" s="2"/>
      <c r="G323" s="3"/>
      <c r="H323" s="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25.5" x14ac:dyDescent="0.35">
      <c r="A324" s="2"/>
      <c r="B324" s="2"/>
      <c r="C324" s="2"/>
      <c r="D324" s="2"/>
      <c r="E324" s="2"/>
      <c r="F324" s="2"/>
      <c r="G324" s="3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25.5" x14ac:dyDescent="0.35">
      <c r="A325" s="2"/>
      <c r="B325" s="2"/>
      <c r="C325" s="2"/>
      <c r="D325" s="2"/>
      <c r="E325" s="2"/>
      <c r="F325" s="2"/>
      <c r="G325" s="3"/>
      <c r="H325" s="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25.5" x14ac:dyDescent="0.35">
      <c r="A326" s="2"/>
      <c r="B326" s="2"/>
      <c r="C326" s="2"/>
      <c r="D326" s="2"/>
      <c r="E326" s="2"/>
      <c r="F326" s="2"/>
      <c r="G326" s="3"/>
      <c r="H326" s="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25.5" x14ac:dyDescent="0.35">
      <c r="A327" s="2"/>
      <c r="B327" s="2"/>
      <c r="C327" s="2"/>
      <c r="D327" s="2"/>
      <c r="E327" s="2"/>
      <c r="F327" s="2"/>
      <c r="G327" s="3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25.5" x14ac:dyDescent="0.35">
      <c r="A328" s="2"/>
      <c r="B328" s="2"/>
      <c r="C328" s="2"/>
      <c r="D328" s="2"/>
      <c r="E328" s="2"/>
      <c r="F328" s="2"/>
      <c r="G328" s="3"/>
      <c r="H328" s="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25.5" x14ac:dyDescent="0.35">
      <c r="A329" s="2"/>
      <c r="B329" s="2"/>
      <c r="C329" s="2"/>
      <c r="D329" s="2"/>
      <c r="E329" s="2"/>
      <c r="F329" s="2"/>
      <c r="G329" s="3"/>
      <c r="H329" s="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25.5" x14ac:dyDescent="0.35">
      <c r="A330" s="2"/>
      <c r="B330" s="2"/>
      <c r="C330" s="2"/>
      <c r="D330" s="2"/>
      <c r="E330" s="2"/>
      <c r="F330" s="2"/>
      <c r="G330" s="3"/>
      <c r="H330" s="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25.5" x14ac:dyDescent="0.35">
      <c r="A331" s="2"/>
      <c r="B331" s="2"/>
      <c r="C331" s="2"/>
      <c r="D331" s="2"/>
      <c r="E331" s="2"/>
      <c r="F331" s="2"/>
      <c r="G331" s="3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25.5" x14ac:dyDescent="0.35">
      <c r="A332" s="2"/>
      <c r="B332" s="2"/>
      <c r="C332" s="2"/>
      <c r="D332" s="2"/>
      <c r="E332" s="2"/>
      <c r="F332" s="2"/>
      <c r="G332" s="3"/>
      <c r="H332" s="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25.5" x14ac:dyDescent="0.35">
      <c r="A333" s="2"/>
      <c r="B333" s="2"/>
      <c r="C333" s="2"/>
      <c r="D333" s="2"/>
      <c r="E333" s="2"/>
      <c r="F333" s="2"/>
      <c r="G333" s="3"/>
      <c r="H333" s="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25.5" x14ac:dyDescent="0.35">
      <c r="A334" s="2"/>
      <c r="B334" s="2"/>
      <c r="C334" s="2"/>
      <c r="D334" s="2"/>
      <c r="E334" s="2"/>
      <c r="F334" s="2"/>
      <c r="G334" s="3"/>
      <c r="H334" s="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25.5" x14ac:dyDescent="0.35">
      <c r="A335" s="2"/>
      <c r="B335" s="2"/>
      <c r="C335" s="2"/>
      <c r="D335" s="2"/>
      <c r="E335" s="2"/>
      <c r="F335" s="2"/>
      <c r="G335" s="3"/>
      <c r="H335" s="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25.5" x14ac:dyDescent="0.35">
      <c r="A336" s="2"/>
      <c r="B336" s="2"/>
      <c r="C336" s="2"/>
      <c r="D336" s="2"/>
      <c r="E336" s="2"/>
      <c r="F336" s="2"/>
      <c r="G336" s="3"/>
      <c r="H336" s="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25.5" x14ac:dyDescent="0.35">
      <c r="A337" s="2"/>
      <c r="B337" s="2"/>
      <c r="C337" s="2"/>
      <c r="D337" s="2"/>
      <c r="E337" s="2"/>
      <c r="F337" s="2"/>
      <c r="G337" s="3"/>
      <c r="H337" s="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25.5" x14ac:dyDescent="0.35">
      <c r="A338" s="2"/>
      <c r="B338" s="2"/>
      <c r="C338" s="2"/>
      <c r="D338" s="2"/>
      <c r="E338" s="2"/>
      <c r="F338" s="2"/>
      <c r="G338" s="3"/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25.5" x14ac:dyDescent="0.35">
      <c r="A339" s="2"/>
      <c r="B339" s="2"/>
      <c r="C339" s="2"/>
      <c r="D339" s="2"/>
      <c r="E339" s="2"/>
      <c r="F339" s="2"/>
      <c r="G339" s="3"/>
      <c r="H339" s="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25.5" x14ac:dyDescent="0.35">
      <c r="A340" s="2"/>
      <c r="B340" s="2"/>
      <c r="C340" s="2"/>
      <c r="D340" s="2"/>
      <c r="E340" s="2"/>
      <c r="F340" s="2"/>
      <c r="G340" s="3"/>
      <c r="H340" s="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25.5" x14ac:dyDescent="0.35">
      <c r="A341" s="2"/>
      <c r="B341" s="2"/>
      <c r="C341" s="2"/>
      <c r="D341" s="2"/>
      <c r="E341" s="2"/>
      <c r="F341" s="2"/>
      <c r="G341" s="3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25.5" x14ac:dyDescent="0.35">
      <c r="A342" s="2"/>
      <c r="B342" s="2"/>
      <c r="C342" s="2"/>
      <c r="D342" s="2"/>
      <c r="E342" s="2"/>
      <c r="F342" s="2"/>
      <c r="G342" s="3"/>
      <c r="H342" s="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25.5" x14ac:dyDescent="0.35">
      <c r="A343" s="2"/>
      <c r="B343" s="2"/>
      <c r="C343" s="2"/>
      <c r="D343" s="2"/>
      <c r="E343" s="2"/>
      <c r="F343" s="2"/>
      <c r="G343" s="3"/>
      <c r="H343" s="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25.5" x14ac:dyDescent="0.35">
      <c r="A344" s="2"/>
      <c r="B344" s="2"/>
      <c r="C344" s="2"/>
      <c r="D344" s="2"/>
      <c r="E344" s="2"/>
      <c r="F344" s="2"/>
      <c r="G344" s="3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25.5" x14ac:dyDescent="0.35">
      <c r="A345" s="2"/>
      <c r="B345" s="2"/>
      <c r="C345" s="2"/>
      <c r="D345" s="2"/>
      <c r="E345" s="2"/>
      <c r="F345" s="2"/>
      <c r="G345" s="3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25.5" x14ac:dyDescent="0.35">
      <c r="A346" s="2"/>
      <c r="B346" s="2"/>
      <c r="C346" s="2"/>
      <c r="D346" s="2"/>
      <c r="E346" s="2"/>
      <c r="F346" s="2"/>
      <c r="G346" s="3"/>
      <c r="H346" s="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25.5" x14ac:dyDescent="0.35">
      <c r="A347" s="2"/>
      <c r="B347" s="2"/>
      <c r="C347" s="2"/>
      <c r="D347" s="2"/>
      <c r="E347" s="2"/>
      <c r="F347" s="2"/>
      <c r="G347" s="3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25.5" x14ac:dyDescent="0.35">
      <c r="A348" s="2"/>
      <c r="B348" s="2"/>
      <c r="C348" s="2"/>
      <c r="D348" s="2"/>
      <c r="E348" s="2"/>
      <c r="F348" s="2"/>
      <c r="G348" s="3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25.5" x14ac:dyDescent="0.35">
      <c r="A349" s="2"/>
      <c r="B349" s="2"/>
      <c r="C349" s="2"/>
      <c r="D349" s="2"/>
      <c r="E349" s="2"/>
      <c r="F349" s="2"/>
      <c r="G349" s="3"/>
      <c r="H349" s="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25.5" x14ac:dyDescent="0.35">
      <c r="A350" s="2"/>
      <c r="B350" s="2"/>
      <c r="C350" s="2"/>
      <c r="D350" s="2"/>
      <c r="E350" s="2"/>
      <c r="F350" s="2"/>
      <c r="G350" s="3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25.5" x14ac:dyDescent="0.35">
      <c r="A351" s="2"/>
      <c r="B351" s="2"/>
      <c r="C351" s="2"/>
      <c r="D351" s="2"/>
      <c r="E351" s="2"/>
      <c r="F351" s="2"/>
      <c r="G351" s="3"/>
      <c r="H351" s="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25.5" x14ac:dyDescent="0.35">
      <c r="A352" s="2"/>
      <c r="B352" s="2"/>
      <c r="C352" s="2"/>
      <c r="D352" s="2"/>
      <c r="E352" s="2"/>
      <c r="F352" s="2"/>
      <c r="G352" s="3"/>
      <c r="H352" s="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25.5" x14ac:dyDescent="0.35">
      <c r="A353" s="2"/>
      <c r="B353" s="2"/>
      <c r="C353" s="2"/>
      <c r="D353" s="2"/>
      <c r="E353" s="2"/>
      <c r="F353" s="2"/>
      <c r="G353" s="3"/>
      <c r="H353" s="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25.5" x14ac:dyDescent="0.35">
      <c r="A354" s="2"/>
      <c r="B354" s="2"/>
      <c r="C354" s="2"/>
      <c r="D354" s="2"/>
      <c r="E354" s="2"/>
      <c r="F354" s="2"/>
      <c r="G354" s="3"/>
      <c r="H354" s="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25.5" x14ac:dyDescent="0.35">
      <c r="A355" s="2"/>
      <c r="B355" s="2"/>
      <c r="C355" s="2"/>
      <c r="D355" s="2"/>
      <c r="E355" s="2"/>
      <c r="F355" s="2"/>
      <c r="G355" s="3"/>
      <c r="H355" s="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25.5" x14ac:dyDescent="0.35">
      <c r="A356" s="2"/>
      <c r="B356" s="2"/>
      <c r="C356" s="2"/>
      <c r="D356" s="2"/>
      <c r="E356" s="2"/>
      <c r="F356" s="2"/>
      <c r="G356" s="3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25.5" x14ac:dyDescent="0.35">
      <c r="A357" s="2"/>
      <c r="B357" s="2"/>
      <c r="C357" s="2"/>
      <c r="D357" s="2"/>
      <c r="E357" s="2"/>
      <c r="F357" s="2"/>
      <c r="G357" s="3"/>
      <c r="H357" s="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25.5" x14ac:dyDescent="0.35">
      <c r="A358" s="2"/>
      <c r="B358" s="2"/>
      <c r="C358" s="2"/>
      <c r="D358" s="2"/>
      <c r="E358" s="2"/>
      <c r="F358" s="2"/>
      <c r="G358" s="3"/>
      <c r="H358" s="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25.5" x14ac:dyDescent="0.35">
      <c r="A359" s="2"/>
      <c r="B359" s="2"/>
      <c r="C359" s="2"/>
      <c r="D359" s="2"/>
      <c r="E359" s="2"/>
      <c r="F359" s="2"/>
      <c r="G359" s="3"/>
      <c r="H359" s="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25.5" x14ac:dyDescent="0.35">
      <c r="A360" s="2"/>
      <c r="B360" s="2"/>
      <c r="C360" s="2"/>
      <c r="D360" s="2"/>
      <c r="E360" s="2"/>
      <c r="F360" s="2"/>
      <c r="G360" s="3"/>
      <c r="H360" s="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25.5" x14ac:dyDescent="0.35">
      <c r="A361" s="2"/>
      <c r="B361" s="2"/>
      <c r="C361" s="2"/>
      <c r="D361" s="2"/>
      <c r="E361" s="2"/>
      <c r="F361" s="2"/>
      <c r="G361" s="3"/>
      <c r="H361" s="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25.5" x14ac:dyDescent="0.35">
      <c r="A362" s="2"/>
      <c r="B362" s="2"/>
      <c r="C362" s="2"/>
      <c r="D362" s="2"/>
      <c r="E362" s="2"/>
      <c r="F362" s="2"/>
      <c r="G362" s="3"/>
      <c r="H362" s="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25.5" x14ac:dyDescent="0.35">
      <c r="A363" s="2"/>
      <c r="B363" s="2"/>
      <c r="C363" s="2"/>
      <c r="D363" s="2"/>
      <c r="E363" s="2"/>
      <c r="F363" s="2"/>
      <c r="G363" s="3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25.5" x14ac:dyDescent="0.35">
      <c r="A364" s="2"/>
      <c r="B364" s="2"/>
      <c r="C364" s="2"/>
      <c r="D364" s="2"/>
      <c r="E364" s="2"/>
      <c r="F364" s="2"/>
      <c r="G364" s="3"/>
      <c r="H364" s="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25.5" x14ac:dyDescent="0.35">
      <c r="A365" s="2"/>
      <c r="B365" s="2"/>
      <c r="C365" s="2"/>
      <c r="D365" s="2"/>
      <c r="E365" s="2"/>
      <c r="F365" s="2"/>
      <c r="G365" s="3"/>
      <c r="H365" s="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25.5" x14ac:dyDescent="0.35">
      <c r="A366" s="2"/>
      <c r="B366" s="2"/>
      <c r="C366" s="2"/>
      <c r="D366" s="2"/>
      <c r="E366" s="2"/>
      <c r="F366" s="2"/>
      <c r="G366" s="3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25.5" x14ac:dyDescent="0.35">
      <c r="A367" s="2"/>
      <c r="B367" s="2"/>
      <c r="C367" s="2"/>
      <c r="D367" s="2"/>
      <c r="E367" s="2"/>
      <c r="F367" s="2"/>
      <c r="G367" s="3"/>
      <c r="H367" s="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25.5" x14ac:dyDescent="0.35">
      <c r="A368" s="2"/>
      <c r="B368" s="2"/>
      <c r="C368" s="2"/>
      <c r="D368" s="2"/>
      <c r="E368" s="2"/>
      <c r="F368" s="2"/>
      <c r="G368" s="3"/>
      <c r="H368" s="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25.5" x14ac:dyDescent="0.35">
      <c r="A369" s="2"/>
      <c r="B369" s="2"/>
      <c r="C369" s="2"/>
      <c r="D369" s="2"/>
      <c r="E369" s="2"/>
      <c r="F369" s="2"/>
      <c r="G369" s="3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25.5" x14ac:dyDescent="0.35">
      <c r="A370" s="2"/>
      <c r="B370" s="2"/>
      <c r="C370" s="2"/>
      <c r="D370" s="2"/>
      <c r="E370" s="2"/>
      <c r="F370" s="2"/>
      <c r="G370" s="3"/>
      <c r="H370" s="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25.5" x14ac:dyDescent="0.35">
      <c r="A371" s="2"/>
      <c r="B371" s="2"/>
      <c r="C371" s="2"/>
      <c r="D371" s="2"/>
      <c r="E371" s="2"/>
      <c r="F371" s="2"/>
      <c r="G371" s="3"/>
      <c r="H371" s="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25.5" x14ac:dyDescent="0.35">
      <c r="A372" s="2"/>
      <c r="B372" s="2"/>
      <c r="C372" s="2"/>
      <c r="D372" s="2"/>
      <c r="E372" s="2"/>
      <c r="F372" s="2"/>
      <c r="G372" s="3"/>
      <c r="H372" s="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25.5" x14ac:dyDescent="0.35">
      <c r="A373" s="2"/>
      <c r="B373" s="2"/>
      <c r="C373" s="2"/>
      <c r="D373" s="2"/>
      <c r="E373" s="2"/>
      <c r="F373" s="2"/>
      <c r="G373" s="3"/>
      <c r="H373" s="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25.5" x14ac:dyDescent="0.35">
      <c r="A374" s="2"/>
      <c r="B374" s="2"/>
      <c r="C374" s="2"/>
      <c r="D374" s="2"/>
      <c r="E374" s="2"/>
      <c r="F374" s="2"/>
      <c r="G374" s="3"/>
      <c r="H374" s="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25.5" x14ac:dyDescent="0.35">
      <c r="A375" s="2"/>
      <c r="B375" s="2"/>
      <c r="C375" s="2"/>
      <c r="D375" s="2"/>
      <c r="E375" s="2"/>
      <c r="F375" s="2"/>
      <c r="G375" s="3"/>
      <c r="H375" s="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25.5" x14ac:dyDescent="0.35">
      <c r="A376" s="2"/>
      <c r="B376" s="2"/>
      <c r="C376" s="2"/>
      <c r="D376" s="2"/>
      <c r="E376" s="2"/>
      <c r="F376" s="2"/>
      <c r="G376" s="3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25.5" x14ac:dyDescent="0.35">
      <c r="A377" s="2"/>
      <c r="B377" s="2"/>
      <c r="C377" s="2"/>
      <c r="D377" s="2"/>
      <c r="E377" s="2"/>
      <c r="F377" s="2"/>
      <c r="G377" s="3"/>
      <c r="H377" s="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25.5" x14ac:dyDescent="0.35">
      <c r="A378" s="2"/>
      <c r="B378" s="2"/>
      <c r="C378" s="2"/>
      <c r="D378" s="2"/>
      <c r="E378" s="2"/>
      <c r="F378" s="2"/>
      <c r="G378" s="3"/>
      <c r="H378" s="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25.5" x14ac:dyDescent="0.35">
      <c r="A379" s="2"/>
      <c r="B379" s="2"/>
      <c r="C379" s="2"/>
      <c r="D379" s="2"/>
      <c r="E379" s="2"/>
      <c r="F379" s="2"/>
      <c r="G379" s="3"/>
      <c r="H379" s="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25.5" x14ac:dyDescent="0.35">
      <c r="A380" s="2"/>
      <c r="B380" s="2"/>
      <c r="C380" s="2"/>
      <c r="D380" s="2"/>
      <c r="E380" s="2"/>
      <c r="F380" s="2"/>
      <c r="G380" s="3"/>
      <c r="H380" s="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25.5" x14ac:dyDescent="0.35">
      <c r="A381" s="2"/>
      <c r="B381" s="2"/>
      <c r="C381" s="2"/>
      <c r="D381" s="2"/>
      <c r="E381" s="2"/>
      <c r="F381" s="2"/>
      <c r="G381" s="3"/>
      <c r="H381" s="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25.5" x14ac:dyDescent="0.35">
      <c r="A382" s="2"/>
      <c r="B382" s="2"/>
      <c r="C382" s="2"/>
      <c r="D382" s="2"/>
      <c r="E382" s="2"/>
      <c r="F382" s="2"/>
      <c r="G382" s="3"/>
      <c r="H382" s="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25.5" x14ac:dyDescent="0.35">
      <c r="A383" s="2"/>
      <c r="B383" s="2"/>
      <c r="C383" s="2"/>
      <c r="D383" s="2"/>
      <c r="E383" s="2"/>
      <c r="F383" s="2"/>
      <c r="G383" s="3"/>
      <c r="H383" s="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25.5" x14ac:dyDescent="0.35">
      <c r="A384" s="2"/>
      <c r="B384" s="2"/>
      <c r="C384" s="2"/>
      <c r="D384" s="2"/>
      <c r="E384" s="2"/>
      <c r="F384" s="2"/>
      <c r="G384" s="3"/>
      <c r="H384" s="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25.5" x14ac:dyDescent="0.35">
      <c r="A385" s="2"/>
      <c r="B385" s="2"/>
      <c r="C385" s="2"/>
      <c r="D385" s="2"/>
      <c r="E385" s="2"/>
      <c r="F385" s="2"/>
      <c r="G385" s="3"/>
      <c r="H385" s="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25.5" x14ac:dyDescent="0.35">
      <c r="A386" s="2"/>
      <c r="B386" s="2"/>
      <c r="C386" s="2"/>
      <c r="D386" s="2"/>
      <c r="E386" s="2"/>
      <c r="F386" s="2"/>
      <c r="G386" s="3"/>
      <c r="H386" s="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25.5" x14ac:dyDescent="0.35">
      <c r="A387" s="2"/>
      <c r="B387" s="2"/>
      <c r="C387" s="2"/>
      <c r="D387" s="2"/>
      <c r="E387" s="2"/>
      <c r="F387" s="2"/>
      <c r="G387" s="3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25.5" x14ac:dyDescent="0.35">
      <c r="A388" s="2"/>
      <c r="B388" s="2"/>
      <c r="C388" s="2"/>
      <c r="D388" s="2"/>
      <c r="E388" s="2"/>
      <c r="F388" s="2"/>
      <c r="G388" s="3"/>
      <c r="H388" s="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25.5" x14ac:dyDescent="0.35">
      <c r="A389" s="2"/>
      <c r="B389" s="2"/>
      <c r="C389" s="2"/>
      <c r="D389" s="2"/>
      <c r="E389" s="2"/>
      <c r="F389" s="2"/>
      <c r="G389" s="3"/>
      <c r="H389" s="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25.5" x14ac:dyDescent="0.35">
      <c r="A390" s="2"/>
      <c r="B390" s="2"/>
      <c r="C390" s="2"/>
      <c r="D390" s="2"/>
      <c r="E390" s="2"/>
      <c r="F390" s="2"/>
      <c r="G390" s="3"/>
      <c r="H390" s="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25.5" x14ac:dyDescent="0.35">
      <c r="A391" s="2"/>
      <c r="B391" s="2"/>
      <c r="C391" s="2"/>
      <c r="D391" s="2"/>
      <c r="E391" s="2"/>
      <c r="F391" s="2"/>
      <c r="G391" s="3"/>
      <c r="H391" s="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25.5" x14ac:dyDescent="0.35">
      <c r="A392" s="2"/>
      <c r="B392" s="2"/>
      <c r="C392" s="2"/>
      <c r="D392" s="2"/>
      <c r="E392" s="2"/>
      <c r="F392" s="2"/>
      <c r="G392" s="3"/>
      <c r="H392" s="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25.5" x14ac:dyDescent="0.35">
      <c r="A393" s="2"/>
      <c r="B393" s="2"/>
      <c r="C393" s="2"/>
      <c r="D393" s="2"/>
      <c r="E393" s="2"/>
      <c r="F393" s="2"/>
      <c r="G393" s="3"/>
      <c r="H393" s="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25.5" x14ac:dyDescent="0.35">
      <c r="A394" s="2"/>
      <c r="B394" s="2"/>
      <c r="C394" s="2"/>
      <c r="D394" s="2"/>
      <c r="E394" s="2"/>
      <c r="F394" s="2"/>
      <c r="G394" s="3"/>
      <c r="H394" s="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25.5" x14ac:dyDescent="0.35">
      <c r="A395" s="2"/>
      <c r="B395" s="2"/>
      <c r="C395" s="2"/>
      <c r="D395" s="2"/>
      <c r="E395" s="2"/>
      <c r="F395" s="2"/>
      <c r="G395" s="3"/>
      <c r="H395" s="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25.5" x14ac:dyDescent="0.35">
      <c r="A396" s="2"/>
      <c r="B396" s="2"/>
      <c r="C396" s="2"/>
      <c r="D396" s="2"/>
      <c r="E396" s="2"/>
      <c r="F396" s="2"/>
      <c r="G396" s="3"/>
      <c r="H396" s="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25.5" x14ac:dyDescent="0.35">
      <c r="A397" s="2"/>
      <c r="B397" s="2"/>
      <c r="C397" s="2"/>
      <c r="D397" s="2"/>
      <c r="E397" s="2"/>
      <c r="F397" s="2"/>
      <c r="G397" s="3"/>
      <c r="H397" s="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25.5" x14ac:dyDescent="0.35">
      <c r="A398" s="2"/>
      <c r="B398" s="2"/>
      <c r="C398" s="2"/>
      <c r="D398" s="2"/>
      <c r="E398" s="2"/>
      <c r="F398" s="2"/>
      <c r="G398" s="3"/>
      <c r="H398" s="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25.5" x14ac:dyDescent="0.35">
      <c r="A399" s="2"/>
      <c r="B399" s="2"/>
      <c r="C399" s="2"/>
      <c r="D399" s="2"/>
      <c r="E399" s="2"/>
      <c r="F399" s="2"/>
      <c r="G399" s="3"/>
      <c r="H399" s="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25.5" x14ac:dyDescent="0.35">
      <c r="A400" s="2"/>
      <c r="B400" s="2"/>
      <c r="C400" s="2"/>
      <c r="D400" s="2"/>
      <c r="E400" s="2"/>
      <c r="F400" s="2"/>
      <c r="G400" s="3"/>
      <c r="H400" s="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25.5" x14ac:dyDescent="0.35">
      <c r="A401" s="2"/>
      <c r="B401" s="2"/>
      <c r="C401" s="2"/>
      <c r="D401" s="2"/>
      <c r="E401" s="2"/>
      <c r="F401" s="2"/>
      <c r="G401" s="3"/>
      <c r="H401" s="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25.5" x14ac:dyDescent="0.35">
      <c r="A402" s="2"/>
      <c r="B402" s="2"/>
      <c r="C402" s="2"/>
      <c r="D402" s="2"/>
      <c r="E402" s="2"/>
      <c r="F402" s="2"/>
      <c r="G402" s="3"/>
      <c r="H402" s="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25.5" x14ac:dyDescent="0.35">
      <c r="A403" s="2"/>
      <c r="B403" s="2"/>
      <c r="C403" s="2"/>
      <c r="D403" s="2"/>
      <c r="E403" s="2"/>
      <c r="F403" s="2"/>
      <c r="G403" s="3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25.5" x14ac:dyDescent="0.35">
      <c r="A404" s="2"/>
      <c r="B404" s="2"/>
      <c r="C404" s="2"/>
      <c r="D404" s="2"/>
      <c r="E404" s="2"/>
      <c r="F404" s="2"/>
      <c r="G404" s="3"/>
      <c r="H404" s="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25.5" x14ac:dyDescent="0.35">
      <c r="A405" s="2"/>
      <c r="B405" s="2"/>
      <c r="C405" s="2"/>
      <c r="D405" s="2"/>
      <c r="E405" s="2"/>
      <c r="F405" s="2"/>
      <c r="G405" s="3"/>
      <c r="H405" s="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25.5" x14ac:dyDescent="0.35">
      <c r="A406" s="2"/>
      <c r="B406" s="2"/>
      <c r="C406" s="2"/>
      <c r="D406" s="2"/>
      <c r="E406" s="2"/>
      <c r="F406" s="2"/>
      <c r="G406" s="3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25.5" x14ac:dyDescent="0.35">
      <c r="A407" s="2"/>
      <c r="B407" s="2"/>
      <c r="C407" s="2"/>
      <c r="D407" s="2"/>
      <c r="E407" s="2"/>
      <c r="F407" s="2"/>
      <c r="G407" s="3"/>
      <c r="H407" s="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25.5" x14ac:dyDescent="0.35">
      <c r="A408" s="2"/>
      <c r="B408" s="2"/>
      <c r="C408" s="2"/>
      <c r="D408" s="2"/>
      <c r="E408" s="2"/>
      <c r="F408" s="2"/>
      <c r="G408" s="3"/>
      <c r="H408" s="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25.5" x14ac:dyDescent="0.35">
      <c r="A409" s="2"/>
      <c r="B409" s="2"/>
      <c r="C409" s="2"/>
      <c r="D409" s="2"/>
      <c r="E409" s="2"/>
      <c r="F409" s="2"/>
      <c r="G409" s="3"/>
      <c r="H409" s="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25.5" x14ac:dyDescent="0.35">
      <c r="A410" s="2"/>
      <c r="B410" s="2"/>
      <c r="C410" s="2"/>
      <c r="D410" s="2"/>
      <c r="E410" s="2"/>
      <c r="F410" s="2"/>
      <c r="G410" s="3"/>
      <c r="H410" s="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25.5" x14ac:dyDescent="0.35">
      <c r="A411" s="2"/>
      <c r="B411" s="2"/>
      <c r="C411" s="2"/>
      <c r="D411" s="2"/>
      <c r="E411" s="2"/>
      <c r="F411" s="2"/>
      <c r="G411" s="3"/>
      <c r="H411" s="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25.5" x14ac:dyDescent="0.35">
      <c r="A412" s="2"/>
      <c r="B412" s="2"/>
      <c r="C412" s="2"/>
      <c r="D412" s="2"/>
      <c r="E412" s="2"/>
      <c r="F412" s="2"/>
      <c r="G412" s="3"/>
      <c r="H412" s="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25.5" x14ac:dyDescent="0.35">
      <c r="A413" s="2"/>
      <c r="B413" s="2"/>
      <c r="C413" s="2"/>
      <c r="D413" s="2"/>
      <c r="E413" s="2"/>
      <c r="F413" s="2"/>
      <c r="G413" s="3"/>
      <c r="H413" s="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25.5" x14ac:dyDescent="0.35">
      <c r="A414" s="2"/>
      <c r="B414" s="2"/>
      <c r="C414" s="2"/>
      <c r="D414" s="2"/>
      <c r="E414" s="2"/>
      <c r="F414" s="2"/>
      <c r="G414" s="3"/>
      <c r="H414" s="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25.5" x14ac:dyDescent="0.35">
      <c r="A415" s="2"/>
      <c r="B415" s="2"/>
      <c r="C415" s="2"/>
      <c r="D415" s="2"/>
      <c r="E415" s="2"/>
      <c r="F415" s="2"/>
      <c r="G415" s="3"/>
      <c r="H415" s="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25.5" x14ac:dyDescent="0.35">
      <c r="A416" s="2"/>
      <c r="B416" s="2"/>
      <c r="C416" s="2"/>
      <c r="D416" s="2"/>
      <c r="E416" s="2"/>
      <c r="F416" s="2"/>
      <c r="G416" s="3"/>
      <c r="H416" s="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25.5" x14ac:dyDescent="0.35">
      <c r="A417" s="2"/>
      <c r="B417" s="2"/>
      <c r="C417" s="2"/>
      <c r="D417" s="2"/>
      <c r="E417" s="2"/>
      <c r="F417" s="2"/>
      <c r="G417" s="3"/>
      <c r="H417" s="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25.5" x14ac:dyDescent="0.35">
      <c r="A418" s="2"/>
      <c r="B418" s="2"/>
      <c r="C418" s="2"/>
      <c r="D418" s="2"/>
      <c r="E418" s="2"/>
      <c r="F418" s="2"/>
      <c r="G418" s="3"/>
      <c r="H418" s="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25.5" x14ac:dyDescent="0.35">
      <c r="A419" s="2"/>
      <c r="B419" s="2"/>
      <c r="C419" s="2"/>
      <c r="D419" s="2"/>
      <c r="E419" s="2"/>
      <c r="F419" s="2"/>
      <c r="G419" s="3"/>
      <c r="H419" s="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25.5" x14ac:dyDescent="0.35">
      <c r="A420" s="2"/>
      <c r="B420" s="2"/>
      <c r="C420" s="2"/>
      <c r="D420" s="2"/>
      <c r="E420" s="2"/>
      <c r="F420" s="2"/>
      <c r="G420" s="3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25.5" x14ac:dyDescent="0.35">
      <c r="A421" s="2"/>
      <c r="B421" s="2"/>
      <c r="C421" s="2"/>
      <c r="D421" s="2"/>
      <c r="E421" s="2"/>
      <c r="F421" s="2"/>
      <c r="G421" s="3"/>
      <c r="H421" s="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25.5" x14ac:dyDescent="0.35">
      <c r="A422" s="2"/>
      <c r="B422" s="2"/>
      <c r="C422" s="2"/>
      <c r="D422" s="2"/>
      <c r="E422" s="2"/>
      <c r="F422" s="2"/>
      <c r="G422" s="3"/>
      <c r="H422" s="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25.5" x14ac:dyDescent="0.35">
      <c r="A423" s="2"/>
      <c r="B423" s="2"/>
      <c r="C423" s="2"/>
      <c r="D423" s="2"/>
      <c r="E423" s="2"/>
      <c r="F423" s="2"/>
      <c r="G423" s="3"/>
      <c r="H423" s="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25.5" x14ac:dyDescent="0.35">
      <c r="A424" s="2"/>
      <c r="B424" s="2"/>
      <c r="C424" s="2"/>
      <c r="D424" s="2"/>
      <c r="E424" s="2"/>
      <c r="F424" s="2"/>
      <c r="G424" s="3"/>
      <c r="H424" s="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25.5" x14ac:dyDescent="0.35">
      <c r="A425" s="2"/>
      <c r="B425" s="2"/>
      <c r="C425" s="2"/>
      <c r="D425" s="2"/>
      <c r="E425" s="2"/>
      <c r="F425" s="2"/>
      <c r="G425" s="3"/>
      <c r="H425" s="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25.5" x14ac:dyDescent="0.35">
      <c r="A426" s="2"/>
      <c r="B426" s="2"/>
      <c r="C426" s="2"/>
      <c r="D426" s="2"/>
      <c r="E426" s="2"/>
      <c r="F426" s="2"/>
      <c r="G426" s="3"/>
      <c r="H426" s="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25.5" x14ac:dyDescent="0.35">
      <c r="A427" s="2"/>
      <c r="B427" s="2"/>
      <c r="C427" s="2"/>
      <c r="D427" s="2"/>
      <c r="E427" s="2"/>
      <c r="F427" s="2"/>
      <c r="G427" s="3"/>
      <c r="H427" s="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25.5" x14ac:dyDescent="0.35">
      <c r="A428" s="2"/>
      <c r="B428" s="2"/>
      <c r="C428" s="2"/>
      <c r="D428" s="2"/>
      <c r="E428" s="2"/>
      <c r="F428" s="2"/>
      <c r="G428" s="3"/>
      <c r="H428" s="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25.5" x14ac:dyDescent="0.35">
      <c r="A429" s="2"/>
      <c r="B429" s="2"/>
      <c r="C429" s="2"/>
      <c r="D429" s="2"/>
      <c r="E429" s="2"/>
      <c r="F429" s="2"/>
      <c r="G429" s="3"/>
      <c r="H429" s="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25.5" x14ac:dyDescent="0.35">
      <c r="A430" s="2"/>
      <c r="B430" s="2"/>
      <c r="C430" s="2"/>
      <c r="D430" s="2"/>
      <c r="E430" s="2"/>
      <c r="F430" s="2"/>
      <c r="G430" s="3"/>
      <c r="H430" s="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25.5" x14ac:dyDescent="0.35">
      <c r="A431" s="2"/>
      <c r="B431" s="2"/>
      <c r="C431" s="2"/>
      <c r="D431" s="2"/>
      <c r="E431" s="2"/>
      <c r="F431" s="2"/>
      <c r="G431" s="3"/>
      <c r="H431" s="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25.5" x14ac:dyDescent="0.35">
      <c r="A432" s="2"/>
      <c r="B432" s="2"/>
      <c r="C432" s="2"/>
      <c r="D432" s="2"/>
      <c r="E432" s="2"/>
      <c r="F432" s="2"/>
      <c r="G432" s="3"/>
      <c r="H432" s="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25.5" x14ac:dyDescent="0.35">
      <c r="A433" s="2"/>
      <c r="B433" s="2"/>
      <c r="C433" s="2"/>
      <c r="D433" s="2"/>
      <c r="E433" s="2"/>
      <c r="F433" s="2"/>
      <c r="G433" s="3"/>
      <c r="H433" s="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25.5" x14ac:dyDescent="0.35">
      <c r="A434" s="2"/>
      <c r="B434" s="2"/>
      <c r="C434" s="2"/>
      <c r="D434" s="2"/>
      <c r="E434" s="2"/>
      <c r="F434" s="2"/>
      <c r="G434" s="3"/>
      <c r="H434" s="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25.5" x14ac:dyDescent="0.35">
      <c r="A435" s="2"/>
      <c r="B435" s="2"/>
      <c r="C435" s="2"/>
      <c r="D435" s="2"/>
      <c r="E435" s="2"/>
      <c r="F435" s="2"/>
      <c r="G435" s="3"/>
      <c r="H435" s="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25.5" x14ac:dyDescent="0.35">
      <c r="A436" s="2"/>
      <c r="B436" s="2"/>
      <c r="C436" s="2"/>
      <c r="D436" s="2"/>
      <c r="E436" s="2"/>
      <c r="F436" s="2"/>
      <c r="G436" s="3"/>
      <c r="H436" s="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25.5" x14ac:dyDescent="0.35">
      <c r="A437" s="2"/>
      <c r="B437" s="2"/>
      <c r="C437" s="2"/>
      <c r="D437" s="2"/>
      <c r="E437" s="2"/>
      <c r="F437" s="2"/>
      <c r="G437" s="3"/>
      <c r="H437" s="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25.5" x14ac:dyDescent="0.35">
      <c r="A438" s="2"/>
      <c r="B438" s="2"/>
      <c r="C438" s="2"/>
      <c r="D438" s="2"/>
      <c r="E438" s="2"/>
      <c r="F438" s="2"/>
      <c r="G438" s="3"/>
      <c r="H438" s="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25.5" x14ac:dyDescent="0.35">
      <c r="A439" s="2"/>
      <c r="B439" s="2"/>
      <c r="C439" s="2"/>
      <c r="D439" s="2"/>
      <c r="E439" s="2"/>
      <c r="F439" s="2"/>
      <c r="G439" s="3"/>
      <c r="H439" s="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25.5" x14ac:dyDescent="0.35">
      <c r="A440" s="2"/>
      <c r="B440" s="2"/>
      <c r="C440" s="2"/>
      <c r="D440" s="2"/>
      <c r="E440" s="2"/>
      <c r="F440" s="2"/>
      <c r="G440" s="3"/>
      <c r="H440" s="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25.5" x14ac:dyDescent="0.35">
      <c r="A441" s="2"/>
      <c r="B441" s="2"/>
      <c r="C441" s="2"/>
      <c r="D441" s="2"/>
      <c r="E441" s="2"/>
      <c r="F441" s="2"/>
      <c r="G441" s="3"/>
      <c r="H441" s="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25.5" x14ac:dyDescent="0.35">
      <c r="A442" s="2"/>
      <c r="B442" s="2"/>
      <c r="C442" s="2"/>
      <c r="D442" s="2"/>
      <c r="E442" s="2"/>
      <c r="F442" s="2"/>
      <c r="G442" s="3"/>
      <c r="H442" s="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25.5" x14ac:dyDescent="0.35">
      <c r="A443" s="2"/>
      <c r="B443" s="2"/>
      <c r="C443" s="2"/>
      <c r="D443" s="2"/>
      <c r="E443" s="2"/>
      <c r="F443" s="2"/>
      <c r="G443" s="3"/>
      <c r="H443" s="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25.5" x14ac:dyDescent="0.35">
      <c r="A444" s="2"/>
      <c r="B444" s="2"/>
      <c r="C444" s="2"/>
      <c r="D444" s="2"/>
      <c r="E444" s="2"/>
      <c r="F444" s="2"/>
      <c r="G444" s="3"/>
      <c r="H444" s="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25.5" x14ac:dyDescent="0.35">
      <c r="A445" s="2"/>
      <c r="B445" s="2"/>
      <c r="C445" s="2"/>
      <c r="D445" s="2"/>
      <c r="E445" s="2"/>
      <c r="F445" s="2"/>
      <c r="G445" s="3"/>
      <c r="H445" s="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25.5" x14ac:dyDescent="0.35">
      <c r="A446" s="2"/>
      <c r="B446" s="2"/>
      <c r="C446" s="2"/>
      <c r="D446" s="2"/>
      <c r="E446" s="2"/>
      <c r="F446" s="2"/>
      <c r="G446" s="3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25.5" x14ac:dyDescent="0.35">
      <c r="A447" s="2"/>
      <c r="B447" s="2"/>
      <c r="C447" s="2"/>
      <c r="D447" s="2"/>
      <c r="E447" s="2"/>
      <c r="F447" s="2"/>
      <c r="G447" s="3"/>
      <c r="H447" s="3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25.5" x14ac:dyDescent="0.35">
      <c r="A448" s="2"/>
      <c r="B448" s="2"/>
      <c r="C448" s="2"/>
      <c r="D448" s="2"/>
      <c r="E448" s="2"/>
      <c r="F448" s="2"/>
      <c r="G448" s="3"/>
      <c r="H448" s="3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25.5" x14ac:dyDescent="0.35">
      <c r="A449" s="2"/>
      <c r="B449" s="2"/>
      <c r="C449" s="2"/>
      <c r="D449" s="2"/>
      <c r="E449" s="2"/>
      <c r="F449" s="2"/>
      <c r="G449" s="3"/>
      <c r="H449" s="3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25.5" x14ac:dyDescent="0.35">
      <c r="A450" s="2"/>
      <c r="B450" s="2"/>
      <c r="C450" s="2"/>
      <c r="D450" s="2"/>
      <c r="E450" s="2"/>
      <c r="F450" s="2"/>
      <c r="G450" s="3"/>
      <c r="H450" s="3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25.5" x14ac:dyDescent="0.35">
      <c r="A451" s="2"/>
      <c r="B451" s="2"/>
      <c r="C451" s="2"/>
      <c r="D451" s="2"/>
      <c r="E451" s="2"/>
      <c r="F451" s="2"/>
      <c r="G451" s="3"/>
      <c r="H451" s="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25.5" x14ac:dyDescent="0.35">
      <c r="A452" s="2"/>
      <c r="B452" s="2"/>
      <c r="C452" s="2"/>
      <c r="D452" s="2"/>
      <c r="E452" s="2"/>
      <c r="F452" s="2"/>
      <c r="G452" s="3"/>
      <c r="H452" s="3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25.5" x14ac:dyDescent="0.35">
      <c r="A453" s="2"/>
      <c r="B453" s="2"/>
      <c r="C453" s="2"/>
      <c r="D453" s="2"/>
      <c r="E453" s="2"/>
      <c r="F453" s="2"/>
      <c r="G453" s="3"/>
      <c r="H453" s="3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25.5" x14ac:dyDescent="0.35">
      <c r="A454" s="2"/>
      <c r="B454" s="2"/>
      <c r="C454" s="2"/>
      <c r="D454" s="2"/>
      <c r="E454" s="2"/>
      <c r="F454" s="2"/>
      <c r="G454" s="3"/>
      <c r="H454" s="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25.5" x14ac:dyDescent="0.35">
      <c r="A455" s="2"/>
      <c r="B455" s="2"/>
      <c r="C455" s="2"/>
      <c r="D455" s="2"/>
      <c r="E455" s="2"/>
      <c r="F455" s="2"/>
      <c r="G455" s="3"/>
      <c r="H455" s="3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25.5" x14ac:dyDescent="0.35">
      <c r="A456" s="2"/>
      <c r="B456" s="2"/>
      <c r="C456" s="2"/>
      <c r="D456" s="2"/>
      <c r="E456" s="2"/>
      <c r="F456" s="2"/>
      <c r="G456" s="3"/>
      <c r="H456" s="3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25.5" x14ac:dyDescent="0.35">
      <c r="A457" s="2"/>
      <c r="B457" s="2"/>
      <c r="C457" s="2"/>
      <c r="D457" s="2"/>
      <c r="E457" s="2"/>
      <c r="F457" s="2"/>
      <c r="G457" s="3"/>
      <c r="H457" s="3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25.5" x14ac:dyDescent="0.35">
      <c r="A458" s="2"/>
      <c r="B458" s="2"/>
      <c r="C458" s="2"/>
      <c r="D458" s="2"/>
      <c r="E458" s="2"/>
      <c r="F458" s="2"/>
      <c r="G458" s="3"/>
      <c r="H458" s="3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25.5" x14ac:dyDescent="0.35">
      <c r="A459" s="2"/>
      <c r="B459" s="2"/>
      <c r="C459" s="2"/>
      <c r="D459" s="2"/>
      <c r="E459" s="2"/>
      <c r="F459" s="2"/>
      <c r="G459" s="3"/>
      <c r="H459" s="3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25.5" x14ac:dyDescent="0.35">
      <c r="A460" s="2"/>
      <c r="B460" s="2"/>
      <c r="C460" s="2"/>
      <c r="D460" s="2"/>
      <c r="E460" s="2"/>
      <c r="F460" s="2"/>
      <c r="G460" s="3"/>
      <c r="H460" s="3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25.5" x14ac:dyDescent="0.35">
      <c r="A461" s="2"/>
      <c r="B461" s="2"/>
      <c r="C461" s="2"/>
      <c r="D461" s="2"/>
      <c r="E461" s="2"/>
      <c r="F461" s="2"/>
      <c r="G461" s="3"/>
      <c r="H461" s="3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25.5" x14ac:dyDescent="0.35">
      <c r="A462" s="2"/>
      <c r="B462" s="2"/>
      <c r="C462" s="2"/>
      <c r="D462" s="2"/>
      <c r="E462" s="2"/>
      <c r="F462" s="2"/>
      <c r="G462" s="3"/>
      <c r="H462" s="3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25.5" x14ac:dyDescent="0.35">
      <c r="A463" s="2"/>
      <c r="B463" s="2"/>
      <c r="C463" s="2"/>
      <c r="D463" s="2"/>
      <c r="E463" s="2"/>
      <c r="F463" s="2"/>
      <c r="G463" s="3"/>
      <c r="H463" s="3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25.5" x14ac:dyDescent="0.35">
      <c r="A464" s="2"/>
      <c r="B464" s="2"/>
      <c r="C464" s="2"/>
      <c r="D464" s="2"/>
      <c r="E464" s="2"/>
      <c r="F464" s="2"/>
      <c r="G464" s="3"/>
      <c r="H464" s="3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25.5" x14ac:dyDescent="0.35">
      <c r="A465" s="2"/>
      <c r="B465" s="2"/>
      <c r="C465" s="2"/>
      <c r="D465" s="2"/>
      <c r="E465" s="2"/>
      <c r="F465" s="2"/>
      <c r="G465" s="3"/>
      <c r="H465" s="3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25.5" x14ac:dyDescent="0.35">
      <c r="A466" s="2"/>
      <c r="B466" s="2"/>
      <c r="C466" s="2"/>
      <c r="D466" s="2"/>
      <c r="E466" s="2"/>
      <c r="F466" s="2"/>
      <c r="G466" s="3"/>
      <c r="H466" s="3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25.5" x14ac:dyDescent="0.35">
      <c r="A467" s="2"/>
      <c r="B467" s="2"/>
      <c r="C467" s="2"/>
      <c r="D467" s="2"/>
      <c r="E467" s="2"/>
      <c r="F467" s="2"/>
      <c r="G467" s="3"/>
      <c r="H467" s="3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25.5" x14ac:dyDescent="0.35">
      <c r="A468" s="2"/>
      <c r="B468" s="2"/>
      <c r="C468" s="2"/>
      <c r="D468" s="2"/>
      <c r="E468" s="2"/>
      <c r="F468" s="2"/>
      <c r="G468" s="3"/>
      <c r="H468" s="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25.5" x14ac:dyDescent="0.35">
      <c r="A469" s="2"/>
      <c r="B469" s="2"/>
      <c r="C469" s="2"/>
      <c r="D469" s="2"/>
      <c r="E469" s="2"/>
      <c r="F469" s="2"/>
      <c r="G469" s="3"/>
      <c r="H469" s="3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25.5" x14ac:dyDescent="0.35">
      <c r="A470" s="2"/>
      <c r="B470" s="2"/>
      <c r="C470" s="2"/>
      <c r="D470" s="2"/>
      <c r="E470" s="2"/>
      <c r="F470" s="2"/>
      <c r="G470" s="3"/>
      <c r="H470" s="3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25.5" x14ac:dyDescent="0.35">
      <c r="A471" s="2"/>
      <c r="B471" s="2"/>
      <c r="C471" s="2"/>
      <c r="D471" s="2"/>
      <c r="E471" s="2"/>
      <c r="F471" s="2"/>
      <c r="G471" s="3"/>
      <c r="H471" s="3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25.5" x14ac:dyDescent="0.35">
      <c r="A472" s="2"/>
      <c r="B472" s="2"/>
      <c r="C472" s="2"/>
      <c r="D472" s="2"/>
      <c r="E472" s="2"/>
      <c r="F472" s="2"/>
      <c r="G472" s="3"/>
      <c r="H472" s="3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25.5" x14ac:dyDescent="0.35">
      <c r="A473" s="2"/>
      <c r="B473" s="2"/>
      <c r="C473" s="2"/>
      <c r="D473" s="2"/>
      <c r="E473" s="2"/>
      <c r="F473" s="2"/>
      <c r="G473" s="3"/>
      <c r="H473" s="3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25.5" x14ac:dyDescent="0.35">
      <c r="A474" s="2"/>
      <c r="B474" s="2"/>
      <c r="C474" s="2"/>
      <c r="D474" s="2"/>
      <c r="E474" s="2"/>
      <c r="F474" s="2"/>
      <c r="G474" s="3"/>
      <c r="H474" s="3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25.5" x14ac:dyDescent="0.35">
      <c r="A475" s="2"/>
      <c r="B475" s="2"/>
      <c r="C475" s="2"/>
      <c r="D475" s="2"/>
      <c r="E475" s="2"/>
      <c r="F475" s="2"/>
      <c r="G475" s="3"/>
      <c r="H475" s="3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25.5" x14ac:dyDescent="0.35">
      <c r="A476" s="2"/>
      <c r="B476" s="2"/>
      <c r="C476" s="2"/>
      <c r="D476" s="2"/>
      <c r="E476" s="2"/>
      <c r="F476" s="2"/>
      <c r="G476" s="3"/>
      <c r="H476" s="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25.5" x14ac:dyDescent="0.35">
      <c r="A477" s="2"/>
      <c r="B477" s="2"/>
      <c r="C477" s="2"/>
      <c r="D477" s="2"/>
      <c r="E477" s="2"/>
      <c r="F477" s="2"/>
      <c r="G477" s="3"/>
      <c r="H477" s="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25.5" x14ac:dyDescent="0.35">
      <c r="A478" s="2"/>
      <c r="B478" s="2"/>
      <c r="C478" s="2"/>
      <c r="D478" s="2"/>
      <c r="E478" s="2"/>
      <c r="F478" s="2"/>
      <c r="G478" s="3"/>
      <c r="H478" s="3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25.5" x14ac:dyDescent="0.35">
      <c r="A479" s="2"/>
      <c r="B479" s="2"/>
      <c r="C479" s="2"/>
      <c r="D479" s="2"/>
      <c r="E479" s="2"/>
      <c r="F479" s="2"/>
      <c r="G479" s="3"/>
      <c r="H479" s="3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25.5" x14ac:dyDescent="0.35">
      <c r="A480" s="2"/>
      <c r="B480" s="2"/>
      <c r="C480" s="2"/>
      <c r="D480" s="2"/>
      <c r="E480" s="2"/>
      <c r="F480" s="2"/>
      <c r="G480" s="3"/>
      <c r="H480" s="3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25.5" x14ac:dyDescent="0.35">
      <c r="A481" s="2"/>
      <c r="B481" s="2"/>
      <c r="C481" s="2"/>
      <c r="D481" s="2"/>
      <c r="E481" s="2"/>
      <c r="F481" s="2"/>
      <c r="G481" s="3"/>
      <c r="H481" s="3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25.5" x14ac:dyDescent="0.35">
      <c r="A482" s="2"/>
      <c r="B482" s="2"/>
      <c r="C482" s="2"/>
      <c r="D482" s="2"/>
      <c r="E482" s="2"/>
      <c r="F482" s="2"/>
      <c r="G482" s="3"/>
      <c r="H482" s="3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25.5" x14ac:dyDescent="0.35">
      <c r="A483" s="2"/>
      <c r="B483" s="2"/>
      <c r="C483" s="2"/>
      <c r="D483" s="2"/>
      <c r="E483" s="2"/>
      <c r="F483" s="2"/>
      <c r="G483" s="3"/>
      <c r="H483" s="3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25.5" x14ac:dyDescent="0.35">
      <c r="A484" s="2"/>
      <c r="B484" s="2"/>
      <c r="C484" s="2"/>
      <c r="D484" s="2"/>
      <c r="E484" s="2"/>
      <c r="F484" s="2"/>
      <c r="G484" s="3"/>
      <c r="H484" s="3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25.5" x14ac:dyDescent="0.35">
      <c r="A485" s="2"/>
      <c r="B485" s="2"/>
      <c r="C485" s="2"/>
      <c r="D485" s="2"/>
      <c r="E485" s="2"/>
      <c r="F485" s="2"/>
      <c r="G485" s="3"/>
      <c r="H485" s="3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25.5" x14ac:dyDescent="0.35">
      <c r="A486" s="2"/>
      <c r="B486" s="2"/>
      <c r="C486" s="2"/>
      <c r="D486" s="2"/>
      <c r="E486" s="2"/>
      <c r="F486" s="2"/>
      <c r="G486" s="3"/>
      <c r="H486" s="3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25.5" x14ac:dyDescent="0.35">
      <c r="A487" s="2"/>
      <c r="B487" s="2"/>
      <c r="C487" s="2"/>
      <c r="D487" s="2"/>
      <c r="E487" s="2"/>
      <c r="F487" s="2"/>
      <c r="G487" s="3"/>
      <c r="H487" s="3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25.5" x14ac:dyDescent="0.35">
      <c r="A488" s="2"/>
      <c r="B488" s="2"/>
      <c r="C488" s="2"/>
      <c r="D488" s="2"/>
      <c r="E488" s="2"/>
      <c r="F488" s="2"/>
      <c r="G488" s="3"/>
      <c r="H488" s="3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25.5" x14ac:dyDescent="0.35">
      <c r="A489" s="2"/>
      <c r="B489" s="2"/>
      <c r="C489" s="2"/>
      <c r="D489" s="2"/>
      <c r="E489" s="2"/>
      <c r="F489" s="2"/>
      <c r="G489" s="3"/>
      <c r="H489" s="3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25.5" x14ac:dyDescent="0.35">
      <c r="A490" s="2"/>
      <c r="B490" s="2"/>
      <c r="C490" s="2"/>
      <c r="D490" s="2"/>
      <c r="E490" s="2"/>
      <c r="F490" s="2"/>
      <c r="G490" s="3"/>
      <c r="H490" s="3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25.5" x14ac:dyDescent="0.35">
      <c r="A491" s="2"/>
      <c r="B491" s="2"/>
      <c r="C491" s="2"/>
      <c r="D491" s="2"/>
      <c r="E491" s="2"/>
      <c r="F491" s="2"/>
      <c r="G491" s="3"/>
      <c r="H491" s="3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25.5" x14ac:dyDescent="0.35">
      <c r="A492" s="2"/>
      <c r="B492" s="2"/>
      <c r="C492" s="2"/>
      <c r="D492" s="2"/>
      <c r="E492" s="2"/>
      <c r="F492" s="2"/>
      <c r="G492" s="3"/>
      <c r="H492" s="3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25.5" x14ac:dyDescent="0.35">
      <c r="A493" s="2"/>
      <c r="B493" s="2"/>
      <c r="C493" s="2"/>
      <c r="D493" s="2"/>
      <c r="E493" s="2"/>
      <c r="F493" s="2"/>
      <c r="G493" s="3"/>
      <c r="H493" s="3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25.5" x14ac:dyDescent="0.35">
      <c r="A494" s="2"/>
      <c r="B494" s="2"/>
      <c r="C494" s="2"/>
      <c r="D494" s="2"/>
      <c r="E494" s="2"/>
      <c r="F494" s="2"/>
      <c r="G494" s="3"/>
      <c r="H494" s="3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25.5" x14ac:dyDescent="0.35">
      <c r="A495" s="2"/>
      <c r="B495" s="2"/>
      <c r="C495" s="2"/>
      <c r="D495" s="2"/>
      <c r="E495" s="2"/>
      <c r="F495" s="2"/>
      <c r="G495" s="3"/>
      <c r="H495" s="3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25.5" x14ac:dyDescent="0.35">
      <c r="A496" s="2"/>
      <c r="B496" s="2"/>
      <c r="C496" s="2"/>
      <c r="D496" s="2"/>
      <c r="E496" s="2"/>
      <c r="F496" s="2"/>
      <c r="G496" s="3"/>
      <c r="H496" s="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25.5" x14ac:dyDescent="0.35">
      <c r="A497" s="2"/>
      <c r="B497" s="2"/>
      <c r="C497" s="2"/>
      <c r="D497" s="2"/>
      <c r="E497" s="2"/>
      <c r="F497" s="2"/>
      <c r="G497" s="3"/>
      <c r="H497" s="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25.5" x14ac:dyDescent="0.35">
      <c r="A498" s="2"/>
      <c r="B498" s="2"/>
      <c r="C498" s="2"/>
      <c r="D498" s="2"/>
      <c r="E498" s="2"/>
      <c r="F498" s="2"/>
      <c r="G498" s="3"/>
      <c r="H498" s="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25.5" x14ac:dyDescent="0.35">
      <c r="A499" s="2"/>
      <c r="B499" s="2"/>
      <c r="C499" s="2"/>
      <c r="D499" s="2"/>
      <c r="E499" s="2"/>
      <c r="F499" s="2"/>
      <c r="G499" s="3"/>
      <c r="H499" s="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25.5" x14ac:dyDescent="0.35">
      <c r="A500" s="2"/>
      <c r="B500" s="2"/>
      <c r="C500" s="2"/>
      <c r="D500" s="2"/>
      <c r="E500" s="2"/>
      <c r="F500" s="2"/>
      <c r="G500" s="3"/>
      <c r="H500" s="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25.5" x14ac:dyDescent="0.35">
      <c r="A501" s="2"/>
      <c r="B501" s="2"/>
      <c r="C501" s="2"/>
      <c r="D501" s="2"/>
      <c r="E501" s="2"/>
      <c r="F501" s="2"/>
      <c r="G501" s="3"/>
      <c r="H501" s="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25.5" x14ac:dyDescent="0.35">
      <c r="A502" s="2"/>
      <c r="B502" s="2"/>
      <c r="C502" s="2"/>
      <c r="D502" s="2"/>
      <c r="E502" s="2"/>
      <c r="F502" s="2"/>
      <c r="G502" s="3"/>
      <c r="H502" s="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25.5" x14ac:dyDescent="0.35">
      <c r="A503" s="2"/>
      <c r="B503" s="2"/>
      <c r="C503" s="2"/>
      <c r="D503" s="2"/>
      <c r="E503" s="2"/>
      <c r="F503" s="2"/>
      <c r="G503" s="3"/>
      <c r="H503" s="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25.5" x14ac:dyDescent="0.35">
      <c r="A504" s="2"/>
      <c r="B504" s="2"/>
      <c r="C504" s="2"/>
      <c r="D504" s="2"/>
      <c r="E504" s="2"/>
      <c r="F504" s="2"/>
      <c r="G504" s="3"/>
      <c r="H504" s="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25.5" x14ac:dyDescent="0.35">
      <c r="A505" s="2"/>
      <c r="B505" s="2"/>
      <c r="C505" s="2"/>
      <c r="D505" s="2"/>
      <c r="E505" s="2"/>
      <c r="F505" s="2"/>
      <c r="G505" s="3"/>
      <c r="H505" s="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25.5" x14ac:dyDescent="0.35">
      <c r="A506" s="2"/>
      <c r="B506" s="2"/>
      <c r="C506" s="2"/>
      <c r="D506" s="2"/>
      <c r="E506" s="2"/>
      <c r="F506" s="2"/>
      <c r="G506" s="3"/>
      <c r="H506" s="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25.5" x14ac:dyDescent="0.35">
      <c r="A507" s="2"/>
      <c r="B507" s="2"/>
      <c r="C507" s="2"/>
      <c r="D507" s="2"/>
      <c r="E507" s="2"/>
      <c r="F507" s="2"/>
      <c r="G507" s="3"/>
      <c r="H507" s="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25.5" x14ac:dyDescent="0.35">
      <c r="A508" s="2"/>
      <c r="B508" s="2"/>
      <c r="C508" s="2"/>
      <c r="D508" s="2"/>
      <c r="E508" s="2"/>
      <c r="F508" s="2"/>
      <c r="G508" s="3"/>
      <c r="H508" s="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25.5" x14ac:dyDescent="0.35">
      <c r="A509" s="2"/>
      <c r="B509" s="2"/>
      <c r="C509" s="2"/>
      <c r="D509" s="2"/>
      <c r="E509" s="2"/>
      <c r="F509" s="2"/>
      <c r="G509" s="3"/>
      <c r="H509" s="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25.5" x14ac:dyDescent="0.35">
      <c r="A510" s="2"/>
      <c r="B510" s="2"/>
      <c r="C510" s="2"/>
      <c r="D510" s="2"/>
      <c r="E510" s="2"/>
      <c r="F510" s="2"/>
      <c r="G510" s="3"/>
      <c r="H510" s="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25.5" x14ac:dyDescent="0.35">
      <c r="A511" s="2"/>
      <c r="B511" s="2"/>
      <c r="C511" s="2"/>
      <c r="D511" s="2"/>
      <c r="E511" s="2"/>
      <c r="F511" s="2"/>
      <c r="G511" s="3"/>
      <c r="H511" s="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25.5" x14ac:dyDescent="0.35">
      <c r="A512" s="2"/>
      <c r="B512" s="2"/>
      <c r="C512" s="2"/>
      <c r="D512" s="2"/>
      <c r="E512" s="2"/>
      <c r="F512" s="2"/>
      <c r="G512" s="3"/>
      <c r="H512" s="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25.5" x14ac:dyDescent="0.35">
      <c r="A513" s="2"/>
      <c r="B513" s="2"/>
      <c r="C513" s="2"/>
      <c r="D513" s="2"/>
      <c r="E513" s="2"/>
      <c r="F513" s="2"/>
      <c r="G513" s="3"/>
      <c r="H513" s="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25.5" x14ac:dyDescent="0.35">
      <c r="A514" s="2"/>
      <c r="B514" s="2"/>
      <c r="C514" s="2"/>
      <c r="D514" s="2"/>
      <c r="E514" s="2"/>
      <c r="F514" s="2"/>
      <c r="G514" s="3"/>
      <c r="H514" s="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25.5" x14ac:dyDescent="0.35">
      <c r="A515" s="2"/>
      <c r="B515" s="2"/>
      <c r="C515" s="2"/>
      <c r="D515" s="2"/>
      <c r="E515" s="2"/>
      <c r="F515" s="2"/>
      <c r="G515" s="3"/>
      <c r="H515" s="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25.5" x14ac:dyDescent="0.35">
      <c r="A516" s="2"/>
      <c r="B516" s="2"/>
      <c r="C516" s="2"/>
      <c r="D516" s="2"/>
      <c r="E516" s="2"/>
      <c r="F516" s="2"/>
      <c r="G516" s="3"/>
      <c r="H516" s="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25.5" x14ac:dyDescent="0.35">
      <c r="A517" s="2"/>
      <c r="B517" s="2"/>
      <c r="C517" s="2"/>
      <c r="D517" s="2"/>
      <c r="E517" s="2"/>
      <c r="F517" s="2"/>
      <c r="G517" s="3"/>
      <c r="H517" s="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25.5" x14ac:dyDescent="0.35">
      <c r="A518" s="2"/>
      <c r="B518" s="2"/>
      <c r="C518" s="2"/>
      <c r="D518" s="2"/>
      <c r="E518" s="2"/>
      <c r="F518" s="2"/>
      <c r="G518" s="3"/>
      <c r="H518" s="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25.5" x14ac:dyDescent="0.35">
      <c r="A519" s="2"/>
      <c r="B519" s="2"/>
      <c r="C519" s="2"/>
      <c r="D519" s="2"/>
      <c r="E519" s="2"/>
      <c r="F519" s="2"/>
      <c r="G519" s="3"/>
      <c r="H519" s="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25.5" x14ac:dyDescent="0.35">
      <c r="A520" s="2"/>
      <c r="B520" s="2"/>
      <c r="C520" s="2"/>
      <c r="D520" s="2"/>
      <c r="E520" s="2"/>
      <c r="F520" s="2"/>
      <c r="G520" s="3"/>
      <c r="H520" s="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25.5" x14ac:dyDescent="0.35">
      <c r="A521" s="2"/>
      <c r="B521" s="2"/>
      <c r="C521" s="2"/>
      <c r="D521" s="2"/>
      <c r="E521" s="2"/>
      <c r="F521" s="2"/>
      <c r="G521" s="3"/>
      <c r="H521" s="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25.5" x14ac:dyDescent="0.35">
      <c r="A522" s="2"/>
      <c r="B522" s="2"/>
      <c r="C522" s="2"/>
      <c r="D522" s="2"/>
      <c r="E522" s="2"/>
      <c r="F522" s="2"/>
      <c r="G522" s="3"/>
      <c r="H522" s="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25.5" x14ac:dyDescent="0.35">
      <c r="A523" s="2"/>
      <c r="B523" s="2"/>
      <c r="C523" s="2"/>
      <c r="D523" s="2"/>
      <c r="E523" s="2"/>
      <c r="F523" s="2"/>
      <c r="G523" s="3"/>
      <c r="H523" s="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25.5" x14ac:dyDescent="0.35">
      <c r="A524" s="2"/>
      <c r="B524" s="2"/>
      <c r="C524" s="2"/>
      <c r="D524" s="2"/>
      <c r="E524" s="2"/>
      <c r="F524" s="2"/>
      <c r="G524" s="3"/>
      <c r="H524" s="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25.5" x14ac:dyDescent="0.35">
      <c r="A525" s="2"/>
      <c r="B525" s="2"/>
      <c r="C525" s="2"/>
      <c r="D525" s="2"/>
      <c r="E525" s="2"/>
      <c r="F525" s="2"/>
      <c r="G525" s="3"/>
      <c r="H525" s="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25.5" x14ac:dyDescent="0.35">
      <c r="A526" s="2"/>
      <c r="B526" s="2"/>
      <c r="C526" s="2"/>
      <c r="D526" s="2"/>
      <c r="E526" s="2"/>
      <c r="F526" s="2"/>
      <c r="G526" s="3"/>
      <c r="H526" s="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25.5" x14ac:dyDescent="0.35">
      <c r="A527" s="2"/>
      <c r="B527" s="2"/>
      <c r="C527" s="2"/>
      <c r="D527" s="2"/>
      <c r="E527" s="2"/>
      <c r="F527" s="2"/>
      <c r="G527" s="3"/>
      <c r="H527" s="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25.5" x14ac:dyDescent="0.35">
      <c r="A528" s="2"/>
      <c r="B528" s="2"/>
      <c r="C528" s="2"/>
      <c r="D528" s="2"/>
      <c r="E528" s="2"/>
      <c r="F528" s="2"/>
      <c r="G528" s="3"/>
      <c r="H528" s="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25.5" x14ac:dyDescent="0.35">
      <c r="A529" s="2"/>
      <c r="B529" s="2"/>
      <c r="C529" s="2"/>
      <c r="D529" s="2"/>
      <c r="E529" s="2"/>
      <c r="F529" s="2"/>
      <c r="G529" s="3"/>
      <c r="H529" s="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25.5" x14ac:dyDescent="0.35">
      <c r="A530" s="2"/>
      <c r="B530" s="2"/>
      <c r="C530" s="2"/>
      <c r="D530" s="2"/>
      <c r="E530" s="2"/>
      <c r="F530" s="2"/>
      <c r="G530" s="3"/>
      <c r="H530" s="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25.5" x14ac:dyDescent="0.35">
      <c r="A531" s="2"/>
      <c r="B531" s="2"/>
      <c r="C531" s="2"/>
      <c r="D531" s="2"/>
      <c r="E531" s="2"/>
      <c r="F531" s="2"/>
      <c r="G531" s="3"/>
      <c r="H531" s="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25.5" x14ac:dyDescent="0.35">
      <c r="A532" s="2"/>
      <c r="B532" s="2"/>
      <c r="C532" s="2"/>
      <c r="D532" s="2"/>
      <c r="E532" s="2"/>
      <c r="F532" s="2"/>
      <c r="G532" s="3"/>
      <c r="H532" s="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25.5" x14ac:dyDescent="0.35">
      <c r="A533" s="2"/>
      <c r="B533" s="2"/>
      <c r="C533" s="2"/>
      <c r="D533" s="2"/>
      <c r="E533" s="2"/>
      <c r="F533" s="2"/>
      <c r="G533" s="3"/>
      <c r="H533" s="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25.5" x14ac:dyDescent="0.35">
      <c r="A534" s="2"/>
      <c r="B534" s="2"/>
      <c r="C534" s="2"/>
      <c r="D534" s="2"/>
      <c r="E534" s="2"/>
      <c r="F534" s="2"/>
      <c r="G534" s="3"/>
      <c r="H534" s="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25.5" x14ac:dyDescent="0.35">
      <c r="A535" s="2"/>
      <c r="B535" s="2"/>
      <c r="C535" s="2"/>
      <c r="D535" s="2"/>
      <c r="E535" s="2"/>
      <c r="F535" s="2"/>
      <c r="G535" s="3"/>
      <c r="H535" s="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25.5" x14ac:dyDescent="0.35">
      <c r="A536" s="2"/>
      <c r="B536" s="2"/>
      <c r="C536" s="2"/>
      <c r="D536" s="2"/>
      <c r="E536" s="2"/>
      <c r="F536" s="2"/>
      <c r="G536" s="3"/>
      <c r="H536" s="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25.5" x14ac:dyDescent="0.35">
      <c r="A537" s="2"/>
      <c r="B537" s="2"/>
      <c r="C537" s="2"/>
      <c r="D537" s="2"/>
      <c r="E537" s="2"/>
      <c r="F537" s="2"/>
      <c r="G537" s="3"/>
      <c r="H537" s="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25.5" x14ac:dyDescent="0.35">
      <c r="A538" s="2"/>
      <c r="B538" s="2"/>
      <c r="C538" s="2"/>
      <c r="D538" s="2"/>
      <c r="E538" s="2"/>
      <c r="F538" s="2"/>
      <c r="G538" s="3"/>
      <c r="H538" s="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25.5" x14ac:dyDescent="0.35">
      <c r="A539" s="2"/>
      <c r="B539" s="2"/>
      <c r="C539" s="2"/>
      <c r="D539" s="2"/>
      <c r="E539" s="2"/>
      <c r="F539" s="2"/>
      <c r="G539" s="3"/>
      <c r="H539" s="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25.5" x14ac:dyDescent="0.35">
      <c r="A540" s="2"/>
      <c r="B540" s="2"/>
      <c r="C540" s="2"/>
      <c r="D540" s="2"/>
      <c r="E540" s="2"/>
      <c r="F540" s="2"/>
      <c r="G540" s="3"/>
      <c r="H540" s="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25.5" x14ac:dyDescent="0.35">
      <c r="A541" s="2"/>
      <c r="B541" s="2"/>
      <c r="C541" s="2"/>
      <c r="D541" s="2"/>
      <c r="E541" s="2"/>
      <c r="F541" s="2"/>
      <c r="G541" s="3"/>
      <c r="H541" s="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25.5" x14ac:dyDescent="0.35">
      <c r="A542" s="2"/>
      <c r="B542" s="2"/>
      <c r="C542" s="2"/>
      <c r="D542" s="2"/>
      <c r="E542" s="2"/>
      <c r="F542" s="2"/>
      <c r="G542" s="3"/>
      <c r="H542" s="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25.5" x14ac:dyDescent="0.35">
      <c r="A543" s="2"/>
      <c r="B543" s="2"/>
      <c r="C543" s="2"/>
      <c r="D543" s="2"/>
      <c r="E543" s="2"/>
      <c r="F543" s="2"/>
      <c r="G543" s="3"/>
      <c r="H543" s="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25.5" x14ac:dyDescent="0.35">
      <c r="A544" s="2"/>
      <c r="B544" s="2"/>
      <c r="C544" s="2"/>
      <c r="D544" s="2"/>
      <c r="E544" s="2"/>
      <c r="F544" s="2"/>
      <c r="G544" s="3"/>
      <c r="H544" s="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25.5" x14ac:dyDescent="0.35">
      <c r="A545" s="2"/>
      <c r="B545" s="2"/>
      <c r="C545" s="2"/>
      <c r="D545" s="2"/>
      <c r="E545" s="2"/>
      <c r="F545" s="2"/>
      <c r="G545" s="3"/>
      <c r="H545" s="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25.5" x14ac:dyDescent="0.35">
      <c r="A546" s="2"/>
      <c r="B546" s="2"/>
      <c r="C546" s="2"/>
      <c r="D546" s="2"/>
      <c r="E546" s="2"/>
      <c r="F546" s="2"/>
      <c r="G546" s="3"/>
      <c r="H546" s="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25.5" x14ac:dyDescent="0.35">
      <c r="A547" s="2"/>
      <c r="B547" s="2"/>
      <c r="C547" s="2"/>
      <c r="D547" s="2"/>
      <c r="E547" s="2"/>
      <c r="F547" s="2"/>
      <c r="G547" s="3"/>
      <c r="H547" s="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25.5" x14ac:dyDescent="0.35">
      <c r="A548" s="2"/>
      <c r="B548" s="2"/>
      <c r="C548" s="2"/>
      <c r="D548" s="2"/>
      <c r="E548" s="2"/>
      <c r="F548" s="2"/>
      <c r="G548" s="3"/>
      <c r="H548" s="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25.5" x14ac:dyDescent="0.35">
      <c r="A549" s="2"/>
      <c r="B549" s="2"/>
      <c r="C549" s="2"/>
      <c r="D549" s="2"/>
      <c r="E549" s="2"/>
      <c r="F549" s="2"/>
      <c r="G549" s="3"/>
      <c r="H549" s="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25.5" x14ac:dyDescent="0.35">
      <c r="A550" s="2"/>
      <c r="B550" s="2"/>
      <c r="C550" s="2"/>
      <c r="D550" s="2"/>
      <c r="E550" s="2"/>
      <c r="F550" s="2"/>
      <c r="G550" s="3"/>
      <c r="H550" s="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25.5" x14ac:dyDescent="0.35">
      <c r="A551" s="2"/>
      <c r="B551" s="2"/>
      <c r="C551" s="2"/>
      <c r="D551" s="2"/>
      <c r="E551" s="2"/>
      <c r="F551" s="2"/>
      <c r="G551" s="3"/>
      <c r="H551" s="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25.5" x14ac:dyDescent="0.35">
      <c r="A552" s="2"/>
      <c r="B552" s="2"/>
      <c r="C552" s="2"/>
      <c r="D552" s="2"/>
      <c r="E552" s="2"/>
      <c r="F552" s="2"/>
      <c r="G552" s="3"/>
      <c r="H552" s="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25.5" x14ac:dyDescent="0.35">
      <c r="A553" s="2"/>
      <c r="B553" s="2"/>
      <c r="C553" s="2"/>
      <c r="D553" s="2"/>
      <c r="E553" s="2"/>
      <c r="F553" s="2"/>
      <c r="G553" s="3"/>
      <c r="H553" s="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25.5" x14ac:dyDescent="0.35">
      <c r="A554" s="2"/>
      <c r="B554" s="2"/>
      <c r="C554" s="2"/>
      <c r="D554" s="2"/>
      <c r="E554" s="2"/>
      <c r="F554" s="2"/>
      <c r="G554" s="3"/>
      <c r="H554" s="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25.5" x14ac:dyDescent="0.35">
      <c r="A555" s="2"/>
      <c r="B555" s="2"/>
      <c r="C555" s="2"/>
      <c r="D555" s="2"/>
      <c r="E555" s="2"/>
      <c r="F555" s="2"/>
      <c r="G555" s="3"/>
      <c r="H555" s="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25.5" x14ac:dyDescent="0.35">
      <c r="A556" s="2"/>
      <c r="B556" s="2"/>
      <c r="C556" s="2"/>
      <c r="D556" s="2"/>
      <c r="E556" s="2"/>
      <c r="F556" s="2"/>
      <c r="G556" s="3"/>
      <c r="H556" s="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25.5" x14ac:dyDescent="0.35">
      <c r="A557" s="2"/>
      <c r="B557" s="2"/>
      <c r="C557" s="2"/>
      <c r="D557" s="2"/>
      <c r="E557" s="2"/>
      <c r="F557" s="2"/>
      <c r="G557" s="3"/>
      <c r="H557" s="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25.5" x14ac:dyDescent="0.35">
      <c r="A558" s="2"/>
      <c r="B558" s="2"/>
      <c r="C558" s="2"/>
      <c r="D558" s="2"/>
      <c r="E558" s="2"/>
      <c r="F558" s="2"/>
      <c r="G558" s="3"/>
      <c r="H558" s="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25.5" x14ac:dyDescent="0.35">
      <c r="A559" s="2"/>
      <c r="B559" s="2"/>
      <c r="C559" s="2"/>
      <c r="D559" s="2"/>
      <c r="E559" s="2"/>
      <c r="F559" s="2"/>
      <c r="G559" s="3"/>
      <c r="H559" s="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25.5" x14ac:dyDescent="0.35">
      <c r="A560" s="2"/>
      <c r="B560" s="2"/>
      <c r="C560" s="2"/>
      <c r="D560" s="2"/>
      <c r="E560" s="2"/>
      <c r="F560" s="2"/>
      <c r="G560" s="3"/>
      <c r="H560" s="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25.5" x14ac:dyDescent="0.35">
      <c r="A561" s="2"/>
      <c r="B561" s="2"/>
      <c r="C561" s="2"/>
      <c r="D561" s="2"/>
      <c r="E561" s="2"/>
      <c r="F561" s="2"/>
      <c r="G561" s="3"/>
      <c r="H561" s="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25.5" x14ac:dyDescent="0.35">
      <c r="A562" s="2"/>
      <c r="B562" s="2"/>
      <c r="C562" s="2"/>
      <c r="D562" s="2"/>
      <c r="E562" s="2"/>
      <c r="F562" s="2"/>
      <c r="G562" s="3"/>
      <c r="H562" s="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25.5" x14ac:dyDescent="0.35">
      <c r="A563" s="2"/>
      <c r="B563" s="2"/>
      <c r="C563" s="2"/>
      <c r="D563" s="2"/>
      <c r="E563" s="2"/>
      <c r="F563" s="2"/>
      <c r="G563" s="3"/>
      <c r="H563" s="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25.5" x14ac:dyDescent="0.35">
      <c r="A564" s="2"/>
      <c r="B564" s="2"/>
      <c r="C564" s="2"/>
      <c r="D564" s="2"/>
      <c r="E564" s="2"/>
      <c r="F564" s="2"/>
      <c r="G564" s="3"/>
      <c r="H564" s="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25.5" x14ac:dyDescent="0.35">
      <c r="A565" s="2"/>
      <c r="B565" s="2"/>
      <c r="C565" s="2"/>
      <c r="D565" s="2"/>
      <c r="E565" s="2"/>
      <c r="F565" s="2"/>
      <c r="G565" s="3"/>
      <c r="H565" s="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25.5" x14ac:dyDescent="0.35">
      <c r="A566" s="2"/>
      <c r="B566" s="2"/>
      <c r="C566" s="2"/>
      <c r="D566" s="2"/>
      <c r="E566" s="2"/>
      <c r="F566" s="2"/>
      <c r="G566" s="3"/>
      <c r="H566" s="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25.5" x14ac:dyDescent="0.35">
      <c r="A567" s="2"/>
      <c r="B567" s="2"/>
      <c r="C567" s="2"/>
      <c r="D567" s="2"/>
      <c r="E567" s="2"/>
      <c r="F567" s="2"/>
      <c r="G567" s="3"/>
      <c r="H567" s="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25.5" x14ac:dyDescent="0.35">
      <c r="A568" s="2"/>
      <c r="B568" s="2"/>
      <c r="C568" s="2"/>
      <c r="D568" s="2"/>
      <c r="E568" s="2"/>
      <c r="F568" s="2"/>
      <c r="G568" s="3"/>
      <c r="H568" s="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25.5" x14ac:dyDescent="0.35">
      <c r="A569" s="2"/>
      <c r="B569" s="2"/>
      <c r="C569" s="2"/>
      <c r="D569" s="2"/>
      <c r="E569" s="2"/>
      <c r="F569" s="2"/>
      <c r="G569" s="3"/>
      <c r="H569" s="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25.5" x14ac:dyDescent="0.35">
      <c r="A570" s="2"/>
      <c r="B570" s="2"/>
      <c r="C570" s="2"/>
      <c r="D570" s="2"/>
      <c r="E570" s="2"/>
      <c r="F570" s="2"/>
      <c r="G570" s="3"/>
      <c r="H570" s="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25.5" x14ac:dyDescent="0.35">
      <c r="A571" s="2"/>
      <c r="B571" s="2"/>
      <c r="C571" s="2"/>
      <c r="D571" s="2"/>
      <c r="E571" s="2"/>
      <c r="F571" s="2"/>
      <c r="G571" s="3"/>
      <c r="H571" s="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25.5" x14ac:dyDescent="0.35">
      <c r="A572" s="2"/>
      <c r="B572" s="2"/>
      <c r="C572" s="2"/>
      <c r="D572" s="2"/>
      <c r="E572" s="2"/>
      <c r="F572" s="2"/>
      <c r="G572" s="3"/>
      <c r="H572" s="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25.5" x14ac:dyDescent="0.35">
      <c r="A573" s="2"/>
      <c r="B573" s="2"/>
      <c r="C573" s="2"/>
      <c r="D573" s="2"/>
      <c r="E573" s="2"/>
      <c r="F573" s="2"/>
      <c r="G573" s="3"/>
      <c r="H573" s="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25.5" x14ac:dyDescent="0.35">
      <c r="A574" s="2"/>
      <c r="B574" s="2"/>
      <c r="C574" s="2"/>
      <c r="D574" s="2"/>
      <c r="E574" s="2"/>
      <c r="F574" s="2"/>
      <c r="G574" s="3"/>
      <c r="H574" s="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25.5" x14ac:dyDescent="0.35">
      <c r="A575" s="2"/>
      <c r="B575" s="2"/>
      <c r="C575" s="2"/>
      <c r="D575" s="2"/>
      <c r="E575" s="2"/>
      <c r="F575" s="2"/>
      <c r="G575" s="3"/>
      <c r="H575" s="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25.5" x14ac:dyDescent="0.35">
      <c r="A576" s="2"/>
      <c r="B576" s="2"/>
      <c r="C576" s="2"/>
      <c r="D576" s="2"/>
      <c r="E576" s="2"/>
      <c r="F576" s="2"/>
      <c r="G576" s="3"/>
      <c r="H576" s="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25.5" x14ac:dyDescent="0.35">
      <c r="A577" s="2"/>
      <c r="B577" s="2"/>
      <c r="C577" s="2"/>
      <c r="D577" s="2"/>
      <c r="E577" s="2"/>
      <c r="F577" s="2"/>
      <c r="G577" s="3"/>
      <c r="H577" s="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25.5" x14ac:dyDescent="0.35">
      <c r="A578" s="2"/>
      <c r="B578" s="2"/>
      <c r="C578" s="2"/>
      <c r="D578" s="2"/>
      <c r="E578" s="2"/>
      <c r="F578" s="2"/>
      <c r="G578" s="3"/>
      <c r="H578" s="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25.5" x14ac:dyDescent="0.35">
      <c r="A579" s="2"/>
      <c r="B579" s="2"/>
      <c r="C579" s="2"/>
      <c r="D579" s="2"/>
      <c r="E579" s="2"/>
      <c r="F579" s="2"/>
      <c r="G579" s="3"/>
      <c r="H579" s="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25.5" x14ac:dyDescent="0.35">
      <c r="A580" s="2"/>
      <c r="B580" s="2"/>
      <c r="C580" s="2"/>
      <c r="D580" s="2"/>
      <c r="E580" s="2"/>
      <c r="F580" s="2"/>
      <c r="G580" s="3"/>
      <c r="H580" s="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25.5" x14ac:dyDescent="0.35">
      <c r="A581" s="2"/>
      <c r="B581" s="2"/>
      <c r="C581" s="2"/>
      <c r="D581" s="2"/>
      <c r="E581" s="2"/>
      <c r="F581" s="2"/>
      <c r="G581" s="3"/>
      <c r="H581" s="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25.5" x14ac:dyDescent="0.35">
      <c r="A582" s="2"/>
      <c r="B582" s="2"/>
      <c r="C582" s="2"/>
      <c r="D582" s="2"/>
      <c r="E582" s="2"/>
      <c r="F582" s="2"/>
      <c r="G582" s="3"/>
      <c r="H582" s="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25.5" x14ac:dyDescent="0.35">
      <c r="A583" s="2"/>
      <c r="B583" s="2"/>
      <c r="C583" s="2"/>
      <c r="D583" s="2"/>
      <c r="E583" s="2"/>
      <c r="F583" s="2"/>
      <c r="G583" s="3"/>
      <c r="H583" s="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25.5" x14ac:dyDescent="0.35">
      <c r="A584" s="2"/>
      <c r="B584" s="2"/>
      <c r="C584" s="2"/>
      <c r="D584" s="2"/>
      <c r="E584" s="2"/>
      <c r="F584" s="2"/>
      <c r="G584" s="3"/>
      <c r="H584" s="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25.5" x14ac:dyDescent="0.35">
      <c r="A585" s="2"/>
      <c r="B585" s="2"/>
      <c r="C585" s="2"/>
      <c r="D585" s="2"/>
      <c r="E585" s="2"/>
      <c r="F585" s="2"/>
      <c r="G585" s="3"/>
      <c r="H585" s="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25.5" x14ac:dyDescent="0.35">
      <c r="A586" s="2"/>
      <c r="B586" s="2"/>
      <c r="C586" s="2"/>
      <c r="D586" s="2"/>
      <c r="E586" s="2"/>
      <c r="F586" s="2"/>
      <c r="G586" s="3"/>
      <c r="H586" s="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25.5" x14ac:dyDescent="0.35">
      <c r="A587" s="2"/>
      <c r="B587" s="2"/>
      <c r="C587" s="2"/>
      <c r="D587" s="2"/>
      <c r="E587" s="2"/>
      <c r="F587" s="2"/>
      <c r="G587" s="3"/>
      <c r="H587" s="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25.5" x14ac:dyDescent="0.35">
      <c r="A588" s="2"/>
      <c r="B588" s="2"/>
      <c r="C588" s="2"/>
      <c r="D588" s="2"/>
      <c r="E588" s="2"/>
      <c r="F588" s="2"/>
      <c r="G588" s="3"/>
      <c r="H588" s="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25.5" x14ac:dyDescent="0.35">
      <c r="A589" s="2"/>
      <c r="B589" s="2"/>
      <c r="C589" s="2"/>
      <c r="D589" s="2"/>
      <c r="E589" s="2"/>
      <c r="F589" s="2"/>
      <c r="G589" s="3"/>
      <c r="H589" s="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25.5" x14ac:dyDescent="0.35">
      <c r="A590" s="2"/>
      <c r="B590" s="2"/>
      <c r="C590" s="2"/>
      <c r="D590" s="2"/>
      <c r="E590" s="2"/>
      <c r="F590" s="2"/>
      <c r="G590" s="3"/>
      <c r="H590" s="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25.5" x14ac:dyDescent="0.35">
      <c r="A591" s="2"/>
      <c r="B591" s="2"/>
      <c r="C591" s="2"/>
      <c r="D591" s="2"/>
      <c r="E591" s="2"/>
      <c r="F591" s="2"/>
      <c r="G591" s="3"/>
      <c r="H591" s="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25.5" x14ac:dyDescent="0.35">
      <c r="A592" s="2"/>
      <c r="B592" s="2"/>
      <c r="C592" s="2"/>
      <c r="D592" s="2"/>
      <c r="E592" s="2"/>
      <c r="F592" s="2"/>
      <c r="G592" s="3"/>
      <c r="H592" s="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25.5" x14ac:dyDescent="0.35">
      <c r="A593" s="2"/>
      <c r="B593" s="2"/>
      <c r="C593" s="2"/>
      <c r="D593" s="2"/>
      <c r="E593" s="2"/>
      <c r="F593" s="2"/>
      <c r="G593" s="3"/>
      <c r="H593" s="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25.5" x14ac:dyDescent="0.35">
      <c r="A594" s="2"/>
      <c r="B594" s="2"/>
      <c r="C594" s="2"/>
      <c r="D594" s="2"/>
      <c r="E594" s="2"/>
      <c r="F594" s="2"/>
      <c r="G594" s="3"/>
      <c r="H594" s="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25.5" x14ac:dyDescent="0.35">
      <c r="A595" s="2"/>
      <c r="B595" s="2"/>
      <c r="C595" s="2"/>
      <c r="D595" s="2"/>
      <c r="E595" s="2"/>
      <c r="F595" s="2"/>
      <c r="G595" s="3"/>
      <c r="H595" s="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25.5" x14ac:dyDescent="0.35">
      <c r="A596" s="2"/>
      <c r="B596" s="2"/>
      <c r="C596" s="2"/>
      <c r="D596" s="2"/>
      <c r="E596" s="2"/>
      <c r="F596" s="2"/>
      <c r="G596" s="3"/>
      <c r="H596" s="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25.5" x14ac:dyDescent="0.35">
      <c r="A597" s="2"/>
      <c r="B597" s="2"/>
      <c r="C597" s="2"/>
      <c r="D597" s="2"/>
      <c r="E597" s="2"/>
      <c r="F597" s="2"/>
      <c r="G597" s="3"/>
      <c r="H597" s="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25.5" x14ac:dyDescent="0.35">
      <c r="A598" s="2"/>
      <c r="B598" s="2"/>
      <c r="C598" s="2"/>
      <c r="D598" s="2"/>
      <c r="E598" s="2"/>
      <c r="F598" s="2"/>
      <c r="G598" s="3"/>
      <c r="H598" s="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25.5" x14ac:dyDescent="0.35">
      <c r="A599" s="2"/>
      <c r="B599" s="2"/>
      <c r="C599" s="2"/>
      <c r="D599" s="2"/>
      <c r="E599" s="2"/>
      <c r="F599" s="2"/>
      <c r="G599" s="3"/>
      <c r="H599" s="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25.5" x14ac:dyDescent="0.35">
      <c r="A600" s="2"/>
      <c r="B600" s="2"/>
      <c r="C600" s="2"/>
      <c r="D600" s="2"/>
      <c r="E600" s="2"/>
      <c r="F600" s="2"/>
      <c r="G600" s="3"/>
      <c r="H600" s="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25.5" x14ac:dyDescent="0.35">
      <c r="A601" s="2"/>
      <c r="B601" s="2"/>
      <c r="C601" s="2"/>
      <c r="D601" s="2"/>
      <c r="E601" s="2"/>
      <c r="F601" s="2"/>
      <c r="G601" s="3"/>
      <c r="H601" s="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25.5" x14ac:dyDescent="0.35">
      <c r="A602" s="2"/>
      <c r="B602" s="2"/>
      <c r="C602" s="2"/>
      <c r="D602" s="2"/>
      <c r="E602" s="2"/>
      <c r="F602" s="2"/>
      <c r="G602" s="3"/>
      <c r="H602" s="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25.5" x14ac:dyDescent="0.35">
      <c r="A603" s="2"/>
      <c r="B603" s="2"/>
      <c r="C603" s="2"/>
      <c r="D603" s="2"/>
      <c r="E603" s="2"/>
      <c r="F603" s="2"/>
      <c r="G603" s="3"/>
      <c r="H603" s="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25.5" x14ac:dyDescent="0.35">
      <c r="A604" s="2"/>
      <c r="B604" s="2"/>
      <c r="C604" s="2"/>
      <c r="D604" s="2"/>
      <c r="E604" s="2"/>
      <c r="F604" s="2"/>
      <c r="G604" s="3"/>
      <c r="H604" s="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25.5" x14ac:dyDescent="0.35">
      <c r="A605" s="2"/>
      <c r="B605" s="2"/>
      <c r="C605" s="2"/>
      <c r="D605" s="2"/>
      <c r="E605" s="2"/>
      <c r="F605" s="2"/>
      <c r="G605" s="3"/>
      <c r="H605" s="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25.5" x14ac:dyDescent="0.35">
      <c r="A606" s="2"/>
      <c r="B606" s="2"/>
      <c r="C606" s="2"/>
      <c r="D606" s="2"/>
      <c r="E606" s="2"/>
      <c r="F606" s="2"/>
      <c r="G606" s="3"/>
      <c r="H606" s="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25.5" x14ac:dyDescent="0.35">
      <c r="A607" s="2"/>
      <c r="B607" s="2"/>
      <c r="C607" s="2"/>
      <c r="D607" s="2"/>
      <c r="E607" s="2"/>
      <c r="F607" s="2"/>
      <c r="G607" s="3"/>
      <c r="H607" s="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25.5" x14ac:dyDescent="0.35">
      <c r="A608" s="2"/>
      <c r="B608" s="2"/>
      <c r="C608" s="2"/>
      <c r="D608" s="2"/>
      <c r="E608" s="2"/>
      <c r="F608" s="2"/>
      <c r="G608" s="3"/>
      <c r="H608" s="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25.5" x14ac:dyDescent="0.35">
      <c r="A609" s="2"/>
      <c r="B609" s="2"/>
      <c r="C609" s="2"/>
      <c r="D609" s="2"/>
      <c r="E609" s="2"/>
      <c r="F609" s="2"/>
      <c r="G609" s="3"/>
      <c r="H609" s="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25.5" x14ac:dyDescent="0.35">
      <c r="A610" s="2"/>
      <c r="B610" s="2"/>
      <c r="C610" s="2"/>
      <c r="D610" s="2"/>
      <c r="E610" s="2"/>
      <c r="F610" s="2"/>
      <c r="G610" s="3"/>
      <c r="H610" s="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25.5" x14ac:dyDescent="0.35">
      <c r="A611" s="2"/>
      <c r="B611" s="2"/>
      <c r="C611" s="2"/>
      <c r="D611" s="2"/>
      <c r="E611" s="2"/>
      <c r="F611" s="2"/>
      <c r="G611" s="3"/>
      <c r="H611" s="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25.5" x14ac:dyDescent="0.35">
      <c r="A612" s="2"/>
      <c r="B612" s="2"/>
      <c r="C612" s="2"/>
      <c r="D612" s="2"/>
      <c r="E612" s="2"/>
      <c r="F612" s="2"/>
      <c r="G612" s="3"/>
      <c r="H612" s="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25.5" x14ac:dyDescent="0.35">
      <c r="A613" s="2"/>
      <c r="B613" s="2"/>
      <c r="C613" s="2"/>
      <c r="D613" s="2"/>
      <c r="E613" s="2"/>
      <c r="F613" s="2"/>
      <c r="G613" s="3"/>
      <c r="H613" s="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25.5" x14ac:dyDescent="0.35">
      <c r="A614" s="2"/>
      <c r="B614" s="2"/>
      <c r="C614" s="2"/>
      <c r="D614" s="2"/>
      <c r="E614" s="2"/>
      <c r="F614" s="2"/>
      <c r="G614" s="3"/>
      <c r="H614" s="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25.5" x14ac:dyDescent="0.35">
      <c r="A615" s="2"/>
      <c r="B615" s="2"/>
      <c r="C615" s="2"/>
      <c r="D615" s="2"/>
      <c r="E615" s="2"/>
      <c r="F615" s="2"/>
      <c r="G615" s="3"/>
      <c r="H615" s="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25.5" x14ac:dyDescent="0.35">
      <c r="A616" s="2"/>
      <c r="B616" s="2"/>
      <c r="C616" s="2"/>
      <c r="D616" s="2"/>
      <c r="E616" s="2"/>
      <c r="F616" s="2"/>
      <c r="G616" s="3"/>
      <c r="H616" s="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25.5" x14ac:dyDescent="0.35">
      <c r="A617" s="2"/>
      <c r="B617" s="2"/>
      <c r="C617" s="2"/>
      <c r="D617" s="2"/>
      <c r="E617" s="2"/>
      <c r="F617" s="2"/>
      <c r="G617" s="3"/>
      <c r="H617" s="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25.5" x14ac:dyDescent="0.35">
      <c r="A618" s="2"/>
      <c r="B618" s="2"/>
      <c r="C618" s="2"/>
      <c r="D618" s="2"/>
      <c r="E618" s="2"/>
      <c r="F618" s="2"/>
      <c r="G618" s="3"/>
      <c r="H618" s="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25.5" x14ac:dyDescent="0.35">
      <c r="A619" s="2"/>
      <c r="B619" s="2"/>
      <c r="C619" s="2"/>
      <c r="D619" s="2"/>
      <c r="E619" s="2"/>
      <c r="F619" s="2"/>
      <c r="G619" s="3"/>
      <c r="H619" s="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25.5" x14ac:dyDescent="0.35">
      <c r="A620" s="2"/>
      <c r="B620" s="2"/>
      <c r="C620" s="2"/>
      <c r="D620" s="2"/>
      <c r="E620" s="2"/>
      <c r="F620" s="2"/>
      <c r="G620" s="3"/>
      <c r="H620" s="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25.5" x14ac:dyDescent="0.35">
      <c r="A621" s="2"/>
      <c r="B621" s="2"/>
      <c r="C621" s="2"/>
      <c r="D621" s="2"/>
      <c r="E621" s="2"/>
      <c r="F621" s="2"/>
      <c r="G621" s="3"/>
      <c r="H621" s="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25.5" x14ac:dyDescent="0.35">
      <c r="A622" s="2"/>
      <c r="B622" s="2"/>
      <c r="C622" s="2"/>
      <c r="D622" s="2"/>
      <c r="E622" s="2"/>
      <c r="F622" s="2"/>
      <c r="G622" s="3"/>
      <c r="H622" s="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25.5" x14ac:dyDescent="0.35">
      <c r="A623" s="2"/>
      <c r="B623" s="2"/>
      <c r="C623" s="2"/>
      <c r="D623" s="2"/>
      <c r="E623" s="2"/>
      <c r="F623" s="2"/>
      <c r="G623" s="3"/>
      <c r="H623" s="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25.5" x14ac:dyDescent="0.35">
      <c r="A624" s="2"/>
      <c r="B624" s="2"/>
      <c r="C624" s="2"/>
      <c r="D624" s="2"/>
      <c r="E624" s="2"/>
      <c r="F624" s="2"/>
      <c r="G624" s="3"/>
      <c r="H624" s="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25.5" x14ac:dyDescent="0.35">
      <c r="A625" s="2"/>
      <c r="B625" s="2"/>
      <c r="C625" s="2"/>
      <c r="D625" s="2"/>
      <c r="E625" s="2"/>
      <c r="F625" s="2"/>
      <c r="G625" s="3"/>
      <c r="H625" s="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25.5" x14ac:dyDescent="0.35">
      <c r="A626" s="2"/>
      <c r="B626" s="2"/>
      <c r="C626" s="2"/>
      <c r="D626" s="2"/>
      <c r="E626" s="2"/>
      <c r="F626" s="2"/>
      <c r="G626" s="3"/>
      <c r="H626" s="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25.5" x14ac:dyDescent="0.35">
      <c r="A627" s="2"/>
      <c r="B627" s="2"/>
      <c r="C627" s="2"/>
      <c r="D627" s="2"/>
      <c r="E627" s="2"/>
      <c r="F627" s="2"/>
      <c r="G627" s="3"/>
      <c r="H627" s="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25.5" x14ac:dyDescent="0.35">
      <c r="A628" s="2"/>
      <c r="B628" s="2"/>
      <c r="C628" s="2"/>
      <c r="D628" s="2"/>
      <c r="E628" s="2"/>
      <c r="F628" s="2"/>
      <c r="G628" s="3"/>
      <c r="H628" s="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25.5" x14ac:dyDescent="0.35">
      <c r="A629" s="2"/>
      <c r="B629" s="2"/>
      <c r="C629" s="2"/>
      <c r="D629" s="2"/>
      <c r="E629" s="2"/>
      <c r="F629" s="2"/>
      <c r="G629" s="3"/>
      <c r="H629" s="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25.5" x14ac:dyDescent="0.35">
      <c r="A630" s="2"/>
      <c r="B630" s="2"/>
      <c r="C630" s="2"/>
      <c r="D630" s="2"/>
      <c r="E630" s="2"/>
      <c r="F630" s="2"/>
      <c r="G630" s="3"/>
      <c r="H630" s="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25.5" x14ac:dyDescent="0.35">
      <c r="A631" s="2"/>
      <c r="B631" s="2"/>
      <c r="C631" s="2"/>
      <c r="D631" s="2"/>
      <c r="E631" s="2"/>
      <c r="F631" s="2"/>
      <c r="G631" s="3"/>
      <c r="H631" s="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25.5" x14ac:dyDescent="0.35">
      <c r="A632" s="2"/>
      <c r="B632" s="2"/>
      <c r="C632" s="2"/>
      <c r="D632" s="2"/>
      <c r="E632" s="2"/>
      <c r="F632" s="2"/>
      <c r="G632" s="3"/>
      <c r="H632" s="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25.5" x14ac:dyDescent="0.35">
      <c r="A633" s="2"/>
      <c r="B633" s="2"/>
      <c r="C633" s="2"/>
      <c r="D633" s="2"/>
      <c r="E633" s="2"/>
      <c r="F633" s="2"/>
      <c r="G633" s="3"/>
      <c r="H633" s="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25.5" x14ac:dyDescent="0.35">
      <c r="A634" s="2"/>
      <c r="B634" s="2"/>
      <c r="C634" s="2"/>
      <c r="D634" s="2"/>
      <c r="E634" s="2"/>
      <c r="F634" s="2"/>
      <c r="G634" s="3"/>
      <c r="H634" s="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25.5" x14ac:dyDescent="0.35">
      <c r="A635" s="2"/>
      <c r="B635" s="2"/>
      <c r="C635" s="2"/>
      <c r="D635" s="2"/>
      <c r="E635" s="2"/>
      <c r="F635" s="2"/>
      <c r="G635" s="3"/>
      <c r="H635" s="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25.5" x14ac:dyDescent="0.35">
      <c r="A636" s="2"/>
      <c r="B636" s="2"/>
      <c r="C636" s="2"/>
      <c r="D636" s="2"/>
      <c r="E636" s="2"/>
      <c r="F636" s="2"/>
      <c r="G636" s="3"/>
      <c r="H636" s="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25.5" x14ac:dyDescent="0.35">
      <c r="A637" s="2"/>
      <c r="B637" s="2"/>
      <c r="C637" s="2"/>
      <c r="D637" s="2"/>
      <c r="E637" s="2"/>
      <c r="F637" s="2"/>
      <c r="G637" s="3"/>
      <c r="H637" s="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25.5" x14ac:dyDescent="0.35">
      <c r="A638" s="2"/>
      <c r="B638" s="2"/>
      <c r="C638" s="2"/>
      <c r="D638" s="2"/>
      <c r="E638" s="2"/>
      <c r="F638" s="2"/>
      <c r="G638" s="3"/>
      <c r="H638" s="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25.5" x14ac:dyDescent="0.35">
      <c r="A639" s="2"/>
      <c r="B639" s="2"/>
      <c r="C639" s="2"/>
      <c r="D639" s="2"/>
      <c r="E639" s="2"/>
      <c r="F639" s="2"/>
      <c r="G639" s="3"/>
      <c r="H639" s="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25.5" x14ac:dyDescent="0.35">
      <c r="A640" s="2"/>
      <c r="B640" s="2"/>
      <c r="C640" s="2"/>
      <c r="D640" s="2"/>
      <c r="E640" s="2"/>
      <c r="F640" s="2"/>
      <c r="G640" s="3"/>
      <c r="H640" s="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25.5" x14ac:dyDescent="0.35">
      <c r="A641" s="2"/>
      <c r="B641" s="2"/>
      <c r="C641" s="2"/>
      <c r="D641" s="2"/>
      <c r="E641" s="2"/>
      <c r="F641" s="2"/>
      <c r="G641" s="3"/>
      <c r="H641" s="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25.5" x14ac:dyDescent="0.35">
      <c r="A642" s="2"/>
      <c r="B642" s="2"/>
      <c r="C642" s="2"/>
      <c r="D642" s="2"/>
      <c r="E642" s="2"/>
      <c r="F642" s="2"/>
      <c r="G642" s="3"/>
      <c r="H642" s="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25.5" x14ac:dyDescent="0.35">
      <c r="A643" s="2"/>
      <c r="B643" s="2"/>
      <c r="C643" s="2"/>
      <c r="D643" s="2"/>
      <c r="E643" s="2"/>
      <c r="F643" s="2"/>
      <c r="G643" s="3"/>
      <c r="H643" s="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25.5" x14ac:dyDescent="0.35">
      <c r="A644" s="2"/>
      <c r="B644" s="2"/>
      <c r="C644" s="2"/>
      <c r="D644" s="2"/>
      <c r="E644" s="2"/>
      <c r="F644" s="2"/>
      <c r="G644" s="3"/>
      <c r="H644" s="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25.5" x14ac:dyDescent="0.35">
      <c r="A645" s="2"/>
      <c r="B645" s="2"/>
      <c r="C645" s="2"/>
      <c r="D645" s="2"/>
      <c r="E645" s="2"/>
      <c r="F645" s="2"/>
      <c r="G645" s="3"/>
      <c r="H645" s="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25.5" x14ac:dyDescent="0.35">
      <c r="A646" s="2"/>
      <c r="B646" s="2"/>
      <c r="C646" s="2"/>
      <c r="D646" s="2"/>
      <c r="E646" s="2"/>
      <c r="F646" s="2"/>
      <c r="G646" s="3"/>
      <c r="H646" s="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25.5" x14ac:dyDescent="0.35">
      <c r="A647" s="2"/>
      <c r="B647" s="2"/>
      <c r="C647" s="2"/>
      <c r="D647" s="2"/>
      <c r="E647" s="2"/>
      <c r="F647" s="2"/>
      <c r="G647" s="3"/>
      <c r="H647" s="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25.5" x14ac:dyDescent="0.35">
      <c r="A648" s="2"/>
      <c r="B648" s="2"/>
      <c r="C648" s="2"/>
      <c r="D648" s="2"/>
      <c r="E648" s="2"/>
      <c r="F648" s="2"/>
      <c r="G648" s="3"/>
      <c r="H648" s="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25.5" x14ac:dyDescent="0.35">
      <c r="A649" s="2"/>
      <c r="B649" s="2"/>
      <c r="C649" s="2"/>
      <c r="D649" s="2"/>
      <c r="E649" s="2"/>
      <c r="F649" s="2"/>
      <c r="G649" s="3"/>
      <c r="H649" s="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25.5" x14ac:dyDescent="0.35">
      <c r="A650" s="2"/>
      <c r="B650" s="2"/>
      <c r="C650" s="2"/>
      <c r="D650" s="2"/>
      <c r="E650" s="2"/>
      <c r="F650" s="2"/>
      <c r="G650" s="3"/>
      <c r="H650" s="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25.5" x14ac:dyDescent="0.35">
      <c r="A651" s="2"/>
      <c r="B651" s="2"/>
      <c r="C651" s="2"/>
      <c r="D651" s="2"/>
      <c r="E651" s="2"/>
      <c r="F651" s="2"/>
      <c r="G651" s="3"/>
      <c r="H651" s="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25.5" x14ac:dyDescent="0.35">
      <c r="A652" s="2"/>
      <c r="B652" s="2"/>
      <c r="C652" s="2"/>
      <c r="D652" s="2"/>
      <c r="E652" s="2"/>
      <c r="F652" s="2"/>
      <c r="G652" s="3"/>
      <c r="H652" s="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25.5" x14ac:dyDescent="0.35">
      <c r="A653" s="2"/>
      <c r="B653" s="2"/>
      <c r="C653" s="2"/>
      <c r="D653" s="2"/>
      <c r="E653" s="2"/>
      <c r="F653" s="2"/>
      <c r="G653" s="3"/>
      <c r="H653" s="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25.5" x14ac:dyDescent="0.35">
      <c r="A654" s="2"/>
      <c r="B654" s="2"/>
      <c r="C654" s="2"/>
      <c r="D654" s="2"/>
      <c r="E654" s="2"/>
      <c r="F654" s="2"/>
      <c r="G654" s="3"/>
      <c r="H654" s="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25.5" x14ac:dyDescent="0.35">
      <c r="A655" s="2"/>
      <c r="B655" s="2"/>
      <c r="C655" s="2"/>
      <c r="D655" s="2"/>
      <c r="E655" s="2"/>
      <c r="F655" s="2"/>
      <c r="G655" s="3"/>
      <c r="H655" s="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25.5" x14ac:dyDescent="0.35">
      <c r="A656" s="2"/>
      <c r="B656" s="2"/>
      <c r="C656" s="2"/>
      <c r="D656" s="2"/>
      <c r="E656" s="2"/>
      <c r="F656" s="2"/>
      <c r="G656" s="3"/>
      <c r="H656" s="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25.5" x14ac:dyDescent="0.35">
      <c r="A657" s="2"/>
      <c r="B657" s="2"/>
      <c r="C657" s="2"/>
      <c r="D657" s="2"/>
      <c r="E657" s="2"/>
      <c r="F657" s="2"/>
      <c r="G657" s="3"/>
      <c r="H657" s="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25.5" x14ac:dyDescent="0.35">
      <c r="A658" s="2"/>
      <c r="B658" s="2"/>
      <c r="C658" s="2"/>
      <c r="D658" s="2"/>
      <c r="E658" s="2"/>
      <c r="F658" s="2"/>
      <c r="G658" s="3"/>
      <c r="H658" s="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25.5" x14ac:dyDescent="0.35">
      <c r="A659" s="2"/>
      <c r="B659" s="2"/>
      <c r="C659" s="2"/>
      <c r="D659" s="2"/>
      <c r="E659" s="2"/>
      <c r="F659" s="2"/>
      <c r="G659" s="3"/>
      <c r="H659" s="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25.5" x14ac:dyDescent="0.35">
      <c r="A660" s="2"/>
      <c r="B660" s="2"/>
      <c r="C660" s="2"/>
      <c r="D660" s="2"/>
      <c r="E660" s="2"/>
      <c r="F660" s="2"/>
      <c r="G660" s="3"/>
      <c r="H660" s="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25.5" x14ac:dyDescent="0.35">
      <c r="A661" s="2"/>
      <c r="B661" s="2"/>
      <c r="C661" s="2"/>
      <c r="D661" s="2"/>
      <c r="E661" s="2"/>
      <c r="F661" s="2"/>
      <c r="G661" s="3"/>
      <c r="H661" s="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25.5" x14ac:dyDescent="0.35">
      <c r="A662" s="2"/>
      <c r="B662" s="2"/>
      <c r="C662" s="2"/>
      <c r="D662" s="2"/>
      <c r="E662" s="2"/>
      <c r="F662" s="2"/>
      <c r="G662" s="3"/>
      <c r="H662" s="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25.5" x14ac:dyDescent="0.35">
      <c r="A663" s="2"/>
      <c r="B663" s="2"/>
      <c r="C663" s="2"/>
      <c r="D663" s="2"/>
      <c r="E663" s="2"/>
      <c r="F663" s="2"/>
      <c r="G663" s="3"/>
      <c r="H663" s="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25.5" x14ac:dyDescent="0.35">
      <c r="A664" s="2"/>
      <c r="B664" s="2"/>
      <c r="C664" s="2"/>
      <c r="D664" s="2"/>
      <c r="E664" s="2"/>
      <c r="F664" s="2"/>
      <c r="G664" s="3"/>
      <c r="H664" s="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25.5" x14ac:dyDescent="0.35">
      <c r="A665" s="2"/>
      <c r="B665" s="2"/>
      <c r="C665" s="2"/>
      <c r="D665" s="2"/>
      <c r="E665" s="2"/>
      <c r="F665" s="2"/>
      <c r="G665" s="3"/>
      <c r="H665" s="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25.5" x14ac:dyDescent="0.35">
      <c r="A666" s="2"/>
      <c r="B666" s="2"/>
      <c r="C666" s="2"/>
      <c r="D666" s="2"/>
      <c r="E666" s="2"/>
      <c r="F666" s="2"/>
      <c r="G666" s="3"/>
      <c r="H666" s="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25.5" x14ac:dyDescent="0.35">
      <c r="A667" s="2"/>
      <c r="B667" s="2"/>
      <c r="C667" s="2"/>
      <c r="D667" s="2"/>
      <c r="E667" s="2"/>
      <c r="F667" s="2"/>
      <c r="G667" s="3"/>
      <c r="H667" s="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25.5" x14ac:dyDescent="0.35">
      <c r="A668" s="2"/>
      <c r="B668" s="2"/>
      <c r="C668" s="2"/>
      <c r="D668" s="2"/>
      <c r="E668" s="2"/>
      <c r="F668" s="2"/>
      <c r="G668" s="3"/>
      <c r="H668" s="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25.5" x14ac:dyDescent="0.35">
      <c r="A669" s="2"/>
      <c r="B669" s="2"/>
      <c r="C669" s="2"/>
      <c r="D669" s="2"/>
      <c r="E669" s="2"/>
      <c r="F669" s="2"/>
      <c r="G669" s="3"/>
      <c r="H669" s="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25.5" x14ac:dyDescent="0.35">
      <c r="A670" s="2"/>
      <c r="B670" s="2"/>
      <c r="C670" s="2"/>
      <c r="D670" s="2"/>
      <c r="E670" s="2"/>
      <c r="F670" s="2"/>
      <c r="G670" s="3"/>
      <c r="H670" s="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25.5" x14ac:dyDescent="0.35">
      <c r="A671" s="2"/>
      <c r="B671" s="2"/>
      <c r="C671" s="2"/>
      <c r="D671" s="2"/>
      <c r="E671" s="2"/>
      <c r="F671" s="2"/>
      <c r="G671" s="3"/>
      <c r="H671" s="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25.5" x14ac:dyDescent="0.35">
      <c r="A672" s="2"/>
      <c r="B672" s="2"/>
      <c r="C672" s="2"/>
      <c r="D672" s="2"/>
      <c r="E672" s="2"/>
      <c r="F672" s="2"/>
      <c r="G672" s="3"/>
      <c r="H672" s="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25.5" x14ac:dyDescent="0.35">
      <c r="A673" s="2"/>
      <c r="B673" s="2"/>
      <c r="C673" s="2"/>
      <c r="D673" s="2"/>
      <c r="E673" s="2"/>
      <c r="F673" s="2"/>
      <c r="G673" s="3"/>
      <c r="H673" s="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25.5" x14ac:dyDescent="0.35">
      <c r="A674" s="2"/>
      <c r="B674" s="2"/>
      <c r="C674" s="2"/>
      <c r="D674" s="2"/>
      <c r="E674" s="2"/>
      <c r="F674" s="2"/>
      <c r="G674" s="3"/>
      <c r="H674" s="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25.5" x14ac:dyDescent="0.35">
      <c r="A675" s="2"/>
      <c r="B675" s="2"/>
      <c r="C675" s="2"/>
      <c r="D675" s="2"/>
      <c r="E675" s="2"/>
      <c r="F675" s="2"/>
      <c r="G675" s="3"/>
      <c r="H675" s="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25.5" x14ac:dyDescent="0.35">
      <c r="A676" s="2"/>
      <c r="B676" s="2"/>
      <c r="C676" s="2"/>
      <c r="D676" s="2"/>
      <c r="E676" s="2"/>
      <c r="F676" s="2"/>
      <c r="G676" s="3"/>
      <c r="H676" s="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25.5" x14ac:dyDescent="0.35">
      <c r="A677" s="2"/>
      <c r="B677" s="2"/>
      <c r="C677" s="2"/>
      <c r="D677" s="2"/>
      <c r="E677" s="2"/>
      <c r="F677" s="2"/>
      <c r="G677" s="3"/>
      <c r="H677" s="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25.5" x14ac:dyDescent="0.35">
      <c r="A678" s="2"/>
      <c r="B678" s="2"/>
      <c r="C678" s="2"/>
      <c r="D678" s="2"/>
      <c r="E678" s="2"/>
      <c r="F678" s="2"/>
      <c r="G678" s="3"/>
      <c r="H678" s="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25.5" x14ac:dyDescent="0.35">
      <c r="A679" s="2"/>
      <c r="B679" s="2"/>
      <c r="C679" s="2"/>
      <c r="D679" s="2"/>
      <c r="E679" s="2"/>
      <c r="F679" s="2"/>
      <c r="G679" s="3"/>
      <c r="H679" s="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25.5" x14ac:dyDescent="0.35">
      <c r="A680" s="2"/>
      <c r="B680" s="2"/>
      <c r="C680" s="2"/>
      <c r="D680" s="2"/>
      <c r="E680" s="2"/>
      <c r="F680" s="2"/>
      <c r="G680" s="3"/>
      <c r="H680" s="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25.5" x14ac:dyDescent="0.35">
      <c r="A681" s="2"/>
      <c r="B681" s="2"/>
      <c r="C681" s="2"/>
      <c r="D681" s="2"/>
      <c r="E681" s="2"/>
      <c r="F681" s="2"/>
      <c r="G681" s="3"/>
      <c r="H681" s="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25.5" x14ac:dyDescent="0.35">
      <c r="A682" s="2"/>
      <c r="B682" s="2"/>
      <c r="C682" s="2"/>
      <c r="D682" s="2"/>
      <c r="E682" s="2"/>
      <c r="F682" s="2"/>
      <c r="G682" s="3"/>
      <c r="H682" s="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25.5" x14ac:dyDescent="0.35">
      <c r="A683" s="2"/>
      <c r="B683" s="2"/>
      <c r="C683" s="2"/>
      <c r="D683" s="2"/>
      <c r="E683" s="2"/>
      <c r="F683" s="2"/>
      <c r="G683" s="3"/>
      <c r="H683" s="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25.5" x14ac:dyDescent="0.35">
      <c r="A684" s="2"/>
      <c r="B684" s="2"/>
      <c r="C684" s="2"/>
      <c r="D684" s="2"/>
      <c r="E684" s="2"/>
      <c r="F684" s="2"/>
      <c r="G684" s="3"/>
      <c r="H684" s="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25.5" x14ac:dyDescent="0.35">
      <c r="A685" s="2"/>
      <c r="B685" s="2"/>
      <c r="C685" s="2"/>
      <c r="D685" s="2"/>
      <c r="E685" s="2"/>
      <c r="F685" s="2"/>
      <c r="G685" s="3"/>
      <c r="H685" s="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25.5" x14ac:dyDescent="0.35">
      <c r="A686" s="2"/>
      <c r="B686" s="2"/>
      <c r="C686" s="2"/>
      <c r="D686" s="2"/>
      <c r="E686" s="2"/>
      <c r="F686" s="2"/>
      <c r="G686" s="3"/>
      <c r="H686" s="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25.5" x14ac:dyDescent="0.35">
      <c r="A687" s="2"/>
      <c r="B687" s="2"/>
      <c r="C687" s="2"/>
      <c r="D687" s="2"/>
      <c r="E687" s="2"/>
      <c r="F687" s="2"/>
      <c r="G687" s="3"/>
      <c r="H687" s="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25.5" x14ac:dyDescent="0.35">
      <c r="A688" s="2"/>
      <c r="B688" s="2"/>
      <c r="C688" s="2"/>
      <c r="D688" s="2"/>
      <c r="E688" s="2"/>
      <c r="F688" s="2"/>
      <c r="G688" s="3"/>
      <c r="H688" s="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25.5" x14ac:dyDescent="0.35">
      <c r="A689" s="2"/>
      <c r="B689" s="2"/>
      <c r="C689" s="2"/>
      <c r="D689" s="2"/>
      <c r="E689" s="2"/>
      <c r="F689" s="2"/>
      <c r="G689" s="3"/>
      <c r="H689" s="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25.5" x14ac:dyDescent="0.35">
      <c r="A690" s="2"/>
      <c r="B690" s="2"/>
      <c r="C690" s="2"/>
      <c r="D690" s="2"/>
      <c r="E690" s="2"/>
      <c r="F690" s="2"/>
      <c r="G690" s="3"/>
      <c r="H690" s="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25.5" x14ac:dyDescent="0.35">
      <c r="A691" s="2"/>
      <c r="B691" s="2"/>
      <c r="C691" s="2"/>
      <c r="D691" s="2"/>
      <c r="E691" s="2"/>
      <c r="F691" s="2"/>
      <c r="G691" s="3"/>
      <c r="H691" s="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25.5" x14ac:dyDescent="0.35">
      <c r="A692" s="2"/>
      <c r="B692" s="2"/>
      <c r="C692" s="2"/>
      <c r="D692" s="2"/>
      <c r="E692" s="2"/>
      <c r="F692" s="2"/>
      <c r="G692" s="3"/>
      <c r="H692" s="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25.5" x14ac:dyDescent="0.35">
      <c r="A693" s="2"/>
      <c r="B693" s="2"/>
      <c r="C693" s="2"/>
      <c r="D693" s="2"/>
      <c r="E693" s="2"/>
      <c r="F693" s="2"/>
      <c r="G693" s="3"/>
      <c r="H693" s="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25.5" x14ac:dyDescent="0.35">
      <c r="A694" s="2"/>
      <c r="B694" s="2"/>
      <c r="C694" s="2"/>
      <c r="D694" s="2"/>
      <c r="E694" s="2"/>
      <c r="F694" s="2"/>
      <c r="G694" s="3"/>
      <c r="H694" s="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25.5" x14ac:dyDescent="0.35">
      <c r="A695" s="2"/>
      <c r="B695" s="2"/>
      <c r="C695" s="2"/>
      <c r="D695" s="2"/>
      <c r="E695" s="2"/>
      <c r="F695" s="2"/>
      <c r="G695" s="3"/>
      <c r="H695" s="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25.5" x14ac:dyDescent="0.35">
      <c r="A696" s="2"/>
      <c r="B696" s="2"/>
      <c r="C696" s="2"/>
      <c r="D696" s="2"/>
      <c r="E696" s="2"/>
      <c r="F696" s="2"/>
      <c r="G696" s="3"/>
      <c r="H696" s="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25.5" x14ac:dyDescent="0.35">
      <c r="A697" s="2"/>
      <c r="B697" s="2"/>
      <c r="C697" s="2"/>
      <c r="D697" s="2"/>
      <c r="E697" s="2"/>
      <c r="F697" s="2"/>
      <c r="G697" s="3"/>
      <c r="H697" s="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25.5" x14ac:dyDescent="0.35">
      <c r="A698" s="2"/>
      <c r="B698" s="2"/>
      <c r="C698" s="2"/>
      <c r="D698" s="2"/>
      <c r="E698" s="2"/>
      <c r="F698" s="2"/>
      <c r="G698" s="3"/>
      <c r="H698" s="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25.5" x14ac:dyDescent="0.35">
      <c r="A699" s="2"/>
      <c r="B699" s="2"/>
      <c r="C699" s="2"/>
      <c r="D699" s="2"/>
      <c r="E699" s="2"/>
      <c r="F699" s="2"/>
      <c r="G699" s="3"/>
      <c r="H699" s="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25.5" x14ac:dyDescent="0.35">
      <c r="A700" s="2"/>
      <c r="B700" s="2"/>
      <c r="C700" s="2"/>
      <c r="D700" s="2"/>
      <c r="E700" s="2"/>
      <c r="F700" s="2"/>
      <c r="G700" s="3"/>
      <c r="H700" s="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25.5" x14ac:dyDescent="0.35">
      <c r="A701" s="2"/>
      <c r="B701" s="2"/>
      <c r="C701" s="2"/>
      <c r="D701" s="2"/>
      <c r="E701" s="2"/>
      <c r="F701" s="2"/>
      <c r="G701" s="3"/>
      <c r="H701" s="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25.5" x14ac:dyDescent="0.35">
      <c r="A702" s="2"/>
      <c r="B702" s="2"/>
      <c r="C702" s="2"/>
      <c r="D702" s="2"/>
      <c r="E702" s="2"/>
      <c r="F702" s="2"/>
      <c r="G702" s="3"/>
      <c r="H702" s="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25.5" x14ac:dyDescent="0.35">
      <c r="A703" s="2"/>
      <c r="B703" s="2"/>
      <c r="C703" s="2"/>
      <c r="D703" s="2"/>
      <c r="E703" s="2"/>
      <c r="F703" s="2"/>
      <c r="G703" s="3"/>
      <c r="H703" s="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25.5" x14ac:dyDescent="0.35">
      <c r="A704" s="2"/>
      <c r="B704" s="2"/>
      <c r="C704" s="2"/>
      <c r="D704" s="2"/>
      <c r="E704" s="2"/>
      <c r="F704" s="2"/>
      <c r="G704" s="3"/>
      <c r="H704" s="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25.5" x14ac:dyDescent="0.35">
      <c r="A705" s="2"/>
      <c r="B705" s="2"/>
      <c r="C705" s="2"/>
      <c r="D705" s="2"/>
      <c r="E705" s="2"/>
      <c r="F705" s="2"/>
      <c r="G705" s="3"/>
      <c r="H705" s="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25.5" x14ac:dyDescent="0.35">
      <c r="A706" s="2"/>
      <c r="B706" s="2"/>
      <c r="C706" s="2"/>
      <c r="D706" s="2"/>
      <c r="E706" s="2"/>
      <c r="F706" s="2"/>
      <c r="G706" s="3"/>
      <c r="H706" s="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25.5" x14ac:dyDescent="0.35">
      <c r="A707" s="2"/>
      <c r="B707" s="2"/>
      <c r="C707" s="2"/>
      <c r="D707" s="2"/>
      <c r="E707" s="2"/>
      <c r="F707" s="2"/>
      <c r="G707" s="3"/>
      <c r="H707" s="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25.5" x14ac:dyDescent="0.35">
      <c r="A708" s="2"/>
      <c r="B708" s="2"/>
      <c r="C708" s="2"/>
      <c r="D708" s="2"/>
      <c r="E708" s="2"/>
      <c r="F708" s="2"/>
      <c r="G708" s="3"/>
      <c r="H708" s="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25.5" x14ac:dyDescent="0.35">
      <c r="A709" s="2"/>
      <c r="B709" s="2"/>
      <c r="C709" s="2"/>
      <c r="D709" s="2"/>
      <c r="E709" s="2"/>
      <c r="F709" s="2"/>
      <c r="G709" s="3"/>
      <c r="H709" s="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25.5" x14ac:dyDescent="0.35">
      <c r="A710" s="2"/>
      <c r="B710" s="2"/>
      <c r="C710" s="2"/>
      <c r="D710" s="2"/>
      <c r="E710" s="2"/>
      <c r="F710" s="2"/>
      <c r="G710" s="3"/>
      <c r="H710" s="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25.5" x14ac:dyDescent="0.35">
      <c r="A711" s="2"/>
      <c r="B711" s="2"/>
      <c r="C711" s="2"/>
      <c r="D711" s="2"/>
      <c r="E711" s="2"/>
      <c r="F711" s="2"/>
      <c r="G711" s="3"/>
      <c r="H711" s="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25.5" x14ac:dyDescent="0.35">
      <c r="A712" s="2"/>
      <c r="B712" s="2"/>
      <c r="C712" s="2"/>
      <c r="D712" s="2"/>
      <c r="E712" s="2"/>
      <c r="F712" s="2"/>
      <c r="G712" s="3"/>
      <c r="H712" s="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25.5" x14ac:dyDescent="0.35">
      <c r="A713" s="2"/>
      <c r="B713" s="2"/>
      <c r="C713" s="2"/>
      <c r="D713" s="2"/>
      <c r="E713" s="2"/>
      <c r="F713" s="2"/>
      <c r="G713" s="3"/>
      <c r="H713" s="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25.5" x14ac:dyDescent="0.35">
      <c r="A714" s="2"/>
      <c r="B714" s="2"/>
      <c r="C714" s="2"/>
      <c r="D714" s="2"/>
      <c r="E714" s="2"/>
      <c r="F714" s="2"/>
      <c r="G714" s="3"/>
      <c r="H714" s="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25.5" x14ac:dyDescent="0.35">
      <c r="A715" s="2"/>
      <c r="B715" s="2"/>
      <c r="C715" s="2"/>
      <c r="D715" s="2"/>
      <c r="E715" s="2"/>
      <c r="F715" s="2"/>
      <c r="G715" s="3"/>
      <c r="H715" s="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25.5" x14ac:dyDescent="0.35">
      <c r="A716" s="2"/>
      <c r="B716" s="2"/>
      <c r="C716" s="2"/>
      <c r="D716" s="2"/>
      <c r="E716" s="2"/>
      <c r="F716" s="2"/>
      <c r="G716" s="3"/>
      <c r="H716" s="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25.5" x14ac:dyDescent="0.35">
      <c r="A717" s="2"/>
      <c r="B717" s="2"/>
      <c r="C717" s="2"/>
      <c r="D717" s="2"/>
      <c r="E717" s="2"/>
      <c r="F717" s="2"/>
      <c r="G717" s="3"/>
      <c r="H717" s="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25.5" x14ac:dyDescent="0.35">
      <c r="A718" s="2"/>
      <c r="B718" s="2"/>
      <c r="C718" s="2"/>
      <c r="D718" s="2"/>
      <c r="E718" s="2"/>
      <c r="F718" s="2"/>
      <c r="G718" s="3"/>
      <c r="H718" s="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25.5" x14ac:dyDescent="0.35">
      <c r="A719" s="2"/>
      <c r="B719" s="2"/>
      <c r="C719" s="2"/>
      <c r="D719" s="2"/>
      <c r="E719" s="2"/>
      <c r="F719" s="2"/>
      <c r="G719" s="3"/>
      <c r="H719" s="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25.5" x14ac:dyDescent="0.35">
      <c r="A720" s="2"/>
      <c r="B720" s="2"/>
      <c r="C720" s="2"/>
      <c r="D720" s="2"/>
      <c r="E720" s="2"/>
      <c r="F720" s="2"/>
      <c r="G720" s="3"/>
      <c r="H720" s="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25.5" x14ac:dyDescent="0.35">
      <c r="A721" s="2"/>
      <c r="B721" s="2"/>
      <c r="C721" s="2"/>
      <c r="D721" s="2"/>
      <c r="E721" s="2"/>
      <c r="F721" s="2"/>
      <c r="G721" s="3"/>
      <c r="H721" s="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25.5" x14ac:dyDescent="0.35">
      <c r="A722" s="2"/>
      <c r="B722" s="2"/>
      <c r="C722" s="2"/>
      <c r="D722" s="2"/>
      <c r="E722" s="2"/>
      <c r="F722" s="2"/>
      <c r="G722" s="3"/>
      <c r="H722" s="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25.5" x14ac:dyDescent="0.35">
      <c r="A723" s="2"/>
      <c r="B723" s="2"/>
      <c r="C723" s="2"/>
      <c r="D723" s="2"/>
      <c r="E723" s="2"/>
      <c r="F723" s="2"/>
      <c r="G723" s="3"/>
      <c r="H723" s="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25.5" x14ac:dyDescent="0.35">
      <c r="A724" s="2"/>
      <c r="B724" s="2"/>
      <c r="C724" s="2"/>
      <c r="D724" s="2"/>
      <c r="E724" s="2"/>
      <c r="F724" s="2"/>
      <c r="G724" s="3"/>
      <c r="H724" s="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25.5" x14ac:dyDescent="0.35">
      <c r="A725" s="2"/>
      <c r="B725" s="2"/>
      <c r="C725" s="2"/>
      <c r="D725" s="2"/>
      <c r="E725" s="2"/>
      <c r="F725" s="2"/>
      <c r="G725" s="3"/>
      <c r="H725" s="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25.5" x14ac:dyDescent="0.35">
      <c r="A726" s="2"/>
      <c r="B726" s="2"/>
      <c r="C726" s="2"/>
      <c r="D726" s="2"/>
      <c r="E726" s="2"/>
      <c r="F726" s="2"/>
      <c r="G726" s="3"/>
      <c r="H726" s="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25.5" x14ac:dyDescent="0.35">
      <c r="A727" s="2"/>
      <c r="B727" s="2"/>
      <c r="C727" s="2"/>
      <c r="D727" s="2"/>
      <c r="E727" s="2"/>
      <c r="F727" s="2"/>
      <c r="G727" s="3"/>
      <c r="H727" s="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25.5" x14ac:dyDescent="0.35">
      <c r="A728" s="2"/>
      <c r="B728" s="2"/>
      <c r="C728" s="2"/>
      <c r="D728" s="2"/>
      <c r="E728" s="2"/>
      <c r="F728" s="2"/>
      <c r="G728" s="3"/>
      <c r="H728" s="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25.5" x14ac:dyDescent="0.35">
      <c r="A729" s="2"/>
      <c r="B729" s="2"/>
      <c r="C729" s="2"/>
      <c r="D729" s="2"/>
      <c r="E729" s="2"/>
      <c r="F729" s="2"/>
      <c r="G729" s="3"/>
      <c r="H729" s="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25.5" x14ac:dyDescent="0.35">
      <c r="A730" s="2"/>
      <c r="B730" s="2"/>
      <c r="C730" s="2"/>
      <c r="D730" s="2"/>
      <c r="E730" s="2"/>
      <c r="F730" s="2"/>
      <c r="G730" s="3"/>
      <c r="H730" s="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25.5" x14ac:dyDescent="0.35">
      <c r="A731" s="2"/>
      <c r="B731" s="2"/>
      <c r="C731" s="2"/>
      <c r="D731" s="2"/>
      <c r="E731" s="2"/>
      <c r="F731" s="2"/>
      <c r="G731" s="3"/>
      <c r="H731" s="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25.5" x14ac:dyDescent="0.35">
      <c r="A732" s="2"/>
      <c r="B732" s="2"/>
      <c r="C732" s="2"/>
      <c r="D732" s="2"/>
      <c r="E732" s="2"/>
      <c r="F732" s="2"/>
      <c r="G732" s="3"/>
      <c r="H732" s="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25.5" x14ac:dyDescent="0.35">
      <c r="A733" s="2"/>
      <c r="B733" s="2"/>
      <c r="C733" s="2"/>
      <c r="D733" s="2"/>
      <c r="E733" s="2"/>
      <c r="F733" s="2"/>
      <c r="G733" s="3"/>
      <c r="H733" s="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25.5" x14ac:dyDescent="0.35">
      <c r="A734" s="2"/>
      <c r="B734" s="2"/>
      <c r="C734" s="2"/>
      <c r="D734" s="2"/>
      <c r="E734" s="2"/>
      <c r="F734" s="2"/>
      <c r="G734" s="3"/>
      <c r="H734" s="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25.5" x14ac:dyDescent="0.35">
      <c r="A735" s="2"/>
      <c r="B735" s="2"/>
      <c r="C735" s="2"/>
      <c r="D735" s="2"/>
      <c r="E735" s="2"/>
      <c r="F735" s="2"/>
      <c r="G735" s="3"/>
      <c r="H735" s="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25.5" x14ac:dyDescent="0.35">
      <c r="A736" s="2"/>
      <c r="B736" s="2"/>
      <c r="C736" s="2"/>
      <c r="D736" s="2"/>
      <c r="E736" s="2"/>
      <c r="F736" s="2"/>
      <c r="G736" s="3"/>
      <c r="H736" s="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25.5" x14ac:dyDescent="0.35">
      <c r="A737" s="2"/>
      <c r="B737" s="2"/>
      <c r="C737" s="2"/>
      <c r="D737" s="2"/>
      <c r="E737" s="2"/>
      <c r="F737" s="2"/>
      <c r="G737" s="3"/>
      <c r="H737" s="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25.5" x14ac:dyDescent="0.35">
      <c r="A738" s="2"/>
      <c r="B738" s="2"/>
      <c r="C738" s="2"/>
      <c r="D738" s="2"/>
      <c r="E738" s="2"/>
      <c r="F738" s="2"/>
      <c r="G738" s="3"/>
      <c r="H738" s="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25.5" x14ac:dyDescent="0.35">
      <c r="A739" s="2"/>
      <c r="B739" s="2"/>
      <c r="C739" s="2"/>
      <c r="D739" s="2"/>
      <c r="E739" s="2"/>
      <c r="F739" s="2"/>
      <c r="G739" s="3"/>
      <c r="H739" s="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25.5" x14ac:dyDescent="0.35">
      <c r="A740" s="2"/>
      <c r="B740" s="2"/>
      <c r="C740" s="2"/>
      <c r="D740" s="2"/>
      <c r="E740" s="2"/>
      <c r="F740" s="2"/>
      <c r="G740" s="3"/>
      <c r="H740" s="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25.5" x14ac:dyDescent="0.35">
      <c r="A741" s="2"/>
      <c r="B741" s="2"/>
      <c r="C741" s="2"/>
      <c r="D741" s="2"/>
      <c r="E741" s="2"/>
      <c r="F741" s="2"/>
      <c r="G741" s="3"/>
      <c r="H741" s="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25.5" x14ac:dyDescent="0.35">
      <c r="A742" s="2"/>
      <c r="B742" s="2"/>
      <c r="C742" s="2"/>
      <c r="D742" s="2"/>
      <c r="E742" s="2"/>
      <c r="F742" s="2"/>
      <c r="G742" s="3"/>
      <c r="H742" s="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25.5" x14ac:dyDescent="0.35">
      <c r="A743" s="2"/>
      <c r="B743" s="2"/>
      <c r="C743" s="2"/>
      <c r="D743" s="2"/>
      <c r="E743" s="2"/>
      <c r="F743" s="2"/>
      <c r="G743" s="3"/>
      <c r="H743" s="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25.5" x14ac:dyDescent="0.35">
      <c r="A744" s="2"/>
      <c r="B744" s="2"/>
      <c r="C744" s="2"/>
      <c r="D744" s="2"/>
      <c r="E744" s="2"/>
      <c r="F744" s="2"/>
      <c r="G744" s="3"/>
      <c r="H744" s="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25.5" x14ac:dyDescent="0.35">
      <c r="A745" s="2"/>
      <c r="B745" s="2"/>
      <c r="C745" s="2"/>
      <c r="D745" s="2"/>
      <c r="E745" s="2"/>
      <c r="F745" s="2"/>
      <c r="G745" s="3"/>
      <c r="H745" s="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25.5" x14ac:dyDescent="0.35">
      <c r="A746" s="2"/>
      <c r="B746" s="2"/>
      <c r="C746" s="2"/>
      <c r="D746" s="2"/>
      <c r="E746" s="2"/>
      <c r="F746" s="2"/>
      <c r="G746" s="3"/>
      <c r="H746" s="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25.5" x14ac:dyDescent="0.35">
      <c r="A747" s="2"/>
      <c r="B747" s="2"/>
      <c r="C747" s="2"/>
      <c r="D747" s="2"/>
      <c r="E747" s="2"/>
      <c r="F747" s="2"/>
      <c r="G747" s="3"/>
      <c r="H747" s="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25.5" x14ac:dyDescent="0.35">
      <c r="A748" s="2"/>
      <c r="B748" s="2"/>
      <c r="C748" s="2"/>
      <c r="D748" s="2"/>
      <c r="E748" s="2"/>
      <c r="F748" s="2"/>
      <c r="G748" s="3"/>
      <c r="H748" s="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25.5" x14ac:dyDescent="0.35">
      <c r="A749" s="2"/>
      <c r="B749" s="2"/>
      <c r="C749" s="2"/>
      <c r="D749" s="2"/>
      <c r="E749" s="2"/>
      <c r="F749" s="2"/>
      <c r="G749" s="3"/>
      <c r="H749" s="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25.5" x14ac:dyDescent="0.35">
      <c r="A750" s="2"/>
      <c r="B750" s="2"/>
      <c r="C750" s="2"/>
      <c r="D750" s="2"/>
      <c r="E750" s="2"/>
      <c r="F750" s="2"/>
      <c r="G750" s="3"/>
      <c r="H750" s="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25.5" x14ac:dyDescent="0.35">
      <c r="A751" s="2"/>
      <c r="B751" s="2"/>
      <c r="C751" s="2"/>
      <c r="D751" s="2"/>
      <c r="E751" s="2"/>
      <c r="F751" s="2"/>
      <c r="G751" s="3"/>
      <c r="H751" s="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25.5" x14ac:dyDescent="0.35">
      <c r="A752" s="2"/>
      <c r="B752" s="2"/>
      <c r="C752" s="2"/>
      <c r="D752" s="2"/>
      <c r="E752" s="2"/>
      <c r="F752" s="2"/>
      <c r="G752" s="3"/>
      <c r="H752" s="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25.5" x14ac:dyDescent="0.35">
      <c r="A753" s="2"/>
      <c r="B753" s="2"/>
      <c r="C753" s="2"/>
      <c r="D753" s="2"/>
      <c r="E753" s="2"/>
      <c r="F753" s="2"/>
      <c r="G753" s="3"/>
      <c r="H753" s="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25.5" x14ac:dyDescent="0.35">
      <c r="A754" s="2"/>
      <c r="B754" s="2"/>
      <c r="C754" s="2"/>
      <c r="D754" s="2"/>
      <c r="E754" s="2"/>
      <c r="F754" s="2"/>
      <c r="G754" s="3"/>
      <c r="H754" s="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25.5" x14ac:dyDescent="0.35">
      <c r="A755" s="2"/>
      <c r="B755" s="2"/>
      <c r="C755" s="2"/>
      <c r="D755" s="2"/>
      <c r="E755" s="2"/>
      <c r="F755" s="2"/>
      <c r="G755" s="3"/>
      <c r="H755" s="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25.5" x14ac:dyDescent="0.35">
      <c r="A756" s="2"/>
      <c r="B756" s="2"/>
      <c r="C756" s="2"/>
      <c r="D756" s="2"/>
      <c r="E756" s="2"/>
      <c r="F756" s="2"/>
      <c r="G756" s="3"/>
      <c r="H756" s="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25.5" x14ac:dyDescent="0.35">
      <c r="A757" s="2"/>
      <c r="B757" s="2"/>
      <c r="C757" s="2"/>
      <c r="D757" s="2"/>
      <c r="E757" s="2"/>
      <c r="F757" s="2"/>
      <c r="G757" s="3"/>
      <c r="H757" s="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25.5" x14ac:dyDescent="0.35">
      <c r="A758" s="2"/>
      <c r="B758" s="2"/>
      <c r="C758" s="2"/>
      <c r="D758" s="2"/>
      <c r="E758" s="2"/>
      <c r="F758" s="2"/>
      <c r="G758" s="3"/>
      <c r="H758" s="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25.5" x14ac:dyDescent="0.35">
      <c r="A759" s="2"/>
      <c r="B759" s="2"/>
      <c r="C759" s="2"/>
      <c r="D759" s="2"/>
      <c r="E759" s="2"/>
      <c r="F759" s="2"/>
      <c r="G759" s="3"/>
      <c r="H759" s="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25.5" x14ac:dyDescent="0.35">
      <c r="A760" s="2"/>
      <c r="B760" s="2"/>
      <c r="C760" s="2"/>
      <c r="D760" s="2"/>
      <c r="E760" s="2"/>
      <c r="F760" s="2"/>
      <c r="G760" s="3"/>
      <c r="H760" s="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25.5" x14ac:dyDescent="0.35">
      <c r="A761" s="2"/>
      <c r="B761" s="2"/>
      <c r="C761" s="2"/>
      <c r="D761" s="2"/>
      <c r="E761" s="2"/>
      <c r="F761" s="2"/>
      <c r="G761" s="3"/>
      <c r="H761" s="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25.5" x14ac:dyDescent="0.35">
      <c r="A762" s="2"/>
      <c r="B762" s="2"/>
      <c r="C762" s="2"/>
      <c r="D762" s="2"/>
      <c r="E762" s="2"/>
      <c r="F762" s="2"/>
      <c r="G762" s="3"/>
      <c r="H762" s="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25.5" x14ac:dyDescent="0.35">
      <c r="A763" s="2"/>
      <c r="B763" s="2"/>
      <c r="C763" s="2"/>
      <c r="D763" s="2"/>
      <c r="E763" s="2"/>
      <c r="F763" s="2"/>
      <c r="G763" s="3"/>
      <c r="H763" s="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25.5" x14ac:dyDescent="0.35">
      <c r="A764" s="2"/>
      <c r="B764" s="2"/>
      <c r="C764" s="2"/>
      <c r="D764" s="2"/>
      <c r="E764" s="2"/>
      <c r="F764" s="2"/>
      <c r="G764" s="3"/>
      <c r="H764" s="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25.5" x14ac:dyDescent="0.35">
      <c r="A765" s="2"/>
      <c r="B765" s="2"/>
      <c r="C765" s="2"/>
      <c r="D765" s="2"/>
      <c r="E765" s="2"/>
      <c r="F765" s="2"/>
      <c r="G765" s="3"/>
      <c r="H765" s="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25.5" x14ac:dyDescent="0.35">
      <c r="A766" s="2"/>
      <c r="B766" s="2"/>
      <c r="C766" s="2"/>
      <c r="D766" s="2"/>
      <c r="E766" s="2"/>
      <c r="F766" s="2"/>
      <c r="G766" s="3"/>
      <c r="H766" s="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25.5" x14ac:dyDescent="0.35">
      <c r="A767" s="2"/>
      <c r="B767" s="2"/>
      <c r="C767" s="2"/>
      <c r="D767" s="2"/>
      <c r="E767" s="2"/>
      <c r="F767" s="2"/>
      <c r="G767" s="3"/>
      <c r="H767" s="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25.5" x14ac:dyDescent="0.35">
      <c r="A768" s="2"/>
      <c r="B768" s="2"/>
      <c r="C768" s="2"/>
      <c r="D768" s="2"/>
      <c r="E768" s="2"/>
      <c r="F768" s="2"/>
      <c r="G768" s="3"/>
      <c r="H768" s="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25.5" x14ac:dyDescent="0.35">
      <c r="A769" s="2"/>
      <c r="B769" s="2"/>
      <c r="C769" s="2"/>
      <c r="D769" s="2"/>
      <c r="E769" s="2"/>
      <c r="F769" s="2"/>
      <c r="G769" s="3"/>
      <c r="H769" s="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25.5" x14ac:dyDescent="0.35">
      <c r="A770" s="2"/>
      <c r="B770" s="2"/>
      <c r="C770" s="2"/>
      <c r="D770" s="2"/>
      <c r="E770" s="2"/>
      <c r="F770" s="2"/>
      <c r="G770" s="3"/>
      <c r="H770" s="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25.5" x14ac:dyDescent="0.35">
      <c r="A771" s="2"/>
      <c r="B771" s="2"/>
      <c r="C771" s="2"/>
      <c r="D771" s="2"/>
      <c r="E771" s="2"/>
      <c r="F771" s="2"/>
      <c r="G771" s="3"/>
      <c r="H771" s="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25.5" x14ac:dyDescent="0.35">
      <c r="A772" s="2"/>
      <c r="B772" s="2"/>
      <c r="C772" s="2"/>
      <c r="D772" s="2"/>
      <c r="E772" s="2"/>
      <c r="F772" s="2"/>
      <c r="G772" s="3"/>
      <c r="H772" s="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25.5" x14ac:dyDescent="0.35">
      <c r="A773" s="2"/>
      <c r="B773" s="2"/>
      <c r="C773" s="2"/>
      <c r="D773" s="2"/>
      <c r="E773" s="2"/>
      <c r="F773" s="2"/>
      <c r="G773" s="3"/>
      <c r="H773" s="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25.5" x14ac:dyDescent="0.35">
      <c r="A774" s="2"/>
      <c r="B774" s="2"/>
      <c r="C774" s="2"/>
      <c r="D774" s="2"/>
      <c r="E774" s="2"/>
      <c r="F774" s="2"/>
      <c r="G774" s="3"/>
      <c r="H774" s="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25.5" x14ac:dyDescent="0.35">
      <c r="A775" s="2"/>
      <c r="B775" s="2"/>
      <c r="C775" s="2"/>
      <c r="D775" s="2"/>
      <c r="E775" s="2"/>
      <c r="F775" s="2"/>
      <c r="G775" s="3"/>
      <c r="H775" s="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25.5" x14ac:dyDescent="0.35">
      <c r="A776" s="2"/>
      <c r="B776" s="2"/>
      <c r="C776" s="2"/>
      <c r="D776" s="2"/>
      <c r="E776" s="2"/>
      <c r="F776" s="2"/>
      <c r="G776" s="3"/>
      <c r="H776" s="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25.5" x14ac:dyDescent="0.35">
      <c r="A777" s="2"/>
      <c r="B777" s="2"/>
      <c r="C777" s="2"/>
      <c r="D777" s="2"/>
      <c r="E777" s="2"/>
      <c r="F777" s="2"/>
      <c r="G777" s="3"/>
      <c r="H777" s="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25.5" x14ac:dyDescent="0.35">
      <c r="A778" s="2"/>
      <c r="B778" s="2"/>
      <c r="C778" s="2"/>
      <c r="D778" s="2"/>
      <c r="E778" s="2"/>
      <c r="F778" s="2"/>
      <c r="G778" s="3"/>
      <c r="H778" s="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25.5" x14ac:dyDescent="0.35">
      <c r="A779" s="2"/>
      <c r="B779" s="2"/>
      <c r="C779" s="2"/>
      <c r="D779" s="2"/>
      <c r="E779" s="2"/>
      <c r="F779" s="2"/>
      <c r="G779" s="3"/>
      <c r="H779" s="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25.5" x14ac:dyDescent="0.35">
      <c r="A780" s="2"/>
      <c r="B780" s="2"/>
      <c r="C780" s="2"/>
      <c r="D780" s="2"/>
      <c r="E780" s="2"/>
      <c r="F780" s="2"/>
      <c r="G780" s="3"/>
      <c r="H780" s="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25.5" x14ac:dyDescent="0.35">
      <c r="A781" s="2"/>
      <c r="B781" s="2"/>
      <c r="C781" s="2"/>
      <c r="D781" s="2"/>
      <c r="E781" s="2"/>
      <c r="F781" s="2"/>
      <c r="G781" s="3"/>
      <c r="H781" s="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25.5" x14ac:dyDescent="0.35">
      <c r="A782" s="2"/>
      <c r="B782" s="2"/>
      <c r="C782" s="2"/>
      <c r="D782" s="2"/>
      <c r="E782" s="2"/>
      <c r="F782" s="2"/>
      <c r="G782" s="3"/>
      <c r="H782" s="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25.5" x14ac:dyDescent="0.35">
      <c r="A783" s="2"/>
      <c r="B783" s="2"/>
      <c r="C783" s="2"/>
      <c r="D783" s="2"/>
      <c r="E783" s="2"/>
      <c r="F783" s="2"/>
      <c r="G783" s="3"/>
      <c r="H783" s="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25.5" x14ac:dyDescent="0.35">
      <c r="A784" s="2"/>
      <c r="B784" s="2"/>
      <c r="C784" s="2"/>
      <c r="D784" s="2"/>
      <c r="E784" s="2"/>
      <c r="F784" s="2"/>
      <c r="G784" s="3"/>
      <c r="H784" s="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25.5" x14ac:dyDescent="0.35">
      <c r="A785" s="2"/>
      <c r="B785" s="2"/>
      <c r="C785" s="2"/>
      <c r="D785" s="2"/>
      <c r="E785" s="2"/>
      <c r="F785" s="2"/>
      <c r="G785" s="3"/>
      <c r="H785" s="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25.5" x14ac:dyDescent="0.35">
      <c r="A786" s="2"/>
      <c r="B786" s="2"/>
      <c r="C786" s="2"/>
      <c r="D786" s="2"/>
      <c r="E786" s="2"/>
      <c r="F786" s="2"/>
      <c r="G786" s="3"/>
      <c r="H786" s="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25.5" x14ac:dyDescent="0.35">
      <c r="A787" s="2"/>
      <c r="B787" s="2"/>
      <c r="C787" s="2"/>
      <c r="D787" s="2"/>
      <c r="E787" s="2"/>
      <c r="F787" s="2"/>
      <c r="G787" s="3"/>
      <c r="H787" s="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25.5" x14ac:dyDescent="0.35">
      <c r="A788" s="2"/>
      <c r="B788" s="2"/>
      <c r="C788" s="2"/>
      <c r="D788" s="2"/>
      <c r="E788" s="2"/>
      <c r="F788" s="2"/>
      <c r="G788" s="3"/>
      <c r="H788" s="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25.5" x14ac:dyDescent="0.35">
      <c r="A789" s="2"/>
      <c r="B789" s="2"/>
      <c r="C789" s="2"/>
      <c r="D789" s="2"/>
      <c r="E789" s="2"/>
      <c r="F789" s="2"/>
      <c r="G789" s="3"/>
      <c r="H789" s="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25.5" x14ac:dyDescent="0.35">
      <c r="A790" s="2"/>
      <c r="B790" s="2"/>
      <c r="C790" s="2"/>
      <c r="D790" s="2"/>
      <c r="E790" s="2"/>
      <c r="F790" s="2"/>
      <c r="G790" s="3"/>
      <c r="H790" s="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25.5" x14ac:dyDescent="0.35">
      <c r="A791" s="2"/>
      <c r="B791" s="2"/>
      <c r="C791" s="2"/>
      <c r="D791" s="2"/>
      <c r="E791" s="2"/>
      <c r="F791" s="2"/>
      <c r="G791" s="3"/>
      <c r="H791" s="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25.5" x14ac:dyDescent="0.35">
      <c r="A792" s="2"/>
      <c r="B792" s="2"/>
      <c r="C792" s="2"/>
      <c r="D792" s="2"/>
      <c r="E792" s="2"/>
      <c r="F792" s="2"/>
      <c r="G792" s="3"/>
      <c r="H792" s="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25.5" x14ac:dyDescent="0.35">
      <c r="A793" s="2"/>
      <c r="B793" s="2"/>
      <c r="C793" s="2"/>
      <c r="D793" s="2"/>
      <c r="E793" s="2"/>
      <c r="F793" s="2"/>
      <c r="G793" s="3"/>
      <c r="H793" s="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25.5" x14ac:dyDescent="0.35">
      <c r="A794" s="2"/>
      <c r="B794" s="2"/>
      <c r="C794" s="2"/>
      <c r="D794" s="2"/>
      <c r="E794" s="2"/>
      <c r="F794" s="2"/>
      <c r="G794" s="3"/>
      <c r="H794" s="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25.5" x14ac:dyDescent="0.35">
      <c r="A795" s="2"/>
      <c r="B795" s="2"/>
      <c r="C795" s="2"/>
      <c r="D795" s="2"/>
      <c r="E795" s="2"/>
      <c r="F795" s="2"/>
      <c r="G795" s="3"/>
      <c r="H795" s="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25.5" x14ac:dyDescent="0.35">
      <c r="A796" s="2"/>
      <c r="B796" s="2"/>
      <c r="C796" s="2"/>
      <c r="D796" s="2"/>
      <c r="E796" s="2"/>
      <c r="F796" s="2"/>
      <c r="G796" s="3"/>
      <c r="H796" s="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25.5" x14ac:dyDescent="0.35">
      <c r="A797" s="2"/>
      <c r="B797" s="2"/>
      <c r="C797" s="2"/>
      <c r="D797" s="2"/>
      <c r="E797" s="2"/>
      <c r="F797" s="2"/>
      <c r="G797" s="3"/>
      <c r="H797" s="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25.5" x14ac:dyDescent="0.35">
      <c r="A798" s="2"/>
      <c r="B798" s="2"/>
      <c r="C798" s="2"/>
      <c r="D798" s="2"/>
      <c r="E798" s="2"/>
      <c r="F798" s="2"/>
      <c r="G798" s="3"/>
      <c r="H798" s="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25.5" x14ac:dyDescent="0.35">
      <c r="A799" s="2"/>
      <c r="B799" s="2"/>
      <c r="C799" s="2"/>
      <c r="D799" s="2"/>
      <c r="E799" s="2"/>
      <c r="F799" s="2"/>
      <c r="G799" s="3"/>
      <c r="H799" s="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25.5" x14ac:dyDescent="0.35">
      <c r="A800" s="2"/>
      <c r="B800" s="2"/>
      <c r="C800" s="2"/>
      <c r="D800" s="2"/>
      <c r="E800" s="2"/>
      <c r="F800" s="2"/>
      <c r="G800" s="3"/>
      <c r="H800" s="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25.5" x14ac:dyDescent="0.35">
      <c r="A801" s="2"/>
      <c r="B801" s="2"/>
      <c r="C801" s="2"/>
      <c r="D801" s="2"/>
      <c r="E801" s="2"/>
      <c r="F801" s="2"/>
      <c r="G801" s="3"/>
      <c r="H801" s="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25.5" x14ac:dyDescent="0.35">
      <c r="A802" s="2"/>
      <c r="B802" s="2"/>
      <c r="C802" s="2"/>
      <c r="D802" s="2"/>
      <c r="E802" s="2"/>
      <c r="F802" s="2"/>
      <c r="G802" s="3"/>
      <c r="H802" s="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25.5" x14ac:dyDescent="0.35">
      <c r="A803" s="2"/>
      <c r="B803" s="2"/>
      <c r="C803" s="2"/>
      <c r="D803" s="2"/>
      <c r="E803" s="2"/>
      <c r="F803" s="2"/>
      <c r="G803" s="3"/>
      <c r="H803" s="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25.5" x14ac:dyDescent="0.35">
      <c r="A804" s="2"/>
      <c r="B804" s="2"/>
      <c r="C804" s="2"/>
      <c r="D804" s="2"/>
      <c r="E804" s="2"/>
      <c r="F804" s="2"/>
      <c r="G804" s="3"/>
      <c r="H804" s="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25.5" x14ac:dyDescent="0.35">
      <c r="A805" s="2"/>
      <c r="B805" s="2"/>
      <c r="C805" s="2"/>
      <c r="D805" s="2"/>
      <c r="E805" s="2"/>
      <c r="F805" s="2"/>
      <c r="G805" s="3"/>
      <c r="H805" s="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25.5" x14ac:dyDescent="0.35">
      <c r="A806" s="2"/>
      <c r="B806" s="2"/>
      <c r="C806" s="2"/>
      <c r="D806" s="2"/>
      <c r="E806" s="2"/>
      <c r="F806" s="2"/>
      <c r="G806" s="3"/>
      <c r="H806" s="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25.5" x14ac:dyDescent="0.35">
      <c r="A807" s="2"/>
      <c r="B807" s="2"/>
      <c r="C807" s="2"/>
      <c r="D807" s="2"/>
      <c r="E807" s="2"/>
      <c r="F807" s="2"/>
      <c r="G807" s="3"/>
      <c r="H807" s="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25.5" x14ac:dyDescent="0.35">
      <c r="A808" s="2"/>
      <c r="B808" s="2"/>
      <c r="C808" s="2"/>
      <c r="D808" s="2"/>
      <c r="E808" s="2"/>
      <c r="F808" s="2"/>
      <c r="G808" s="3"/>
      <c r="H808" s="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25.5" x14ac:dyDescent="0.35">
      <c r="A809" s="2"/>
      <c r="B809" s="2"/>
      <c r="C809" s="2"/>
      <c r="D809" s="2"/>
      <c r="E809" s="2"/>
      <c r="F809" s="2"/>
      <c r="G809" s="3"/>
      <c r="H809" s="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25.5" x14ac:dyDescent="0.35">
      <c r="A810" s="2"/>
      <c r="B810" s="2"/>
      <c r="C810" s="2"/>
      <c r="D810" s="2"/>
      <c r="E810" s="2"/>
      <c r="F810" s="2"/>
      <c r="G810" s="3"/>
      <c r="H810" s="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25.5" x14ac:dyDescent="0.35">
      <c r="A811" s="2"/>
      <c r="B811" s="2"/>
      <c r="C811" s="2"/>
      <c r="D811" s="2"/>
      <c r="E811" s="2"/>
      <c r="F811" s="2"/>
      <c r="G811" s="3"/>
      <c r="H811" s="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25.5" x14ac:dyDescent="0.35">
      <c r="A812" s="2"/>
      <c r="B812" s="2"/>
      <c r="C812" s="2"/>
      <c r="D812" s="2"/>
      <c r="E812" s="2"/>
      <c r="F812" s="2"/>
      <c r="G812" s="3"/>
      <c r="H812" s="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25.5" x14ac:dyDescent="0.35">
      <c r="A813" s="2"/>
      <c r="B813" s="2"/>
      <c r="C813" s="2"/>
      <c r="D813" s="2"/>
      <c r="E813" s="2"/>
      <c r="F813" s="2"/>
      <c r="G813" s="3"/>
      <c r="H813" s="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25.5" x14ac:dyDescent="0.35">
      <c r="A814" s="2"/>
      <c r="B814" s="2"/>
      <c r="C814" s="2"/>
      <c r="D814" s="2"/>
      <c r="E814" s="2"/>
      <c r="F814" s="2"/>
      <c r="G814" s="3"/>
      <c r="H814" s="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25.5" x14ac:dyDescent="0.35">
      <c r="A815" s="2"/>
      <c r="B815" s="2"/>
      <c r="C815" s="2"/>
      <c r="D815" s="2"/>
      <c r="E815" s="2"/>
      <c r="F815" s="2"/>
      <c r="G815" s="3"/>
      <c r="H815" s="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25.5" x14ac:dyDescent="0.35">
      <c r="A816" s="2"/>
      <c r="B816" s="2"/>
      <c r="C816" s="2"/>
      <c r="D816" s="2"/>
      <c r="E816" s="2"/>
      <c r="F816" s="2"/>
      <c r="G816" s="3"/>
      <c r="H816" s="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25.5" x14ac:dyDescent="0.35">
      <c r="A817" s="2"/>
      <c r="B817" s="2"/>
      <c r="C817" s="2"/>
      <c r="D817" s="2"/>
      <c r="E817" s="2"/>
      <c r="F817" s="2"/>
      <c r="G817" s="3"/>
      <c r="H817" s="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25.5" x14ac:dyDescent="0.35">
      <c r="A818" s="2"/>
      <c r="B818" s="2"/>
      <c r="C818" s="2"/>
      <c r="D818" s="2"/>
      <c r="E818" s="2"/>
      <c r="F818" s="2"/>
      <c r="G818" s="3"/>
      <c r="H818" s="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25.5" x14ac:dyDescent="0.35">
      <c r="A819" s="2"/>
      <c r="B819" s="2"/>
      <c r="C819" s="2"/>
      <c r="D819" s="2"/>
      <c r="E819" s="2"/>
      <c r="F819" s="2"/>
      <c r="G819" s="3"/>
      <c r="H819" s="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25.5" x14ac:dyDescent="0.35">
      <c r="A820" s="2"/>
      <c r="B820" s="2"/>
      <c r="C820" s="2"/>
      <c r="D820" s="2"/>
      <c r="E820" s="2"/>
      <c r="F820" s="2"/>
      <c r="G820" s="3"/>
      <c r="H820" s="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25.5" x14ac:dyDescent="0.35">
      <c r="A821" s="2"/>
      <c r="B821" s="2"/>
      <c r="C821" s="2"/>
      <c r="D821" s="2"/>
      <c r="E821" s="2"/>
      <c r="F821" s="2"/>
      <c r="G821" s="3"/>
      <c r="H821" s="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25.5" x14ac:dyDescent="0.35">
      <c r="A822" s="2"/>
      <c r="B822" s="2"/>
      <c r="C822" s="2"/>
      <c r="D822" s="2"/>
      <c r="E822" s="2"/>
      <c r="F822" s="2"/>
      <c r="G822" s="3"/>
      <c r="H822" s="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25.5" x14ac:dyDescent="0.35">
      <c r="A823" s="2"/>
      <c r="B823" s="2"/>
      <c r="C823" s="2"/>
      <c r="D823" s="2"/>
      <c r="E823" s="2"/>
      <c r="F823" s="2"/>
      <c r="G823" s="3"/>
      <c r="H823" s="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25.5" x14ac:dyDescent="0.35">
      <c r="A824" s="2"/>
      <c r="B824" s="2"/>
      <c r="C824" s="2"/>
      <c r="D824" s="2"/>
      <c r="E824" s="2"/>
      <c r="F824" s="2"/>
      <c r="G824" s="3"/>
      <c r="H824" s="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25.5" x14ac:dyDescent="0.35">
      <c r="A825" s="2"/>
      <c r="B825" s="2"/>
      <c r="C825" s="2"/>
      <c r="D825" s="2"/>
      <c r="E825" s="2"/>
      <c r="F825" s="2"/>
      <c r="G825" s="3"/>
      <c r="H825" s="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25.5" x14ac:dyDescent="0.35">
      <c r="A826" s="2"/>
      <c r="B826" s="2"/>
      <c r="C826" s="2"/>
      <c r="D826" s="2"/>
      <c r="E826" s="2"/>
      <c r="F826" s="2"/>
      <c r="G826" s="3"/>
      <c r="H826" s="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25.5" x14ac:dyDescent="0.35">
      <c r="A827" s="2"/>
      <c r="B827" s="2"/>
      <c r="C827" s="2"/>
      <c r="D827" s="2"/>
      <c r="E827" s="2"/>
      <c r="F827" s="2"/>
      <c r="G827" s="3"/>
      <c r="H827" s="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25.5" x14ac:dyDescent="0.35">
      <c r="A828" s="2"/>
      <c r="B828" s="2"/>
      <c r="C828" s="2"/>
      <c r="D828" s="2"/>
      <c r="E828" s="2"/>
      <c r="F828" s="2"/>
      <c r="G828" s="3"/>
      <c r="H828" s="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25.5" x14ac:dyDescent="0.35">
      <c r="A829" s="2"/>
      <c r="B829" s="2"/>
      <c r="C829" s="2"/>
      <c r="D829" s="2"/>
      <c r="E829" s="2"/>
      <c r="F829" s="2"/>
      <c r="G829" s="3"/>
      <c r="H829" s="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25.5" x14ac:dyDescent="0.35">
      <c r="A830" s="2"/>
      <c r="B830" s="2"/>
      <c r="C830" s="2"/>
      <c r="D830" s="2"/>
      <c r="E830" s="2"/>
      <c r="F830" s="2"/>
      <c r="G830" s="3"/>
      <c r="H830" s="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25.5" x14ac:dyDescent="0.35">
      <c r="A831" s="2"/>
      <c r="B831" s="2"/>
      <c r="C831" s="2"/>
      <c r="D831" s="2"/>
      <c r="E831" s="2"/>
      <c r="F831" s="2"/>
      <c r="G831" s="3"/>
      <c r="H831" s="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25.5" x14ac:dyDescent="0.35">
      <c r="A832" s="2"/>
      <c r="B832" s="2"/>
      <c r="C832" s="2"/>
      <c r="D832" s="2"/>
      <c r="E832" s="2"/>
      <c r="F832" s="2"/>
      <c r="G832" s="3"/>
      <c r="H832" s="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25.5" x14ac:dyDescent="0.35">
      <c r="A833" s="2"/>
      <c r="B833" s="2"/>
      <c r="C833" s="2"/>
      <c r="D833" s="2"/>
      <c r="E833" s="2"/>
      <c r="F833" s="2"/>
      <c r="G833" s="3"/>
      <c r="H833" s="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25.5" x14ac:dyDescent="0.35">
      <c r="A834" s="2"/>
      <c r="B834" s="2"/>
      <c r="C834" s="2"/>
      <c r="D834" s="2"/>
      <c r="E834" s="2"/>
      <c r="F834" s="2"/>
      <c r="G834" s="3"/>
      <c r="H834" s="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25.5" x14ac:dyDescent="0.35">
      <c r="A835" s="2"/>
      <c r="B835" s="2"/>
      <c r="C835" s="2"/>
      <c r="D835" s="2"/>
      <c r="E835" s="2"/>
      <c r="F835" s="2"/>
      <c r="G835" s="3"/>
      <c r="H835" s="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25.5" x14ac:dyDescent="0.35">
      <c r="A836" s="2"/>
      <c r="B836" s="2"/>
      <c r="C836" s="2"/>
      <c r="D836" s="2"/>
      <c r="E836" s="2"/>
      <c r="F836" s="2"/>
      <c r="G836" s="3"/>
      <c r="H836" s="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25.5" x14ac:dyDescent="0.35">
      <c r="A837" s="2"/>
      <c r="B837" s="2"/>
      <c r="C837" s="2"/>
      <c r="D837" s="2"/>
      <c r="E837" s="2"/>
      <c r="F837" s="2"/>
      <c r="G837" s="3"/>
      <c r="H837" s="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25.5" x14ac:dyDescent="0.35">
      <c r="A838" s="2"/>
      <c r="B838" s="2"/>
      <c r="C838" s="2"/>
      <c r="D838" s="2"/>
      <c r="E838" s="2"/>
      <c r="F838" s="2"/>
      <c r="G838" s="3"/>
      <c r="H838" s="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25.5" x14ac:dyDescent="0.35">
      <c r="A839" s="2"/>
      <c r="B839" s="2"/>
      <c r="C839" s="2"/>
      <c r="D839" s="2"/>
      <c r="E839" s="2"/>
      <c r="F839" s="2"/>
      <c r="G839" s="3"/>
      <c r="H839" s="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25.5" x14ac:dyDescent="0.35">
      <c r="A840" s="2"/>
      <c r="B840" s="2"/>
      <c r="C840" s="2"/>
      <c r="D840" s="2"/>
      <c r="E840" s="2"/>
      <c r="F840" s="2"/>
      <c r="G840" s="3"/>
      <c r="H840" s="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25.5" x14ac:dyDescent="0.35">
      <c r="A841" s="2"/>
      <c r="B841" s="2"/>
      <c r="C841" s="2"/>
      <c r="D841" s="2"/>
      <c r="E841" s="2"/>
      <c r="F841" s="2"/>
      <c r="G841" s="3"/>
      <c r="H841" s="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25.5" x14ac:dyDescent="0.35">
      <c r="A842" s="2"/>
      <c r="B842" s="2"/>
      <c r="C842" s="2"/>
      <c r="D842" s="2"/>
      <c r="E842" s="2"/>
      <c r="F842" s="2"/>
      <c r="G842" s="3"/>
      <c r="H842" s="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25.5" x14ac:dyDescent="0.35">
      <c r="A843" s="2"/>
      <c r="B843" s="2"/>
      <c r="C843" s="2"/>
      <c r="D843" s="2"/>
      <c r="E843" s="2"/>
      <c r="F843" s="2"/>
      <c r="G843" s="3"/>
      <c r="H843" s="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25.5" x14ac:dyDescent="0.35">
      <c r="A844" s="2"/>
      <c r="B844" s="2"/>
      <c r="C844" s="2"/>
      <c r="D844" s="2"/>
      <c r="E844" s="2"/>
      <c r="F844" s="2"/>
      <c r="G844" s="3"/>
      <c r="H844" s="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25.5" x14ac:dyDescent="0.35">
      <c r="A845" s="2"/>
      <c r="B845" s="2"/>
      <c r="C845" s="2"/>
      <c r="D845" s="2"/>
      <c r="E845" s="2"/>
      <c r="F845" s="2"/>
      <c r="G845" s="3"/>
      <c r="H845" s="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25.5" x14ac:dyDescent="0.35">
      <c r="A846" s="2"/>
      <c r="B846" s="2"/>
      <c r="C846" s="2"/>
      <c r="D846" s="2"/>
      <c r="E846" s="2"/>
      <c r="F846" s="2"/>
      <c r="G846" s="3"/>
      <c r="H846" s="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25.5" x14ac:dyDescent="0.35">
      <c r="A847" s="2"/>
      <c r="B847" s="2"/>
      <c r="C847" s="2"/>
      <c r="D847" s="2"/>
      <c r="E847" s="2"/>
      <c r="F847" s="2"/>
      <c r="G847" s="3"/>
      <c r="H847" s="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25.5" x14ac:dyDescent="0.35">
      <c r="A848" s="2"/>
      <c r="B848" s="2"/>
      <c r="C848" s="2"/>
      <c r="D848" s="2"/>
      <c r="E848" s="2"/>
      <c r="F848" s="2"/>
      <c r="G848" s="3"/>
      <c r="H848" s="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25.5" x14ac:dyDescent="0.35">
      <c r="A849" s="2"/>
      <c r="B849" s="2"/>
      <c r="C849" s="2"/>
      <c r="D849" s="2"/>
      <c r="E849" s="2"/>
      <c r="F849" s="2"/>
      <c r="G849" s="3"/>
      <c r="H849" s="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25.5" x14ac:dyDescent="0.35">
      <c r="A850" s="2"/>
      <c r="B850" s="2"/>
      <c r="C850" s="2"/>
      <c r="D850" s="2"/>
      <c r="E850" s="2"/>
      <c r="F850" s="2"/>
      <c r="G850" s="3"/>
      <c r="H850" s="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25.5" x14ac:dyDescent="0.35">
      <c r="A851" s="2"/>
      <c r="B851" s="2"/>
      <c r="C851" s="2"/>
      <c r="D851" s="2"/>
      <c r="E851" s="2"/>
      <c r="F851" s="2"/>
      <c r="G851" s="3"/>
      <c r="H851" s="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25.5" x14ac:dyDescent="0.35">
      <c r="A852" s="2"/>
      <c r="B852" s="2"/>
      <c r="C852" s="2"/>
      <c r="D852" s="2"/>
      <c r="E852" s="2"/>
      <c r="F852" s="2"/>
      <c r="G852" s="3"/>
      <c r="H852" s="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25.5" x14ac:dyDescent="0.35">
      <c r="A853" s="2"/>
      <c r="B853" s="2"/>
      <c r="C853" s="2"/>
      <c r="D853" s="2"/>
      <c r="E853" s="2"/>
      <c r="F853" s="2"/>
      <c r="G853" s="3"/>
      <c r="H853" s="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25.5" x14ac:dyDescent="0.35">
      <c r="A854" s="2"/>
      <c r="B854" s="2"/>
      <c r="C854" s="2"/>
      <c r="D854" s="2"/>
      <c r="E854" s="2"/>
      <c r="F854" s="2"/>
      <c r="G854" s="3"/>
      <c r="H854" s="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25.5" x14ac:dyDescent="0.35">
      <c r="A855" s="2"/>
      <c r="B855" s="2"/>
      <c r="C855" s="2"/>
      <c r="D855" s="2"/>
      <c r="E855" s="2"/>
      <c r="F855" s="2"/>
      <c r="G855" s="3"/>
      <c r="H855" s="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25.5" x14ac:dyDescent="0.35">
      <c r="A856" s="2"/>
      <c r="B856" s="2"/>
      <c r="C856" s="2"/>
      <c r="D856" s="2"/>
      <c r="E856" s="2"/>
      <c r="F856" s="2"/>
      <c r="G856" s="3"/>
      <c r="H856" s="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25.5" x14ac:dyDescent="0.35">
      <c r="A857" s="2"/>
      <c r="B857" s="2"/>
      <c r="C857" s="2"/>
      <c r="D857" s="2"/>
      <c r="E857" s="2"/>
      <c r="F857" s="2"/>
      <c r="G857" s="3"/>
      <c r="H857" s="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25.5" x14ac:dyDescent="0.35">
      <c r="A858" s="2"/>
      <c r="B858" s="2"/>
      <c r="C858" s="2"/>
      <c r="D858" s="2"/>
      <c r="E858" s="2"/>
      <c r="F858" s="2"/>
      <c r="G858" s="3"/>
      <c r="H858" s="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25.5" x14ac:dyDescent="0.35">
      <c r="A859" s="2"/>
      <c r="B859" s="2"/>
      <c r="C859" s="2"/>
      <c r="D859" s="2"/>
      <c r="E859" s="2"/>
      <c r="F859" s="2"/>
      <c r="G859" s="3"/>
      <c r="H859" s="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25.5" x14ac:dyDescent="0.35">
      <c r="A860" s="2"/>
      <c r="B860" s="2"/>
      <c r="C860" s="2"/>
      <c r="D860" s="2"/>
      <c r="E860" s="2"/>
      <c r="F860" s="2"/>
      <c r="G860" s="3"/>
      <c r="H860" s="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25.5" x14ac:dyDescent="0.35">
      <c r="A861" s="2"/>
      <c r="B861" s="2"/>
      <c r="C861" s="2"/>
      <c r="D861" s="2"/>
      <c r="E861" s="2"/>
      <c r="F861" s="2"/>
      <c r="G861" s="3"/>
      <c r="H861" s="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25.5" x14ac:dyDescent="0.35">
      <c r="A862" s="2"/>
      <c r="B862" s="2"/>
      <c r="C862" s="2"/>
      <c r="D862" s="2"/>
      <c r="E862" s="2"/>
      <c r="F862" s="2"/>
      <c r="G862" s="3"/>
      <c r="H862" s="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25.5" x14ac:dyDescent="0.35">
      <c r="A863" s="2"/>
      <c r="B863" s="2"/>
      <c r="C863" s="2"/>
      <c r="D863" s="2"/>
      <c r="E863" s="2"/>
      <c r="F863" s="2"/>
      <c r="G863" s="3"/>
      <c r="H863" s="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25.5" x14ac:dyDescent="0.35">
      <c r="A864" s="2"/>
      <c r="B864" s="2"/>
      <c r="C864" s="2"/>
      <c r="D864" s="2"/>
      <c r="E864" s="2"/>
      <c r="F864" s="2"/>
      <c r="G864" s="3"/>
      <c r="H864" s="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25.5" x14ac:dyDescent="0.35">
      <c r="A865" s="2"/>
      <c r="B865" s="2"/>
      <c r="C865" s="2"/>
      <c r="D865" s="2"/>
      <c r="E865" s="2"/>
      <c r="F865" s="2"/>
      <c r="G865" s="3"/>
      <c r="H865" s="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25.5" x14ac:dyDescent="0.35">
      <c r="A866" s="2"/>
      <c r="B866" s="2"/>
      <c r="C866" s="2"/>
      <c r="D866" s="2"/>
      <c r="E866" s="2"/>
      <c r="F866" s="2"/>
      <c r="G866" s="3"/>
      <c r="H866" s="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25.5" x14ac:dyDescent="0.35">
      <c r="A867" s="2"/>
      <c r="B867" s="2"/>
      <c r="C867" s="2"/>
      <c r="D867" s="2"/>
      <c r="E867" s="2"/>
      <c r="F867" s="2"/>
      <c r="G867" s="3"/>
      <c r="H867" s="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25.5" x14ac:dyDescent="0.35">
      <c r="A868" s="2"/>
      <c r="B868" s="2"/>
      <c r="C868" s="2"/>
      <c r="D868" s="2"/>
      <c r="E868" s="2"/>
      <c r="F868" s="2"/>
      <c r="G868" s="3"/>
      <c r="H868" s="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25.5" x14ac:dyDescent="0.35">
      <c r="A869" s="2"/>
      <c r="B869" s="2"/>
      <c r="C869" s="2"/>
      <c r="D869" s="2"/>
      <c r="E869" s="2"/>
      <c r="F869" s="2"/>
      <c r="G869" s="3"/>
      <c r="H869" s="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25.5" x14ac:dyDescent="0.35">
      <c r="A870" s="2"/>
      <c r="B870" s="2"/>
      <c r="C870" s="2"/>
      <c r="D870" s="2"/>
      <c r="E870" s="2"/>
      <c r="F870" s="2"/>
      <c r="G870" s="3"/>
      <c r="H870" s="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25.5" x14ac:dyDescent="0.35">
      <c r="A871" s="2"/>
      <c r="B871" s="2"/>
      <c r="C871" s="2"/>
      <c r="D871" s="2"/>
      <c r="E871" s="2"/>
      <c r="F871" s="2"/>
      <c r="G871" s="3"/>
      <c r="H871" s="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25.5" x14ac:dyDescent="0.35">
      <c r="A872" s="2"/>
      <c r="B872" s="2"/>
      <c r="C872" s="2"/>
      <c r="D872" s="2"/>
      <c r="E872" s="2"/>
      <c r="F872" s="2"/>
      <c r="G872" s="3"/>
      <c r="H872" s="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25.5" x14ac:dyDescent="0.35">
      <c r="A873" s="2"/>
      <c r="B873" s="2"/>
      <c r="C873" s="2"/>
      <c r="D873" s="2"/>
      <c r="E873" s="2"/>
      <c r="F873" s="2"/>
      <c r="G873" s="3"/>
      <c r="H873" s="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25.5" x14ac:dyDescent="0.35">
      <c r="A874" s="2"/>
      <c r="B874" s="2"/>
      <c r="C874" s="2"/>
      <c r="D874" s="2"/>
      <c r="E874" s="2"/>
      <c r="F874" s="2"/>
      <c r="G874" s="3"/>
      <c r="H874" s="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25.5" x14ac:dyDescent="0.35">
      <c r="A875" s="2"/>
      <c r="B875" s="2"/>
      <c r="C875" s="2"/>
      <c r="D875" s="2"/>
      <c r="E875" s="2"/>
      <c r="F875" s="2"/>
      <c r="G875" s="3"/>
      <c r="H875" s="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25.5" x14ac:dyDescent="0.35">
      <c r="A876" s="2"/>
      <c r="B876" s="2"/>
      <c r="C876" s="2"/>
      <c r="D876" s="2"/>
      <c r="E876" s="2"/>
      <c r="F876" s="2"/>
      <c r="G876" s="3"/>
      <c r="H876" s="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25.5" x14ac:dyDescent="0.35">
      <c r="A877" s="2"/>
      <c r="B877" s="2"/>
      <c r="C877" s="2"/>
      <c r="D877" s="2"/>
      <c r="E877" s="2"/>
      <c r="F877" s="2"/>
      <c r="G877" s="3"/>
      <c r="H877" s="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25.5" x14ac:dyDescent="0.35">
      <c r="A878" s="2"/>
      <c r="B878" s="2"/>
      <c r="C878" s="2"/>
      <c r="D878" s="2"/>
      <c r="E878" s="2"/>
      <c r="F878" s="2"/>
      <c r="G878" s="3"/>
      <c r="H878" s="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25.5" x14ac:dyDescent="0.35">
      <c r="A879" s="2"/>
      <c r="B879" s="2"/>
      <c r="C879" s="2"/>
      <c r="D879" s="2"/>
      <c r="E879" s="2"/>
      <c r="F879" s="2"/>
      <c r="G879" s="3"/>
      <c r="H879" s="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25.5" x14ac:dyDescent="0.35">
      <c r="A880" s="2"/>
      <c r="B880" s="2"/>
      <c r="C880" s="2"/>
      <c r="D880" s="2"/>
      <c r="E880" s="2"/>
      <c r="F880" s="2"/>
      <c r="G880" s="3"/>
      <c r="H880" s="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25.5" x14ac:dyDescent="0.35">
      <c r="A881" s="2"/>
      <c r="B881" s="2"/>
      <c r="C881" s="2"/>
      <c r="D881" s="2"/>
      <c r="E881" s="2"/>
      <c r="F881" s="2"/>
      <c r="G881" s="3"/>
      <c r="H881" s="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25.5" x14ac:dyDescent="0.35">
      <c r="A882" s="2"/>
      <c r="B882" s="2"/>
      <c r="C882" s="2"/>
      <c r="D882" s="2"/>
      <c r="E882" s="2"/>
      <c r="F882" s="2"/>
      <c r="G882" s="3"/>
      <c r="H882" s="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25.5" x14ac:dyDescent="0.35">
      <c r="A883" s="2"/>
      <c r="B883" s="2"/>
      <c r="C883" s="2"/>
      <c r="D883" s="2"/>
      <c r="E883" s="2"/>
      <c r="F883" s="2"/>
      <c r="G883" s="3"/>
      <c r="H883" s="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25.5" x14ac:dyDescent="0.35">
      <c r="A884" s="2"/>
      <c r="B884" s="2"/>
      <c r="C884" s="2"/>
      <c r="D884" s="2"/>
      <c r="E884" s="2"/>
      <c r="F884" s="2"/>
      <c r="G884" s="3"/>
      <c r="H884" s="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25.5" x14ac:dyDescent="0.35">
      <c r="A885" s="2"/>
      <c r="B885" s="2"/>
      <c r="C885" s="2"/>
      <c r="D885" s="2"/>
      <c r="E885" s="2"/>
      <c r="F885" s="2"/>
      <c r="G885" s="3"/>
      <c r="H885" s="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25.5" x14ac:dyDescent="0.35">
      <c r="A886" s="2"/>
      <c r="B886" s="2"/>
      <c r="C886" s="2"/>
      <c r="D886" s="2"/>
      <c r="E886" s="2"/>
      <c r="F886" s="2"/>
      <c r="G886" s="3"/>
      <c r="H886" s="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25.5" x14ac:dyDescent="0.35">
      <c r="A887" s="2"/>
      <c r="B887" s="2"/>
      <c r="C887" s="2"/>
      <c r="D887" s="2"/>
      <c r="E887" s="2"/>
      <c r="F887" s="2"/>
      <c r="G887" s="3"/>
      <c r="H887" s="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25.5" x14ac:dyDescent="0.35">
      <c r="A888" s="2"/>
      <c r="B888" s="2"/>
      <c r="C888" s="2"/>
      <c r="D888" s="2"/>
      <c r="E888" s="2"/>
      <c r="F888" s="2"/>
      <c r="G888" s="3"/>
      <c r="H888" s="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25.5" x14ac:dyDescent="0.35">
      <c r="A889" s="2"/>
      <c r="B889" s="2"/>
      <c r="C889" s="2"/>
      <c r="D889" s="2"/>
      <c r="E889" s="2"/>
      <c r="F889" s="2"/>
      <c r="G889" s="3"/>
      <c r="H889" s="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25.5" x14ac:dyDescent="0.35">
      <c r="A890" s="2"/>
      <c r="B890" s="2"/>
      <c r="C890" s="2"/>
      <c r="D890" s="2"/>
      <c r="E890" s="2"/>
      <c r="F890" s="2"/>
      <c r="G890" s="3"/>
      <c r="H890" s="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25.5" x14ac:dyDescent="0.35">
      <c r="A891" s="2"/>
      <c r="B891" s="2"/>
      <c r="C891" s="2"/>
      <c r="D891" s="2"/>
      <c r="E891" s="2"/>
      <c r="F891" s="2"/>
      <c r="G891" s="3"/>
      <c r="H891" s="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25.5" x14ac:dyDescent="0.35">
      <c r="A892" s="2"/>
      <c r="B892" s="2"/>
      <c r="C892" s="2"/>
      <c r="D892" s="2"/>
      <c r="E892" s="2"/>
      <c r="F892" s="2"/>
      <c r="G892" s="3"/>
      <c r="H892" s="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25.5" x14ac:dyDescent="0.35">
      <c r="A893" s="2"/>
      <c r="B893" s="2"/>
      <c r="C893" s="2"/>
      <c r="D893" s="2"/>
      <c r="E893" s="2"/>
      <c r="F893" s="2"/>
      <c r="G893" s="3"/>
      <c r="H893" s="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25.5" x14ac:dyDescent="0.35">
      <c r="A894" s="2"/>
      <c r="B894" s="2"/>
      <c r="C894" s="2"/>
      <c r="D894" s="2"/>
      <c r="E894" s="2"/>
      <c r="F894" s="2"/>
      <c r="G894" s="3"/>
      <c r="H894" s="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25.5" x14ac:dyDescent="0.35">
      <c r="A895" s="2"/>
      <c r="B895" s="2"/>
      <c r="C895" s="2"/>
      <c r="D895" s="2"/>
      <c r="E895" s="2"/>
      <c r="F895" s="2"/>
      <c r="G895" s="3"/>
      <c r="H895" s="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25.5" x14ac:dyDescent="0.35">
      <c r="A896" s="2"/>
      <c r="B896" s="2"/>
      <c r="C896" s="2"/>
      <c r="D896" s="2"/>
      <c r="E896" s="2"/>
      <c r="F896" s="2"/>
      <c r="G896" s="3"/>
      <c r="H896" s="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25.5" x14ac:dyDescent="0.35">
      <c r="A897" s="2"/>
      <c r="B897" s="2"/>
      <c r="C897" s="2"/>
      <c r="D897" s="2"/>
      <c r="E897" s="2"/>
      <c r="F897" s="2"/>
      <c r="G897" s="3"/>
      <c r="H897" s="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25.5" x14ac:dyDescent="0.35">
      <c r="A898" s="2"/>
      <c r="B898" s="2"/>
      <c r="C898" s="2"/>
      <c r="D898" s="2"/>
      <c r="E898" s="2"/>
      <c r="F898" s="2"/>
      <c r="G898" s="3"/>
      <c r="H898" s="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25.5" x14ac:dyDescent="0.35">
      <c r="A899" s="2"/>
      <c r="B899" s="2"/>
      <c r="C899" s="2"/>
      <c r="D899" s="2"/>
      <c r="E899" s="2"/>
      <c r="F899" s="2"/>
      <c r="G899" s="3"/>
      <c r="H899" s="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25.5" x14ac:dyDescent="0.35">
      <c r="A900" s="2"/>
      <c r="B900" s="2"/>
      <c r="C900" s="2"/>
      <c r="D900" s="2"/>
      <c r="E900" s="2"/>
      <c r="F900" s="2"/>
      <c r="G900" s="3"/>
      <c r="H900" s="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25.5" x14ac:dyDescent="0.35">
      <c r="A901" s="2"/>
      <c r="B901" s="2"/>
      <c r="C901" s="2"/>
      <c r="D901" s="2"/>
      <c r="E901" s="2"/>
      <c r="F901" s="2"/>
      <c r="G901" s="3"/>
      <c r="H901" s="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25.5" x14ac:dyDescent="0.35">
      <c r="A902" s="2"/>
      <c r="B902" s="2"/>
      <c r="C902" s="2"/>
      <c r="D902" s="2"/>
      <c r="E902" s="2"/>
      <c r="F902" s="2"/>
      <c r="G902" s="3"/>
      <c r="H902" s="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25.5" x14ac:dyDescent="0.35">
      <c r="A903" s="2"/>
      <c r="B903" s="2"/>
      <c r="C903" s="2"/>
      <c r="D903" s="2"/>
      <c r="E903" s="2"/>
      <c r="F903" s="2"/>
      <c r="G903" s="3"/>
      <c r="H903" s="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25.5" x14ac:dyDescent="0.35">
      <c r="A904" s="2"/>
      <c r="B904" s="2"/>
      <c r="C904" s="2"/>
      <c r="D904" s="2"/>
      <c r="E904" s="2"/>
      <c r="F904" s="2"/>
      <c r="G904" s="3"/>
      <c r="H904" s="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25.5" x14ac:dyDescent="0.35">
      <c r="A905" s="2"/>
      <c r="B905" s="2"/>
      <c r="C905" s="2"/>
      <c r="D905" s="2"/>
      <c r="E905" s="2"/>
      <c r="F905" s="2"/>
      <c r="G905" s="3"/>
      <c r="H905" s="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25.5" x14ac:dyDescent="0.35">
      <c r="A906" s="2"/>
      <c r="B906" s="2"/>
      <c r="C906" s="2"/>
      <c r="D906" s="2"/>
      <c r="E906" s="2"/>
      <c r="F906" s="2"/>
      <c r="G906" s="3"/>
      <c r="H906" s="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25.5" x14ac:dyDescent="0.35">
      <c r="A907" s="2"/>
      <c r="B907" s="2"/>
      <c r="C907" s="2"/>
      <c r="D907" s="2"/>
      <c r="E907" s="2"/>
      <c r="F907" s="2"/>
      <c r="G907" s="3"/>
      <c r="H907" s="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25.5" x14ac:dyDescent="0.35">
      <c r="A908" s="2"/>
      <c r="B908" s="2"/>
      <c r="C908" s="2"/>
      <c r="D908" s="2"/>
      <c r="E908" s="2"/>
      <c r="F908" s="2"/>
      <c r="G908" s="3"/>
      <c r="H908" s="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25.5" x14ac:dyDescent="0.35">
      <c r="A909" s="2"/>
      <c r="B909" s="2"/>
      <c r="C909" s="2"/>
      <c r="D909" s="2"/>
      <c r="E909" s="2"/>
      <c r="F909" s="2"/>
      <c r="G909" s="3"/>
      <c r="H909" s="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25.5" x14ac:dyDescent="0.35">
      <c r="A910" s="2"/>
      <c r="B910" s="2"/>
      <c r="C910" s="2"/>
      <c r="D910" s="2"/>
      <c r="E910" s="2"/>
      <c r="F910" s="2"/>
      <c r="G910" s="3"/>
      <c r="H910" s="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25.5" x14ac:dyDescent="0.35">
      <c r="A911" s="2"/>
      <c r="B911" s="2"/>
      <c r="C911" s="2"/>
      <c r="D911" s="2"/>
      <c r="E911" s="2"/>
      <c r="F911" s="2"/>
      <c r="G911" s="3"/>
      <c r="H911" s="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25.5" x14ac:dyDescent="0.35">
      <c r="A912" s="2"/>
      <c r="B912" s="2"/>
      <c r="C912" s="2"/>
      <c r="D912" s="2"/>
      <c r="E912" s="2"/>
      <c r="F912" s="2"/>
      <c r="G912" s="3"/>
      <c r="H912" s="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25.5" x14ac:dyDescent="0.35">
      <c r="A913" s="2"/>
      <c r="B913" s="2"/>
      <c r="C913" s="2"/>
      <c r="D913" s="2"/>
      <c r="E913" s="2"/>
      <c r="F913" s="2"/>
      <c r="G913" s="3"/>
      <c r="H913" s="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25.5" x14ac:dyDescent="0.35">
      <c r="A914" s="2"/>
      <c r="B914" s="2"/>
      <c r="C914" s="2"/>
      <c r="D914" s="2"/>
      <c r="E914" s="2"/>
      <c r="F914" s="2"/>
      <c r="G914" s="3"/>
      <c r="H914" s="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25.5" x14ac:dyDescent="0.35">
      <c r="A915" s="2"/>
      <c r="B915" s="2"/>
      <c r="C915" s="2"/>
      <c r="D915" s="2"/>
      <c r="E915" s="2"/>
      <c r="F915" s="2"/>
      <c r="G915" s="3"/>
      <c r="H915" s="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25.5" x14ac:dyDescent="0.35">
      <c r="A916" s="2"/>
      <c r="B916" s="2"/>
      <c r="C916" s="2"/>
      <c r="D916" s="2"/>
      <c r="E916" s="2"/>
      <c r="F916" s="2"/>
      <c r="G916" s="3"/>
      <c r="H916" s="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25.5" x14ac:dyDescent="0.35">
      <c r="A917" s="2"/>
      <c r="B917" s="2"/>
      <c r="C917" s="2"/>
      <c r="D917" s="2"/>
      <c r="E917" s="2"/>
      <c r="F917" s="2"/>
      <c r="G917" s="3"/>
      <c r="H917" s="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25.5" x14ac:dyDescent="0.35">
      <c r="A918" s="2"/>
      <c r="B918" s="2"/>
      <c r="C918" s="2"/>
      <c r="D918" s="2"/>
      <c r="E918" s="2"/>
      <c r="F918" s="2"/>
      <c r="G918" s="3"/>
      <c r="H918" s="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25.5" x14ac:dyDescent="0.35">
      <c r="A919" s="2"/>
      <c r="B919" s="2"/>
      <c r="C919" s="2"/>
      <c r="D919" s="2"/>
      <c r="E919" s="2"/>
      <c r="F919" s="2"/>
      <c r="G919" s="3"/>
      <c r="H919" s="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25.5" x14ac:dyDescent="0.35">
      <c r="A920" s="2"/>
      <c r="B920" s="2"/>
      <c r="C920" s="2"/>
      <c r="D920" s="2"/>
      <c r="E920" s="2"/>
      <c r="F920" s="2"/>
      <c r="G920" s="3"/>
      <c r="H920" s="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25.5" x14ac:dyDescent="0.35">
      <c r="A921" s="2"/>
      <c r="B921" s="2"/>
      <c r="C921" s="2"/>
      <c r="D921" s="2"/>
      <c r="E921" s="2"/>
      <c r="F921" s="2"/>
      <c r="G921" s="3"/>
      <c r="H921" s="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25.5" x14ac:dyDescent="0.35">
      <c r="A922" s="2"/>
      <c r="B922" s="2"/>
      <c r="C922" s="2"/>
      <c r="D922" s="2"/>
      <c r="E922" s="2"/>
      <c r="F922" s="2"/>
      <c r="G922" s="3"/>
      <c r="H922" s="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25.5" x14ac:dyDescent="0.35">
      <c r="A923" s="2"/>
      <c r="B923" s="2"/>
      <c r="C923" s="2"/>
      <c r="D923" s="2"/>
      <c r="E923" s="2"/>
      <c r="F923" s="2"/>
      <c r="G923" s="3"/>
      <c r="H923" s="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25.5" x14ac:dyDescent="0.35">
      <c r="A924" s="2"/>
      <c r="B924" s="2"/>
      <c r="C924" s="2"/>
      <c r="D924" s="2"/>
      <c r="E924" s="2"/>
      <c r="F924" s="2"/>
      <c r="G924" s="3"/>
      <c r="H924" s="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25.5" x14ac:dyDescent="0.35">
      <c r="A925" s="2"/>
      <c r="B925" s="2"/>
      <c r="C925" s="2"/>
      <c r="D925" s="2"/>
      <c r="E925" s="2"/>
      <c r="F925" s="2"/>
      <c r="G925" s="3"/>
      <c r="H925" s="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25.5" x14ac:dyDescent="0.35">
      <c r="A926" s="2"/>
      <c r="B926" s="2"/>
      <c r="C926" s="2"/>
      <c r="D926" s="2"/>
      <c r="E926" s="2"/>
      <c r="F926" s="2"/>
      <c r="G926" s="3"/>
      <c r="H926" s="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25.5" x14ac:dyDescent="0.35">
      <c r="A927" s="2"/>
      <c r="B927" s="2"/>
      <c r="C927" s="2"/>
      <c r="D927" s="2"/>
      <c r="E927" s="2"/>
      <c r="F927" s="2"/>
      <c r="G927" s="3"/>
      <c r="H927" s="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25.5" x14ac:dyDescent="0.35">
      <c r="A928" s="2"/>
      <c r="B928" s="2"/>
      <c r="C928" s="2"/>
      <c r="D928" s="2"/>
      <c r="E928" s="2"/>
      <c r="F928" s="2"/>
      <c r="G928" s="3"/>
      <c r="H928" s="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25.5" x14ac:dyDescent="0.35">
      <c r="A929" s="2"/>
      <c r="B929" s="2"/>
      <c r="C929" s="2"/>
      <c r="D929" s="2"/>
      <c r="E929" s="2"/>
      <c r="F929" s="2"/>
      <c r="G929" s="3"/>
      <c r="H929" s="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25.5" x14ac:dyDescent="0.35">
      <c r="A930" s="2"/>
      <c r="B930" s="2"/>
      <c r="C930" s="2"/>
      <c r="D930" s="2"/>
      <c r="E930" s="2"/>
      <c r="F930" s="2"/>
      <c r="G930" s="3"/>
      <c r="H930" s="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25.5" x14ac:dyDescent="0.35">
      <c r="A931" s="2"/>
      <c r="B931" s="2"/>
      <c r="C931" s="2"/>
      <c r="D931" s="2"/>
      <c r="E931" s="2"/>
      <c r="F931" s="2"/>
      <c r="G931" s="3"/>
      <c r="H931" s="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25.5" x14ac:dyDescent="0.35">
      <c r="A932" s="2"/>
      <c r="B932" s="2"/>
      <c r="C932" s="2"/>
      <c r="D932" s="2"/>
      <c r="E932" s="2"/>
      <c r="F932" s="2"/>
      <c r="G932" s="3"/>
      <c r="H932" s="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25.5" x14ac:dyDescent="0.35">
      <c r="A933" s="2"/>
      <c r="B933" s="2"/>
      <c r="C933" s="2"/>
      <c r="D933" s="2"/>
      <c r="E933" s="2"/>
      <c r="F933" s="2"/>
      <c r="G933" s="3"/>
      <c r="H933" s="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25.5" x14ac:dyDescent="0.35">
      <c r="A934" s="2"/>
      <c r="B934" s="2"/>
      <c r="C934" s="2"/>
      <c r="D934" s="2"/>
      <c r="E934" s="2"/>
      <c r="F934" s="2"/>
      <c r="G934" s="3"/>
      <c r="H934" s="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25.5" x14ac:dyDescent="0.35">
      <c r="A935" s="2"/>
      <c r="B935" s="2"/>
      <c r="C935" s="2"/>
      <c r="D935" s="2"/>
      <c r="E935" s="2"/>
      <c r="F935" s="2"/>
      <c r="G935" s="3"/>
      <c r="H935" s="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25.5" x14ac:dyDescent="0.35">
      <c r="A936" s="2"/>
      <c r="B936" s="2"/>
      <c r="C936" s="2"/>
      <c r="D936" s="2"/>
      <c r="E936" s="2"/>
      <c r="F936" s="2"/>
      <c r="G936" s="3"/>
      <c r="H936" s="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25.5" x14ac:dyDescent="0.35">
      <c r="A937" s="2"/>
      <c r="B937" s="2"/>
      <c r="C937" s="2"/>
      <c r="D937" s="2"/>
      <c r="E937" s="2"/>
      <c r="F937" s="2"/>
      <c r="G937" s="3"/>
      <c r="H937" s="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25.5" x14ac:dyDescent="0.35">
      <c r="A938" s="2"/>
      <c r="B938" s="2"/>
      <c r="C938" s="2"/>
      <c r="D938" s="2"/>
      <c r="E938" s="2"/>
      <c r="F938" s="2"/>
      <c r="G938" s="3"/>
      <c r="H938" s="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25.5" x14ac:dyDescent="0.35">
      <c r="A939" s="2"/>
      <c r="B939" s="2"/>
      <c r="C939" s="2"/>
      <c r="D939" s="2"/>
      <c r="E939" s="2"/>
      <c r="F939" s="2"/>
      <c r="G939" s="3"/>
      <c r="H939" s="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25.5" x14ac:dyDescent="0.35">
      <c r="A940" s="2"/>
      <c r="B940" s="2"/>
      <c r="C940" s="2"/>
      <c r="D940" s="2"/>
      <c r="E940" s="2"/>
      <c r="F940" s="2"/>
      <c r="G940" s="3"/>
      <c r="H940" s="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25.5" x14ac:dyDescent="0.35">
      <c r="A941" s="2"/>
      <c r="B941" s="2"/>
      <c r="C941" s="2"/>
      <c r="D941" s="2"/>
      <c r="E941" s="2"/>
      <c r="F941" s="2"/>
      <c r="G941" s="3"/>
      <c r="H941" s="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25.5" x14ac:dyDescent="0.35">
      <c r="A942" s="2"/>
      <c r="B942" s="2"/>
      <c r="C942" s="2"/>
      <c r="D942" s="2"/>
      <c r="E942" s="2"/>
      <c r="F942" s="2"/>
      <c r="G942" s="3"/>
      <c r="H942" s="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25.5" x14ac:dyDescent="0.35">
      <c r="A943" s="2"/>
      <c r="B943" s="2"/>
      <c r="C943" s="2"/>
      <c r="D943" s="2"/>
      <c r="E943" s="2"/>
      <c r="F943" s="2"/>
      <c r="G943" s="3"/>
      <c r="H943" s="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25.5" x14ac:dyDescent="0.35">
      <c r="A944" s="2"/>
      <c r="B944" s="2"/>
      <c r="C944" s="2"/>
      <c r="D944" s="2"/>
      <c r="E944" s="2"/>
      <c r="F944" s="2"/>
      <c r="G944" s="3"/>
      <c r="H944" s="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25.5" x14ac:dyDescent="0.35">
      <c r="A945" s="2"/>
      <c r="B945" s="2"/>
      <c r="C945" s="2"/>
      <c r="D945" s="2"/>
      <c r="E945" s="2"/>
      <c r="F945" s="2"/>
      <c r="G945" s="3"/>
      <c r="H945" s="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25.5" x14ac:dyDescent="0.35">
      <c r="A946" s="2"/>
      <c r="B946" s="2"/>
      <c r="C946" s="2"/>
      <c r="D946" s="2"/>
      <c r="E946" s="2"/>
      <c r="F946" s="2"/>
      <c r="G946" s="3"/>
      <c r="H946" s="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25.5" x14ac:dyDescent="0.35">
      <c r="A947" s="2"/>
      <c r="B947" s="2"/>
      <c r="C947" s="2"/>
      <c r="D947" s="2"/>
      <c r="E947" s="2"/>
      <c r="F947" s="2"/>
      <c r="G947" s="3"/>
      <c r="H947" s="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25.5" x14ac:dyDescent="0.35">
      <c r="A948" s="2"/>
      <c r="B948" s="2"/>
      <c r="C948" s="2"/>
      <c r="D948" s="2"/>
      <c r="E948" s="2"/>
      <c r="F948" s="2"/>
      <c r="G948" s="3"/>
      <c r="H948" s="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25.5" x14ac:dyDescent="0.35">
      <c r="A949" s="2"/>
      <c r="B949" s="2"/>
      <c r="C949" s="2"/>
      <c r="D949" s="2"/>
      <c r="E949" s="2"/>
      <c r="F949" s="2"/>
      <c r="G949" s="3"/>
      <c r="H949" s="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25.5" x14ac:dyDescent="0.35">
      <c r="A950" s="2"/>
      <c r="B950" s="2"/>
      <c r="C950" s="2"/>
      <c r="D950" s="2"/>
      <c r="E950" s="2"/>
      <c r="F950" s="2"/>
      <c r="G950" s="3"/>
      <c r="H950" s="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25.5" x14ac:dyDescent="0.35">
      <c r="A951" s="2"/>
      <c r="B951" s="2"/>
      <c r="C951" s="2"/>
      <c r="D951" s="2"/>
      <c r="E951" s="2"/>
      <c r="F951" s="2"/>
      <c r="G951" s="3"/>
      <c r="H951" s="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25.5" x14ac:dyDescent="0.35">
      <c r="A952" s="2"/>
      <c r="B952" s="2"/>
      <c r="C952" s="2"/>
      <c r="D952" s="2"/>
      <c r="E952" s="2"/>
      <c r="F952" s="2"/>
      <c r="G952" s="3"/>
      <c r="H952" s="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25.5" x14ac:dyDescent="0.35">
      <c r="A953" s="2"/>
      <c r="B953" s="2"/>
      <c r="C953" s="2"/>
      <c r="D953" s="2"/>
      <c r="E953" s="2"/>
      <c r="F953" s="2"/>
      <c r="G953" s="3"/>
      <c r="H953" s="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25.5" x14ac:dyDescent="0.35">
      <c r="A954" s="2"/>
      <c r="B954" s="2"/>
      <c r="C954" s="2"/>
      <c r="D954" s="2"/>
      <c r="E954" s="2"/>
      <c r="F954" s="2"/>
      <c r="G954" s="3"/>
      <c r="H954" s="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25.5" x14ac:dyDescent="0.35">
      <c r="A955" s="2"/>
      <c r="B955" s="2"/>
      <c r="C955" s="2"/>
      <c r="D955" s="2"/>
      <c r="E955" s="2"/>
      <c r="F955" s="2"/>
      <c r="G955" s="3"/>
      <c r="H955" s="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25.5" x14ac:dyDescent="0.35">
      <c r="A956" s="2"/>
      <c r="B956" s="2"/>
      <c r="C956" s="2"/>
      <c r="D956" s="2"/>
      <c r="E956" s="2"/>
      <c r="F956" s="2"/>
      <c r="G956" s="3"/>
      <c r="H956" s="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25.5" x14ac:dyDescent="0.35">
      <c r="A957" s="2"/>
      <c r="B957" s="2"/>
      <c r="C957" s="2"/>
      <c r="D957" s="2"/>
      <c r="E957" s="2"/>
      <c r="F957" s="2"/>
      <c r="G957" s="3"/>
      <c r="H957" s="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25.5" x14ac:dyDescent="0.35">
      <c r="A958" s="2"/>
      <c r="B958" s="2"/>
      <c r="C958" s="2"/>
      <c r="D958" s="2"/>
      <c r="E958" s="2"/>
      <c r="F958" s="2"/>
      <c r="G958" s="3"/>
      <c r="H958" s="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25.5" x14ac:dyDescent="0.35">
      <c r="A959" s="2"/>
      <c r="B959" s="2"/>
      <c r="C959" s="2"/>
      <c r="D959" s="2"/>
      <c r="E959" s="2"/>
      <c r="F959" s="2"/>
      <c r="G959" s="3"/>
      <c r="H959" s="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25.5" x14ac:dyDescent="0.35">
      <c r="A960" s="2"/>
      <c r="B960" s="2"/>
      <c r="C960" s="2"/>
      <c r="D960" s="2"/>
      <c r="E960" s="2"/>
      <c r="F960" s="2"/>
      <c r="G960" s="3"/>
      <c r="H960" s="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25.5" x14ac:dyDescent="0.35">
      <c r="A961" s="2"/>
      <c r="B961" s="2"/>
      <c r="C961" s="2"/>
      <c r="D961" s="2"/>
      <c r="E961" s="2"/>
      <c r="F961" s="2"/>
      <c r="G961" s="3"/>
      <c r="H961" s="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25.5" x14ac:dyDescent="0.35">
      <c r="A962" s="2"/>
      <c r="B962" s="2"/>
      <c r="C962" s="2"/>
      <c r="D962" s="2"/>
      <c r="E962" s="2"/>
      <c r="F962" s="2"/>
      <c r="G962" s="3"/>
      <c r="H962" s="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25.5" x14ac:dyDescent="0.35">
      <c r="A963" s="2"/>
      <c r="B963" s="2"/>
      <c r="C963" s="2"/>
      <c r="D963" s="2"/>
      <c r="E963" s="2"/>
      <c r="F963" s="2"/>
      <c r="G963" s="3"/>
      <c r="H963" s="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25.5" x14ac:dyDescent="0.35">
      <c r="A964" s="2"/>
      <c r="B964" s="2"/>
      <c r="C964" s="2"/>
      <c r="D964" s="2"/>
      <c r="E964" s="2"/>
      <c r="F964" s="2"/>
      <c r="G964" s="3"/>
      <c r="H964" s="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25.5" x14ac:dyDescent="0.35">
      <c r="A965" s="2"/>
      <c r="B965" s="2"/>
      <c r="C965" s="2"/>
      <c r="D965" s="2"/>
      <c r="E965" s="2"/>
      <c r="F965" s="2"/>
      <c r="G965" s="3"/>
      <c r="H965" s="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25.5" x14ac:dyDescent="0.35">
      <c r="A966" s="2"/>
      <c r="B966" s="2"/>
      <c r="C966" s="2"/>
      <c r="D966" s="2"/>
      <c r="E966" s="2"/>
      <c r="F966" s="2"/>
      <c r="G966" s="3"/>
      <c r="H966" s="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25.5" x14ac:dyDescent="0.35">
      <c r="A967" s="2"/>
      <c r="B967" s="2"/>
      <c r="C967" s="2"/>
      <c r="D967" s="2"/>
      <c r="E967" s="2"/>
      <c r="F967" s="2"/>
      <c r="G967" s="3"/>
      <c r="H967" s="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25.5" x14ac:dyDescent="0.35">
      <c r="A968" s="2"/>
      <c r="B968" s="2"/>
      <c r="C968" s="2"/>
      <c r="D968" s="2"/>
      <c r="E968" s="2"/>
      <c r="F968" s="2"/>
      <c r="G968" s="3"/>
      <c r="H968" s="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25.5" x14ac:dyDescent="0.35">
      <c r="A969" s="2"/>
      <c r="B969" s="2"/>
      <c r="C969" s="2"/>
      <c r="D969" s="2"/>
      <c r="E969" s="2"/>
      <c r="F969" s="2"/>
      <c r="G969" s="3"/>
      <c r="H969" s="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25.5" x14ac:dyDescent="0.35">
      <c r="A970" s="2"/>
      <c r="B970" s="2"/>
      <c r="C970" s="2"/>
      <c r="D970" s="2"/>
      <c r="E970" s="2"/>
      <c r="F970" s="2"/>
      <c r="G970" s="3"/>
      <c r="H970" s="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25.5" x14ac:dyDescent="0.35">
      <c r="A971" s="2"/>
      <c r="B971" s="2"/>
      <c r="C971" s="2"/>
      <c r="D971" s="2"/>
      <c r="E971" s="2"/>
      <c r="F971" s="2"/>
      <c r="G971" s="3"/>
      <c r="H971" s="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25.5" x14ac:dyDescent="0.35">
      <c r="A972" s="2"/>
      <c r="B972" s="2"/>
      <c r="C972" s="2"/>
      <c r="D972" s="2"/>
      <c r="E972" s="2"/>
      <c r="F972" s="2"/>
      <c r="G972" s="3"/>
      <c r="H972" s="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25.5" x14ac:dyDescent="0.35">
      <c r="A973" s="2"/>
      <c r="B973" s="2"/>
      <c r="C973" s="2"/>
      <c r="D973" s="2"/>
      <c r="E973" s="2"/>
      <c r="F973" s="2"/>
      <c r="G973" s="3"/>
      <c r="H973" s="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25.5" x14ac:dyDescent="0.35">
      <c r="A974" s="2"/>
      <c r="B974" s="2"/>
      <c r="C974" s="2"/>
      <c r="D974" s="2"/>
      <c r="E974" s="2"/>
      <c r="F974" s="2"/>
      <c r="G974" s="3"/>
      <c r="H974" s="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25.5" x14ac:dyDescent="0.35">
      <c r="A975" s="2"/>
      <c r="B975" s="2"/>
      <c r="C975" s="2"/>
      <c r="D975" s="2"/>
      <c r="E975" s="2"/>
      <c r="F975" s="2"/>
      <c r="G975" s="3"/>
      <c r="H975" s="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25.5" x14ac:dyDescent="0.35">
      <c r="A976" s="2"/>
      <c r="B976" s="2"/>
      <c r="C976" s="2"/>
      <c r="D976" s="2"/>
      <c r="E976" s="2"/>
      <c r="F976" s="2"/>
      <c r="G976" s="3"/>
      <c r="H976" s="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25.5" x14ac:dyDescent="0.35">
      <c r="A977" s="2"/>
      <c r="B977" s="2"/>
      <c r="C977" s="2"/>
      <c r="D977" s="2"/>
      <c r="E977" s="2"/>
      <c r="F977" s="2"/>
      <c r="G977" s="3"/>
      <c r="H977" s="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25.5" x14ac:dyDescent="0.35">
      <c r="A978" s="2"/>
      <c r="B978" s="2"/>
      <c r="C978" s="2"/>
      <c r="D978" s="2"/>
      <c r="E978" s="2"/>
      <c r="F978" s="2"/>
      <c r="G978" s="3"/>
      <c r="H978" s="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25.5" x14ac:dyDescent="0.35">
      <c r="A979" s="2"/>
      <c r="B979" s="2"/>
      <c r="C979" s="2"/>
      <c r="D979" s="2"/>
      <c r="E979" s="2"/>
      <c r="F979" s="2"/>
      <c r="G979" s="3"/>
      <c r="H979" s="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25.5" x14ac:dyDescent="0.35">
      <c r="A980" s="2"/>
      <c r="B980" s="2"/>
      <c r="C980" s="2"/>
      <c r="D980" s="2"/>
      <c r="E980" s="2"/>
      <c r="F980" s="2"/>
      <c r="G980" s="3"/>
      <c r="H980" s="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25.5" x14ac:dyDescent="0.35">
      <c r="A981" s="2"/>
      <c r="B981" s="2"/>
      <c r="C981" s="2"/>
      <c r="D981" s="2"/>
      <c r="E981" s="2"/>
      <c r="F981" s="2"/>
      <c r="G981" s="3"/>
      <c r="H981" s="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25.5" x14ac:dyDescent="0.35">
      <c r="A982" s="2"/>
      <c r="B982" s="2"/>
      <c r="C982" s="2"/>
      <c r="D982" s="2"/>
      <c r="E982" s="2"/>
      <c r="F982" s="2"/>
      <c r="G982" s="3"/>
      <c r="H982" s="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25.5" x14ac:dyDescent="0.35">
      <c r="A983" s="2"/>
      <c r="B983" s="2"/>
      <c r="C983" s="2"/>
      <c r="D983" s="2"/>
      <c r="E983" s="2"/>
      <c r="F983" s="2"/>
      <c r="G983" s="3"/>
      <c r="H983" s="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25.5" x14ac:dyDescent="0.35">
      <c r="A984" s="2"/>
      <c r="B984" s="2"/>
      <c r="C984" s="2"/>
      <c r="D984" s="2"/>
      <c r="E984" s="2"/>
      <c r="F984" s="2"/>
      <c r="G984" s="3"/>
      <c r="H984" s="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25.5" x14ac:dyDescent="0.35">
      <c r="A985" s="2"/>
      <c r="B985" s="2"/>
      <c r="C985" s="2"/>
      <c r="D985" s="2"/>
      <c r="E985" s="2"/>
      <c r="F985" s="2"/>
      <c r="G985" s="3"/>
      <c r="H985" s="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25.5" x14ac:dyDescent="0.35">
      <c r="A986" s="2"/>
      <c r="B986" s="2"/>
      <c r="C986" s="2"/>
      <c r="D986" s="2"/>
      <c r="E986" s="2"/>
      <c r="F986" s="2"/>
      <c r="G986" s="3"/>
      <c r="H986" s="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25.5" x14ac:dyDescent="0.35">
      <c r="A987" s="2"/>
      <c r="B987" s="2"/>
      <c r="C987" s="2"/>
      <c r="D987" s="2"/>
      <c r="E987" s="2"/>
      <c r="F987" s="2"/>
      <c r="G987" s="3"/>
      <c r="H987" s="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25.5" x14ac:dyDescent="0.35">
      <c r="A988" s="2"/>
      <c r="B988" s="2"/>
      <c r="C988" s="2"/>
      <c r="D988" s="2"/>
      <c r="E988" s="2"/>
      <c r="F988" s="2"/>
      <c r="G988" s="3"/>
      <c r="H988" s="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25.5" x14ac:dyDescent="0.35">
      <c r="A989" s="2"/>
      <c r="B989" s="2"/>
      <c r="C989" s="2"/>
      <c r="D989" s="2"/>
      <c r="E989" s="2"/>
      <c r="F989" s="2"/>
      <c r="G989" s="3"/>
      <c r="H989" s="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25.5" x14ac:dyDescent="0.35">
      <c r="A990" s="2"/>
      <c r="B990" s="2"/>
      <c r="C990" s="2"/>
      <c r="D990" s="2"/>
      <c r="E990" s="2"/>
      <c r="F990" s="2"/>
      <c r="G990" s="3"/>
      <c r="H990" s="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25.5" x14ac:dyDescent="0.35">
      <c r="A991" s="2"/>
      <c r="B991" s="2"/>
      <c r="C991" s="2"/>
      <c r="D991" s="2"/>
      <c r="E991" s="2"/>
      <c r="F991" s="2"/>
      <c r="G991" s="3"/>
      <c r="H991" s="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25.5" x14ac:dyDescent="0.35">
      <c r="A992" s="2"/>
      <c r="B992" s="2"/>
      <c r="C992" s="2"/>
      <c r="D992" s="2"/>
      <c r="E992" s="2"/>
      <c r="F992" s="2"/>
      <c r="G992" s="3"/>
      <c r="H992" s="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25.5" x14ac:dyDescent="0.35">
      <c r="A993" s="2"/>
      <c r="B993" s="2"/>
      <c r="C993" s="2"/>
      <c r="D993" s="2"/>
      <c r="E993" s="2"/>
      <c r="F993" s="2"/>
      <c r="G993" s="3"/>
      <c r="H993" s="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25.5" x14ac:dyDescent="0.35">
      <c r="A994" s="2"/>
      <c r="B994" s="2"/>
      <c r="C994" s="2"/>
      <c r="D994" s="2"/>
      <c r="E994" s="2"/>
      <c r="F994" s="2"/>
      <c r="G994" s="3"/>
      <c r="H994" s="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25.5" x14ac:dyDescent="0.35">
      <c r="A995" s="2"/>
      <c r="B995" s="2"/>
      <c r="C995" s="2"/>
      <c r="D995" s="2"/>
      <c r="E995" s="2"/>
      <c r="F995" s="2"/>
      <c r="G995" s="3"/>
      <c r="H995" s="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25.5" x14ac:dyDescent="0.35">
      <c r="A996" s="2"/>
      <c r="B996" s="2"/>
      <c r="C996" s="2"/>
      <c r="D996" s="2"/>
      <c r="E996" s="2"/>
      <c r="F996" s="2"/>
      <c r="G996" s="3"/>
      <c r="H996" s="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25.5" x14ac:dyDescent="0.35">
      <c r="A997" s="2"/>
      <c r="B997" s="2"/>
      <c r="C997" s="2"/>
      <c r="D997" s="2"/>
      <c r="E997" s="2"/>
      <c r="F997" s="2"/>
      <c r="G997" s="3"/>
      <c r="H997" s="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25.5" x14ac:dyDescent="0.35">
      <c r="A998" s="2"/>
      <c r="B998" s="2"/>
      <c r="C998" s="2"/>
      <c r="D998" s="2"/>
      <c r="E998" s="2"/>
      <c r="F998" s="2"/>
      <c r="G998" s="3"/>
      <c r="H998" s="3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25.5" x14ac:dyDescent="0.35">
      <c r="A999" s="2"/>
      <c r="B999" s="2"/>
      <c r="C999" s="2"/>
      <c r="D999" s="2"/>
      <c r="E999" s="2"/>
      <c r="F999" s="2"/>
      <c r="G999" s="3"/>
      <c r="H999" s="3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25.5" x14ac:dyDescent="0.35">
      <c r="A1000" s="2"/>
      <c r="B1000" s="2"/>
      <c r="C1000" s="2"/>
      <c r="D1000" s="2"/>
      <c r="E1000" s="2"/>
      <c r="F1000" s="2"/>
      <c r="G1000" s="3"/>
      <c r="H1000" s="3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spans="1:27" ht="25.5" x14ac:dyDescent="0.35">
      <c r="A1001" s="2"/>
      <c r="B1001" s="2"/>
      <c r="C1001" s="2"/>
      <c r="D1001" s="2"/>
      <c r="E1001" s="2"/>
      <c r="F1001" s="2"/>
      <c r="G1001" s="3"/>
      <c r="H1001" s="3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spans="1:27" ht="25.5" x14ac:dyDescent="0.35">
      <c r="A1002" s="2"/>
      <c r="B1002" s="2"/>
      <c r="C1002" s="2"/>
      <c r="D1002" s="2"/>
      <c r="E1002" s="2"/>
      <c r="F1002" s="2"/>
      <c r="G1002" s="3"/>
      <c r="H1002" s="3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spans="1:27" ht="25.5" x14ac:dyDescent="0.35">
      <c r="A1003" s="2"/>
      <c r="B1003" s="2"/>
      <c r="C1003" s="2"/>
      <c r="D1003" s="2"/>
      <c r="E1003" s="2"/>
      <c r="F1003" s="2"/>
      <c r="G1003" s="3"/>
      <c r="H1003" s="3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spans="1:27" ht="25.5" x14ac:dyDescent="0.35">
      <c r="A1004" s="2"/>
      <c r="B1004" s="2"/>
      <c r="C1004" s="2"/>
      <c r="D1004" s="2"/>
      <c r="E1004" s="2"/>
      <c r="F1004" s="2"/>
      <c r="G1004" s="3"/>
      <c r="H1004" s="3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spans="1:27" ht="25.5" x14ac:dyDescent="0.35">
      <c r="A1005" s="2"/>
      <c r="B1005" s="2"/>
      <c r="C1005" s="2"/>
      <c r="D1005" s="2"/>
      <c r="E1005" s="2"/>
      <c r="F1005" s="2"/>
      <c r="G1005" s="3"/>
      <c r="H1005" s="3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spans="1:27" ht="25.5" x14ac:dyDescent="0.35">
      <c r="A1006" s="2"/>
      <c r="B1006" s="2"/>
      <c r="C1006" s="2"/>
      <c r="D1006" s="2"/>
      <c r="E1006" s="2"/>
      <c r="F1006" s="2"/>
      <c r="G1006" s="3"/>
      <c r="H1006" s="3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spans="1:27" ht="25.5" x14ac:dyDescent="0.35">
      <c r="A1007" s="2"/>
      <c r="B1007" s="2"/>
      <c r="C1007" s="2"/>
      <c r="D1007" s="2"/>
      <c r="E1007" s="2"/>
      <c r="F1007" s="2"/>
      <c r="G1007" s="3"/>
      <c r="H1007" s="3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spans="1:27" ht="25.5" x14ac:dyDescent="0.35">
      <c r="A1008" s="2"/>
      <c r="B1008" s="2"/>
      <c r="C1008" s="2"/>
      <c r="D1008" s="2"/>
      <c r="E1008" s="2"/>
      <c r="F1008" s="2"/>
      <c r="G1008" s="3"/>
      <c r="H1008" s="3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spans="1:27" ht="25.5" x14ac:dyDescent="0.35">
      <c r="A1009" s="2"/>
      <c r="B1009" s="2"/>
      <c r="C1009" s="2"/>
      <c r="D1009" s="2"/>
      <c r="E1009" s="2"/>
      <c r="F1009" s="2"/>
      <c r="G1009" s="3"/>
      <c r="H1009" s="3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spans="1:27" ht="25.5" x14ac:dyDescent="0.35">
      <c r="A1010" s="2"/>
      <c r="B1010" s="2"/>
      <c r="C1010" s="2"/>
      <c r="D1010" s="2"/>
      <c r="E1010" s="2"/>
      <c r="F1010" s="2"/>
      <c r="G1010" s="3"/>
      <c r="H1010" s="3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spans="1:27" ht="25.5" x14ac:dyDescent="0.35">
      <c r="A1011" s="2"/>
      <c r="B1011" s="2"/>
      <c r="C1011" s="2"/>
      <c r="D1011" s="2"/>
      <c r="E1011" s="2"/>
      <c r="F1011" s="2"/>
      <c r="G1011" s="3"/>
      <c r="H1011" s="3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</sheetData>
  <mergeCells count="6">
    <mergeCell ref="C19:C20"/>
    <mergeCell ref="C2:C5"/>
    <mergeCell ref="C7:C8"/>
    <mergeCell ref="G9:G11"/>
    <mergeCell ref="C10:C12"/>
    <mergeCell ref="C14:C17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4"/>
  <sheetViews>
    <sheetView workbookViewId="0"/>
  </sheetViews>
  <sheetFormatPr defaultColWidth="12.5703125" defaultRowHeight="15.75" customHeight="1" x14ac:dyDescent="0.2"/>
  <cols>
    <col min="3" max="3" width="10" customWidth="1"/>
    <col min="5" max="5" width="2.5703125" customWidth="1"/>
    <col min="7" max="7" width="17.42578125" customWidth="1"/>
    <col min="8" max="8" width="9.85546875" customWidth="1"/>
    <col min="9" max="9" width="11.140625" customWidth="1"/>
    <col min="10" max="10" width="16.42578125" customWidth="1"/>
    <col min="13" max="13" width="2.5703125" customWidth="1"/>
    <col min="14" max="14" width="15.5703125" customWidth="1"/>
  </cols>
  <sheetData>
    <row r="1" spans="1:15" x14ac:dyDescent="0.2">
      <c r="A1" s="38" t="s">
        <v>135</v>
      </c>
      <c r="B1" s="39">
        <v>45525</v>
      </c>
      <c r="E1" s="40"/>
      <c r="F1" s="38" t="s">
        <v>136</v>
      </c>
      <c r="G1" s="39">
        <v>45525</v>
      </c>
      <c r="J1" s="38" t="s">
        <v>137</v>
      </c>
      <c r="K1" s="38">
        <v>285.14999999999998</v>
      </c>
      <c r="M1" s="40"/>
      <c r="N1" s="38" t="s">
        <v>138</v>
      </c>
      <c r="O1" s="38">
        <f>H17+H34+H53+H72+H91+H109+H127+L137+L156+L175+L194</f>
        <v>1391.75</v>
      </c>
    </row>
    <row r="2" spans="1:15" x14ac:dyDescent="0.2">
      <c r="A2" s="38" t="s">
        <v>139</v>
      </c>
      <c r="B2" s="38" t="s">
        <v>140</v>
      </c>
      <c r="C2" s="38" t="s">
        <v>141</v>
      </c>
      <c r="E2" s="40"/>
      <c r="F2" s="38" t="s">
        <v>139</v>
      </c>
      <c r="G2" s="38" t="s">
        <v>140</v>
      </c>
      <c r="H2" s="38" t="s">
        <v>141</v>
      </c>
      <c r="J2" s="38" t="s">
        <v>142</v>
      </c>
      <c r="K2" s="38">
        <v>206.45</v>
      </c>
      <c r="M2" s="40"/>
      <c r="N2" s="38" t="s">
        <v>143</v>
      </c>
      <c r="O2" s="38">
        <f>-((8*3.2)+2*5)</f>
        <v>-35.6</v>
      </c>
    </row>
    <row r="3" spans="1:15" x14ac:dyDescent="0.2">
      <c r="A3" s="38">
        <v>12</v>
      </c>
      <c r="B3" s="38">
        <v>0.05</v>
      </c>
      <c r="C3" s="38">
        <f t="shared" ref="C3:C9" si="0">A3*B3</f>
        <v>0.60000000000000009</v>
      </c>
      <c r="E3" s="40"/>
      <c r="F3" s="38">
        <v>15</v>
      </c>
      <c r="G3" s="38">
        <v>0.05</v>
      </c>
      <c r="H3" s="38">
        <f t="shared" ref="H3:H12" si="1">F3*G3</f>
        <v>0.75</v>
      </c>
      <c r="J3" s="38" t="s">
        <v>144</v>
      </c>
      <c r="K3" s="38">
        <v>-62.5</v>
      </c>
      <c r="M3" s="40"/>
      <c r="N3" s="38" t="s">
        <v>145</v>
      </c>
      <c r="O3" s="38">
        <v>-150</v>
      </c>
    </row>
    <row r="4" spans="1:15" x14ac:dyDescent="0.2">
      <c r="A4" s="38">
        <v>14</v>
      </c>
      <c r="B4" s="38">
        <v>0.1</v>
      </c>
      <c r="C4" s="38">
        <f t="shared" si="0"/>
        <v>1.4000000000000001</v>
      </c>
      <c r="E4" s="40"/>
      <c r="F4" s="38">
        <v>34</v>
      </c>
      <c r="G4" s="41">
        <v>0.1</v>
      </c>
      <c r="H4" s="38">
        <f t="shared" si="1"/>
        <v>3.4000000000000004</v>
      </c>
      <c r="J4" s="38" t="s">
        <v>146</v>
      </c>
      <c r="K4" s="38">
        <v>16.2</v>
      </c>
      <c r="M4" s="40"/>
      <c r="N4" s="38" t="s">
        <v>147</v>
      </c>
      <c r="O4" s="38">
        <v>-80</v>
      </c>
    </row>
    <row r="5" spans="1:15" x14ac:dyDescent="0.2">
      <c r="A5" s="38">
        <v>10</v>
      </c>
      <c r="B5" s="38">
        <v>0.2</v>
      </c>
      <c r="C5" s="38">
        <f t="shared" si="0"/>
        <v>2</v>
      </c>
      <c r="E5" s="40"/>
      <c r="F5" s="38">
        <v>20</v>
      </c>
      <c r="G5" s="41">
        <v>0.2</v>
      </c>
      <c r="H5" s="38">
        <f t="shared" si="1"/>
        <v>4</v>
      </c>
      <c r="J5" s="42"/>
      <c r="K5" s="42"/>
      <c r="M5" s="40"/>
      <c r="N5" s="38" t="s">
        <v>148</v>
      </c>
      <c r="O5" s="38">
        <v>-50</v>
      </c>
    </row>
    <row r="6" spans="1:15" x14ac:dyDescent="0.2">
      <c r="A6" s="38">
        <v>9</v>
      </c>
      <c r="B6" s="38">
        <v>0.5</v>
      </c>
      <c r="C6" s="38">
        <f t="shared" si="0"/>
        <v>4.5</v>
      </c>
      <c r="E6" s="40"/>
      <c r="F6" s="38">
        <v>20</v>
      </c>
      <c r="G6" s="41">
        <v>0.5</v>
      </c>
      <c r="H6" s="38">
        <f t="shared" si="1"/>
        <v>10</v>
      </c>
      <c r="J6" s="38" t="s">
        <v>149</v>
      </c>
      <c r="K6" s="38">
        <v>50</v>
      </c>
      <c r="M6" s="40"/>
      <c r="N6" s="38" t="s">
        <v>150</v>
      </c>
      <c r="O6" s="38">
        <v>-20</v>
      </c>
    </row>
    <row r="7" spans="1:15" x14ac:dyDescent="0.2">
      <c r="A7" s="38">
        <v>8</v>
      </c>
      <c r="B7" s="38">
        <v>1</v>
      </c>
      <c r="C7" s="38">
        <f t="shared" si="0"/>
        <v>8</v>
      </c>
      <c r="E7" s="40"/>
      <c r="F7" s="38">
        <v>43</v>
      </c>
      <c r="G7" s="41">
        <v>1</v>
      </c>
      <c r="H7" s="38">
        <f t="shared" si="1"/>
        <v>43</v>
      </c>
      <c r="J7" s="38" t="s">
        <v>151</v>
      </c>
      <c r="K7" s="38">
        <v>115</v>
      </c>
      <c r="M7" s="40"/>
      <c r="N7" s="38" t="s">
        <v>152</v>
      </c>
      <c r="O7" s="38">
        <v>-200</v>
      </c>
    </row>
    <row r="8" spans="1:15" x14ac:dyDescent="0.2">
      <c r="A8" s="38">
        <v>7</v>
      </c>
      <c r="B8" s="38">
        <v>2</v>
      </c>
      <c r="C8" s="38">
        <f t="shared" si="0"/>
        <v>14</v>
      </c>
      <c r="E8" s="40"/>
      <c r="F8" s="38">
        <v>42</v>
      </c>
      <c r="G8" s="41">
        <v>2</v>
      </c>
      <c r="H8" s="38">
        <f t="shared" si="1"/>
        <v>84</v>
      </c>
      <c r="J8" s="38" t="s">
        <v>153</v>
      </c>
      <c r="K8" s="38">
        <v>2</v>
      </c>
      <c r="M8" s="40"/>
    </row>
    <row r="9" spans="1:15" x14ac:dyDescent="0.2">
      <c r="A9" s="38">
        <v>2</v>
      </c>
      <c r="B9" s="38">
        <v>5</v>
      </c>
      <c r="C9" s="38">
        <f t="shared" si="0"/>
        <v>10</v>
      </c>
      <c r="D9" s="38" t="s">
        <v>154</v>
      </c>
      <c r="E9" s="40"/>
      <c r="F9" s="38">
        <v>4</v>
      </c>
      <c r="G9" s="41">
        <v>5</v>
      </c>
      <c r="H9" s="38">
        <f t="shared" si="1"/>
        <v>20</v>
      </c>
      <c r="J9" s="38" t="s">
        <v>155</v>
      </c>
      <c r="K9" s="38">
        <v>-99</v>
      </c>
      <c r="M9" s="40"/>
    </row>
    <row r="10" spans="1:15" x14ac:dyDescent="0.2">
      <c r="B10" s="38" t="s">
        <v>156</v>
      </c>
      <c r="C10" s="38">
        <v>-3</v>
      </c>
      <c r="E10" s="40"/>
      <c r="F10" s="38">
        <v>5</v>
      </c>
      <c r="G10" s="41">
        <v>10</v>
      </c>
      <c r="H10" s="38">
        <f t="shared" si="1"/>
        <v>50</v>
      </c>
      <c r="M10" s="40"/>
    </row>
    <row r="11" spans="1:15" x14ac:dyDescent="0.2">
      <c r="B11" s="38" t="s">
        <v>141</v>
      </c>
      <c r="C11" s="38">
        <f>SUM(C3:C10)</f>
        <v>37.5</v>
      </c>
      <c r="E11" s="40"/>
      <c r="F11" s="38">
        <v>1</v>
      </c>
      <c r="G11" s="41">
        <v>20</v>
      </c>
      <c r="H11" s="38">
        <f t="shared" si="1"/>
        <v>20</v>
      </c>
      <c r="M11" s="40"/>
    </row>
    <row r="12" spans="1:15" x14ac:dyDescent="0.2">
      <c r="B12" s="38" t="s">
        <v>157</v>
      </c>
      <c r="C12" s="38">
        <v>25</v>
      </c>
      <c r="E12" s="40"/>
      <c r="F12" s="38">
        <v>1</v>
      </c>
      <c r="G12" s="41">
        <v>50</v>
      </c>
      <c r="H12" s="38">
        <f t="shared" si="1"/>
        <v>50</v>
      </c>
      <c r="M12" s="40"/>
    </row>
    <row r="13" spans="1:15" x14ac:dyDescent="0.2">
      <c r="E13" s="40"/>
      <c r="G13" s="38" t="s">
        <v>137</v>
      </c>
      <c r="H13" s="38">
        <f>SUM(H3:H12)</f>
        <v>285.14999999999998</v>
      </c>
      <c r="M13" s="40"/>
    </row>
    <row r="14" spans="1:15" x14ac:dyDescent="0.2">
      <c r="E14" s="40"/>
      <c r="G14" s="38" t="s">
        <v>158</v>
      </c>
      <c r="H14" s="38">
        <f t="shared" ref="H14:H15" si="2">H13-C11</f>
        <v>247.64999999999998</v>
      </c>
      <c r="M14" s="40"/>
    </row>
    <row r="15" spans="1:15" x14ac:dyDescent="0.2">
      <c r="E15" s="40"/>
      <c r="G15" s="38" t="s">
        <v>159</v>
      </c>
      <c r="H15" s="38">
        <f t="shared" si="2"/>
        <v>222.64999999999998</v>
      </c>
      <c r="M15" s="40"/>
    </row>
    <row r="16" spans="1:15" x14ac:dyDescent="0.2">
      <c r="E16" s="40"/>
      <c r="G16" s="38" t="s">
        <v>142</v>
      </c>
      <c r="H16" s="38">
        <v>-206.45</v>
      </c>
      <c r="M16" s="40"/>
    </row>
    <row r="17" spans="1:27" x14ac:dyDescent="0.2">
      <c r="E17" s="40"/>
      <c r="G17" s="38" t="s">
        <v>160</v>
      </c>
      <c r="H17" s="38">
        <f>H15+H16</f>
        <v>16.199999999999989</v>
      </c>
      <c r="M17" s="40"/>
    </row>
    <row r="18" spans="1:27" x14ac:dyDescent="0.2">
      <c r="A18" s="43"/>
      <c r="B18" s="43"/>
      <c r="C18" s="43"/>
      <c r="D18" s="43"/>
      <c r="E18" s="40"/>
      <c r="F18" s="43"/>
      <c r="G18" s="43"/>
      <c r="H18" s="43"/>
      <c r="I18" s="43"/>
      <c r="J18" s="43"/>
      <c r="K18" s="43"/>
      <c r="L18" s="43"/>
      <c r="M18" s="40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</row>
    <row r="19" spans="1:27" x14ac:dyDescent="0.2">
      <c r="A19" s="38" t="s">
        <v>135</v>
      </c>
      <c r="B19" s="39">
        <v>45526</v>
      </c>
      <c r="E19" s="40"/>
      <c r="F19" s="38" t="s">
        <v>136</v>
      </c>
      <c r="G19" s="39">
        <v>45526</v>
      </c>
      <c r="M19" s="40"/>
    </row>
    <row r="20" spans="1:27" x14ac:dyDescent="0.2">
      <c r="A20" s="38" t="s">
        <v>139</v>
      </c>
      <c r="B20" s="38" t="s">
        <v>140</v>
      </c>
      <c r="C20" s="38" t="s">
        <v>141</v>
      </c>
      <c r="E20" s="40"/>
      <c r="F20" s="38" t="s">
        <v>139</v>
      </c>
      <c r="G20" s="38" t="s">
        <v>140</v>
      </c>
      <c r="H20" s="38" t="s">
        <v>141</v>
      </c>
      <c r="J20" s="38" t="s">
        <v>137</v>
      </c>
      <c r="K20" s="38">
        <v>431.05</v>
      </c>
      <c r="M20" s="40"/>
    </row>
    <row r="21" spans="1:27" x14ac:dyDescent="0.2">
      <c r="A21" s="38">
        <v>15</v>
      </c>
      <c r="B21" s="41">
        <v>0.05</v>
      </c>
      <c r="C21" s="38">
        <f t="shared" ref="C21:C28" si="3">A21*B21</f>
        <v>0.75</v>
      </c>
      <c r="E21" s="40"/>
      <c r="F21" s="38">
        <v>17</v>
      </c>
      <c r="G21" s="38">
        <v>0.05</v>
      </c>
      <c r="H21" s="38">
        <f t="shared" ref="H21:H30" si="4">F21*G21</f>
        <v>0.85000000000000009</v>
      </c>
      <c r="J21" s="38" t="s">
        <v>142</v>
      </c>
      <c r="K21" s="38">
        <v>200.7</v>
      </c>
      <c r="M21" s="40"/>
    </row>
    <row r="22" spans="1:27" x14ac:dyDescent="0.2">
      <c r="A22" s="38">
        <v>34</v>
      </c>
      <c r="B22" s="41">
        <v>0.1</v>
      </c>
      <c r="C22" s="38">
        <f t="shared" si="3"/>
        <v>3.4000000000000004</v>
      </c>
      <c r="E22" s="40"/>
      <c r="F22" s="38">
        <v>38</v>
      </c>
      <c r="G22" s="41">
        <v>0.1</v>
      </c>
      <c r="H22" s="38">
        <f t="shared" si="4"/>
        <v>3.8000000000000003</v>
      </c>
      <c r="J22" s="38" t="s">
        <v>144</v>
      </c>
      <c r="K22" s="38">
        <v>104.15</v>
      </c>
      <c r="M22" s="40"/>
    </row>
    <row r="23" spans="1:27" x14ac:dyDescent="0.2">
      <c r="A23" s="38">
        <v>20</v>
      </c>
      <c r="B23" s="41">
        <v>0.2</v>
      </c>
      <c r="C23" s="38">
        <f t="shared" si="3"/>
        <v>4</v>
      </c>
      <c r="E23" s="40"/>
      <c r="F23" s="38">
        <v>12</v>
      </c>
      <c r="G23" s="41">
        <v>0.2</v>
      </c>
      <c r="H23" s="38">
        <f t="shared" si="4"/>
        <v>2.4000000000000004</v>
      </c>
      <c r="J23" s="38" t="s">
        <v>146</v>
      </c>
      <c r="K23" s="38">
        <v>126.2</v>
      </c>
      <c r="M23" s="40"/>
    </row>
    <row r="24" spans="1:27" x14ac:dyDescent="0.2">
      <c r="A24" s="38">
        <v>20</v>
      </c>
      <c r="B24" s="41">
        <v>0.5</v>
      </c>
      <c r="C24" s="38">
        <f t="shared" si="3"/>
        <v>10</v>
      </c>
      <c r="E24" s="40"/>
      <c r="F24" s="38">
        <v>20</v>
      </c>
      <c r="G24" s="41">
        <v>0.5</v>
      </c>
      <c r="H24" s="38">
        <f t="shared" si="4"/>
        <v>10</v>
      </c>
      <c r="J24" s="42"/>
      <c r="M24" s="40"/>
    </row>
    <row r="25" spans="1:27" x14ac:dyDescent="0.2">
      <c r="A25" s="38">
        <v>30</v>
      </c>
      <c r="B25" s="41">
        <v>1</v>
      </c>
      <c r="C25" s="38">
        <f t="shared" si="3"/>
        <v>30</v>
      </c>
      <c r="E25" s="40"/>
      <c r="F25" s="38">
        <v>31</v>
      </c>
      <c r="G25" s="41">
        <v>1</v>
      </c>
      <c r="H25" s="38">
        <f t="shared" si="4"/>
        <v>31</v>
      </c>
      <c r="J25" s="38" t="s">
        <v>149</v>
      </c>
      <c r="K25" s="38">
        <v>40</v>
      </c>
      <c r="M25" s="40"/>
    </row>
    <row r="26" spans="1:27" x14ac:dyDescent="0.2">
      <c r="A26" s="38">
        <v>10</v>
      </c>
      <c r="B26" s="41">
        <v>2</v>
      </c>
      <c r="C26" s="38">
        <f t="shared" si="3"/>
        <v>20</v>
      </c>
      <c r="E26" s="40"/>
      <c r="F26" s="38">
        <v>24</v>
      </c>
      <c r="G26" s="41">
        <v>2</v>
      </c>
      <c r="H26" s="38">
        <f t="shared" si="4"/>
        <v>48</v>
      </c>
      <c r="J26" s="38" t="s">
        <v>161</v>
      </c>
      <c r="K26" s="38">
        <f>K21-K25</f>
        <v>160.69999999999999</v>
      </c>
      <c r="M26" s="40"/>
    </row>
    <row r="27" spans="1:27" x14ac:dyDescent="0.2">
      <c r="A27" s="38">
        <v>4</v>
      </c>
      <c r="B27" s="41">
        <v>5</v>
      </c>
      <c r="C27" s="38">
        <f t="shared" si="3"/>
        <v>20</v>
      </c>
      <c r="E27" s="40"/>
      <c r="F27" s="38">
        <v>9</v>
      </c>
      <c r="G27" s="41">
        <v>5</v>
      </c>
      <c r="H27" s="38">
        <f t="shared" si="4"/>
        <v>45</v>
      </c>
      <c r="M27" s="40"/>
    </row>
    <row r="28" spans="1:27" x14ac:dyDescent="0.2">
      <c r="A28" s="38">
        <v>2</v>
      </c>
      <c r="B28" s="41">
        <v>10</v>
      </c>
      <c r="C28" s="38">
        <f t="shared" si="3"/>
        <v>20</v>
      </c>
      <c r="E28" s="40"/>
      <c r="F28" s="38">
        <v>7</v>
      </c>
      <c r="G28" s="41">
        <v>10</v>
      </c>
      <c r="H28" s="38">
        <f t="shared" si="4"/>
        <v>70</v>
      </c>
      <c r="M28" s="40"/>
    </row>
    <row r="29" spans="1:27" x14ac:dyDescent="0.2">
      <c r="A29" s="38"/>
      <c r="B29" s="41"/>
      <c r="E29" s="40"/>
      <c r="F29" s="38">
        <v>1</v>
      </c>
      <c r="G29" s="41">
        <v>20</v>
      </c>
      <c r="H29" s="38">
        <f t="shared" si="4"/>
        <v>20</v>
      </c>
      <c r="M29" s="40"/>
    </row>
    <row r="30" spans="1:27" x14ac:dyDescent="0.2">
      <c r="B30" s="38" t="s">
        <v>156</v>
      </c>
      <c r="C30" s="38">
        <v>-4</v>
      </c>
      <c r="E30" s="40"/>
      <c r="F30" s="38">
        <v>4</v>
      </c>
      <c r="G30" s="41">
        <v>50</v>
      </c>
      <c r="H30" s="38">
        <f t="shared" si="4"/>
        <v>200</v>
      </c>
      <c r="M30" s="40"/>
    </row>
    <row r="31" spans="1:27" x14ac:dyDescent="0.2">
      <c r="B31" s="38" t="s">
        <v>141</v>
      </c>
      <c r="C31" s="38">
        <f>SUM(C21:C30)</f>
        <v>104.15</v>
      </c>
      <c r="E31" s="40"/>
      <c r="G31" s="38" t="s">
        <v>137</v>
      </c>
      <c r="H31" s="38">
        <f>SUM(H21:H30)</f>
        <v>431.05</v>
      </c>
      <c r="M31" s="40"/>
    </row>
    <row r="32" spans="1:27" x14ac:dyDescent="0.2">
      <c r="B32" s="38" t="s">
        <v>157</v>
      </c>
      <c r="E32" s="40"/>
      <c r="G32" s="38" t="s">
        <v>158</v>
      </c>
      <c r="H32" s="38">
        <f>H31-C31</f>
        <v>326.89999999999998</v>
      </c>
      <c r="M32" s="40"/>
    </row>
    <row r="33" spans="1:27" x14ac:dyDescent="0.2">
      <c r="E33" s="40"/>
      <c r="G33" s="38" t="s">
        <v>142</v>
      </c>
      <c r="H33" s="38">
        <v>-200.7</v>
      </c>
      <c r="M33" s="40"/>
    </row>
    <row r="34" spans="1:27" x14ac:dyDescent="0.2">
      <c r="E34" s="40"/>
      <c r="G34" s="38" t="s">
        <v>160</v>
      </c>
      <c r="H34" s="38">
        <f>H32+H33</f>
        <v>126.19999999999999</v>
      </c>
      <c r="M34" s="40"/>
    </row>
    <row r="35" spans="1:27" x14ac:dyDescent="0.2">
      <c r="E35" s="40"/>
      <c r="M35" s="40"/>
    </row>
    <row r="36" spans="1:27" x14ac:dyDescent="0.2">
      <c r="A36" s="43"/>
      <c r="B36" s="43"/>
      <c r="C36" s="43"/>
      <c r="D36" s="43"/>
      <c r="E36" s="40"/>
      <c r="F36" s="43"/>
      <c r="G36" s="43"/>
      <c r="H36" s="43"/>
      <c r="I36" s="43"/>
      <c r="J36" s="43"/>
      <c r="K36" s="43"/>
      <c r="L36" s="43"/>
      <c r="M36" s="40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</row>
    <row r="37" spans="1:27" x14ac:dyDescent="0.2">
      <c r="A37" s="38" t="s">
        <v>135</v>
      </c>
      <c r="B37" s="39">
        <v>45527</v>
      </c>
      <c r="E37" s="40"/>
      <c r="F37" s="38" t="s">
        <v>136</v>
      </c>
      <c r="G37" s="39">
        <v>45527</v>
      </c>
      <c r="M37" s="40"/>
      <c r="N37" s="38">
        <v>247</v>
      </c>
    </row>
    <row r="38" spans="1:27" x14ac:dyDescent="0.2">
      <c r="A38" s="38" t="s">
        <v>139</v>
      </c>
      <c r="B38" s="38" t="s">
        <v>140</v>
      </c>
      <c r="C38" s="38" t="s">
        <v>141</v>
      </c>
      <c r="E38" s="40"/>
      <c r="F38" s="38" t="s">
        <v>139</v>
      </c>
      <c r="G38" s="38" t="s">
        <v>140</v>
      </c>
      <c r="H38" s="38" t="s">
        <v>141</v>
      </c>
      <c r="J38" s="38" t="s">
        <v>137</v>
      </c>
      <c r="K38" s="38">
        <v>438.6</v>
      </c>
      <c r="M38" s="40"/>
    </row>
    <row r="39" spans="1:27" x14ac:dyDescent="0.2">
      <c r="A39" s="38">
        <v>17</v>
      </c>
      <c r="B39" s="41">
        <v>0.05</v>
      </c>
      <c r="C39" s="38">
        <f t="shared" ref="C39:C46" si="5">A39*B39</f>
        <v>0.85000000000000009</v>
      </c>
      <c r="D39" s="38" t="s">
        <v>162</v>
      </c>
      <c r="E39" s="40"/>
      <c r="F39" s="38">
        <v>24</v>
      </c>
      <c r="G39" s="38">
        <v>0.05</v>
      </c>
      <c r="H39" s="38">
        <f t="shared" ref="H39:H48" si="6">F39*G39</f>
        <v>1.2000000000000002</v>
      </c>
      <c r="J39" s="38" t="s">
        <v>142</v>
      </c>
      <c r="K39" s="38">
        <v>214.2</v>
      </c>
      <c r="M39" s="40"/>
    </row>
    <row r="40" spans="1:27" x14ac:dyDescent="0.2">
      <c r="A40" s="38">
        <v>38</v>
      </c>
      <c r="B40" s="41">
        <v>0.1</v>
      </c>
      <c r="C40" s="38">
        <f t="shared" si="5"/>
        <v>3.8000000000000003</v>
      </c>
      <c r="D40" s="38" t="s">
        <v>162</v>
      </c>
      <c r="E40" s="40"/>
      <c r="F40" s="38">
        <v>27</v>
      </c>
      <c r="G40" s="41">
        <v>0.1</v>
      </c>
      <c r="H40" s="38">
        <f t="shared" si="6"/>
        <v>2.7</v>
      </c>
      <c r="J40" s="38" t="s">
        <v>163</v>
      </c>
      <c r="K40" s="38">
        <v>19.5</v>
      </c>
      <c r="M40" s="40"/>
    </row>
    <row r="41" spans="1:27" x14ac:dyDescent="0.2">
      <c r="A41" s="38">
        <v>12</v>
      </c>
      <c r="B41" s="41">
        <v>0.2</v>
      </c>
      <c r="C41" s="38">
        <f t="shared" si="5"/>
        <v>2.4000000000000004</v>
      </c>
      <c r="D41" s="38" t="s">
        <v>162</v>
      </c>
      <c r="E41" s="40"/>
      <c r="F41" s="38">
        <v>1</v>
      </c>
      <c r="G41" s="41">
        <v>0.2</v>
      </c>
      <c r="H41" s="38">
        <f t="shared" si="6"/>
        <v>0.2</v>
      </c>
      <c r="J41" s="38" t="s">
        <v>146</v>
      </c>
      <c r="K41" s="38">
        <v>121.35</v>
      </c>
      <c r="M41" s="40"/>
    </row>
    <row r="42" spans="1:27" x14ac:dyDescent="0.2">
      <c r="A42" s="38">
        <v>20</v>
      </c>
      <c r="B42" s="41">
        <v>0.5</v>
      </c>
      <c r="C42" s="38">
        <f t="shared" si="5"/>
        <v>10</v>
      </c>
      <c r="D42" s="38" t="s">
        <v>162</v>
      </c>
      <c r="E42" s="40"/>
      <c r="F42" s="38">
        <v>23</v>
      </c>
      <c r="G42" s="41">
        <v>0.5</v>
      </c>
      <c r="H42" s="38">
        <f t="shared" si="6"/>
        <v>11.5</v>
      </c>
      <c r="J42" s="38" t="s">
        <v>144</v>
      </c>
      <c r="K42" s="38">
        <v>103.05</v>
      </c>
      <c r="M42" s="40"/>
    </row>
    <row r="43" spans="1:27" x14ac:dyDescent="0.2">
      <c r="A43" s="38">
        <v>30</v>
      </c>
      <c r="B43" s="41">
        <v>1</v>
      </c>
      <c r="C43" s="38">
        <f t="shared" si="5"/>
        <v>30</v>
      </c>
      <c r="D43" s="38" t="s">
        <v>162</v>
      </c>
      <c r="E43" s="40"/>
      <c r="F43" s="38">
        <v>37</v>
      </c>
      <c r="G43" s="41">
        <v>1</v>
      </c>
      <c r="H43" s="38">
        <f t="shared" si="6"/>
        <v>37</v>
      </c>
      <c r="J43" s="42"/>
      <c r="M43" s="40"/>
    </row>
    <row r="44" spans="1:27" x14ac:dyDescent="0.2">
      <c r="A44" s="38">
        <v>10</v>
      </c>
      <c r="B44" s="41">
        <v>2</v>
      </c>
      <c r="C44" s="38">
        <f t="shared" si="5"/>
        <v>20</v>
      </c>
      <c r="D44" s="38" t="s">
        <v>162</v>
      </c>
      <c r="E44" s="40"/>
      <c r="F44" s="38">
        <v>8</v>
      </c>
      <c r="G44" s="41">
        <v>2</v>
      </c>
      <c r="H44" s="38">
        <f t="shared" si="6"/>
        <v>16</v>
      </c>
      <c r="J44" s="38" t="s">
        <v>149</v>
      </c>
      <c r="K44" s="38">
        <v>42</v>
      </c>
      <c r="M44" s="40"/>
    </row>
    <row r="45" spans="1:27" x14ac:dyDescent="0.2">
      <c r="A45" s="38">
        <v>4</v>
      </c>
      <c r="B45" s="41">
        <v>5</v>
      </c>
      <c r="C45" s="38">
        <f t="shared" si="5"/>
        <v>20</v>
      </c>
      <c r="D45" s="38" t="s">
        <v>162</v>
      </c>
      <c r="E45" s="40"/>
      <c r="F45" s="38">
        <v>16</v>
      </c>
      <c r="G45" s="41">
        <v>5</v>
      </c>
      <c r="H45" s="38">
        <f t="shared" si="6"/>
        <v>80</v>
      </c>
      <c r="J45" s="38" t="s">
        <v>161</v>
      </c>
      <c r="K45" s="38">
        <f>K39-K44</f>
        <v>172.2</v>
      </c>
      <c r="M45" s="40"/>
    </row>
    <row r="46" spans="1:27" x14ac:dyDescent="0.2">
      <c r="A46" s="38">
        <v>2</v>
      </c>
      <c r="B46" s="41">
        <v>10</v>
      </c>
      <c r="C46" s="38">
        <f t="shared" si="5"/>
        <v>20</v>
      </c>
      <c r="D46" s="38" t="s">
        <v>162</v>
      </c>
      <c r="E46" s="40"/>
      <c r="F46" s="38">
        <v>9</v>
      </c>
      <c r="G46" s="41">
        <v>10</v>
      </c>
      <c r="H46" s="38">
        <f t="shared" si="6"/>
        <v>90</v>
      </c>
      <c r="M46" s="40"/>
    </row>
    <row r="47" spans="1:27" x14ac:dyDescent="0.2">
      <c r="A47" s="38"/>
      <c r="B47" s="41"/>
      <c r="E47" s="40"/>
      <c r="F47" s="38">
        <v>10</v>
      </c>
      <c r="G47" s="41">
        <v>20</v>
      </c>
      <c r="H47" s="38">
        <f t="shared" si="6"/>
        <v>200</v>
      </c>
      <c r="M47" s="40"/>
    </row>
    <row r="48" spans="1:27" x14ac:dyDescent="0.2">
      <c r="B48" s="38" t="s">
        <v>156</v>
      </c>
      <c r="C48" s="38">
        <v>-4</v>
      </c>
      <c r="E48" s="40"/>
      <c r="G48" s="41">
        <v>50</v>
      </c>
      <c r="H48" s="38">
        <f t="shared" si="6"/>
        <v>0</v>
      </c>
      <c r="M48" s="40"/>
    </row>
    <row r="49" spans="1:27" x14ac:dyDescent="0.2">
      <c r="B49" s="38" t="s">
        <v>141</v>
      </c>
      <c r="C49" s="38">
        <f>SUM(C39:C48)</f>
        <v>103.05</v>
      </c>
      <c r="E49" s="40"/>
      <c r="G49" s="38" t="s">
        <v>137</v>
      </c>
      <c r="H49" s="38">
        <f>SUM(H39:H48)</f>
        <v>438.6</v>
      </c>
      <c r="M49" s="40"/>
    </row>
    <row r="50" spans="1:27" x14ac:dyDescent="0.2">
      <c r="B50" s="38" t="s">
        <v>157</v>
      </c>
      <c r="E50" s="40"/>
      <c r="G50" s="38" t="s">
        <v>158</v>
      </c>
      <c r="H50" s="38">
        <f>H49-C49</f>
        <v>335.55</v>
      </c>
      <c r="M50" s="40"/>
    </row>
    <row r="51" spans="1:27" x14ac:dyDescent="0.2">
      <c r="E51" s="40"/>
      <c r="G51" s="38" t="s">
        <v>142</v>
      </c>
      <c r="H51" s="38">
        <v>-214.2</v>
      </c>
      <c r="M51" s="40"/>
    </row>
    <row r="52" spans="1:27" x14ac:dyDescent="0.2">
      <c r="E52" s="40"/>
      <c r="G52" s="38" t="s">
        <v>163</v>
      </c>
      <c r="H52" s="38">
        <v>19.5</v>
      </c>
      <c r="M52" s="40"/>
    </row>
    <row r="53" spans="1:27" x14ac:dyDescent="0.2">
      <c r="E53" s="40"/>
      <c r="G53" s="38" t="s">
        <v>160</v>
      </c>
      <c r="H53" s="38">
        <f>H50+H51</f>
        <v>121.35000000000002</v>
      </c>
      <c r="M53" s="40"/>
    </row>
    <row r="54" spans="1:27" x14ac:dyDescent="0.2">
      <c r="E54" s="40"/>
      <c r="M54" s="40"/>
    </row>
    <row r="55" spans="1:27" x14ac:dyDescent="0.2">
      <c r="A55" s="43"/>
      <c r="B55" s="43"/>
      <c r="C55" s="43"/>
      <c r="D55" s="43"/>
      <c r="E55" s="40"/>
      <c r="F55" s="43"/>
      <c r="G55" s="43"/>
      <c r="H55" s="43"/>
      <c r="I55" s="43"/>
      <c r="J55" s="43"/>
      <c r="K55" s="43"/>
      <c r="L55" s="43"/>
      <c r="M55" s="40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 spans="1:27" x14ac:dyDescent="0.2">
      <c r="A56" s="38" t="s">
        <v>135</v>
      </c>
      <c r="B56" s="39">
        <v>45528</v>
      </c>
      <c r="E56" s="40"/>
      <c r="F56" s="38" t="s">
        <v>136</v>
      </c>
      <c r="G56" s="39">
        <v>45528</v>
      </c>
      <c r="M56" s="40"/>
    </row>
    <row r="57" spans="1:27" x14ac:dyDescent="0.2">
      <c r="A57" s="38" t="s">
        <v>139</v>
      </c>
      <c r="B57" s="38" t="s">
        <v>140</v>
      </c>
      <c r="C57" s="38" t="s">
        <v>141</v>
      </c>
      <c r="E57" s="40"/>
      <c r="F57" s="38" t="s">
        <v>139</v>
      </c>
      <c r="G57" s="38" t="s">
        <v>140</v>
      </c>
      <c r="H57" s="38" t="s">
        <v>141</v>
      </c>
      <c r="J57" s="38" t="s">
        <v>137</v>
      </c>
      <c r="K57" s="38">
        <v>414.3</v>
      </c>
      <c r="M57" s="40"/>
    </row>
    <row r="58" spans="1:27" x14ac:dyDescent="0.2">
      <c r="A58" s="38">
        <v>24</v>
      </c>
      <c r="B58" s="41">
        <v>0.05</v>
      </c>
      <c r="C58" s="38">
        <f t="shared" ref="C58:C65" si="7">A58*B58</f>
        <v>1.2000000000000002</v>
      </c>
      <c r="E58" s="40"/>
      <c r="F58" s="38">
        <v>68</v>
      </c>
      <c r="G58" s="38">
        <v>0.05</v>
      </c>
      <c r="H58" s="38">
        <f t="shared" ref="H58:H67" si="8">F58*G58</f>
        <v>3.4000000000000004</v>
      </c>
      <c r="J58" s="38" t="s">
        <v>142</v>
      </c>
      <c r="K58" s="38">
        <v>231</v>
      </c>
      <c r="M58" s="40"/>
    </row>
    <row r="59" spans="1:27" x14ac:dyDescent="0.2">
      <c r="A59" s="38">
        <v>27</v>
      </c>
      <c r="B59" s="41">
        <v>0.1</v>
      </c>
      <c r="C59" s="38">
        <f t="shared" si="7"/>
        <v>2.7</v>
      </c>
      <c r="E59" s="40"/>
      <c r="F59" s="38">
        <v>4</v>
      </c>
      <c r="G59" s="41">
        <v>0.1</v>
      </c>
      <c r="H59" s="38">
        <f t="shared" si="8"/>
        <v>0.4</v>
      </c>
      <c r="J59" s="38" t="s">
        <v>163</v>
      </c>
      <c r="K59" s="38">
        <v>57.3</v>
      </c>
      <c r="M59" s="40"/>
    </row>
    <row r="60" spans="1:27" x14ac:dyDescent="0.2">
      <c r="A60" s="38">
        <v>1</v>
      </c>
      <c r="B60" s="41">
        <v>0.2</v>
      </c>
      <c r="C60" s="38">
        <f t="shared" si="7"/>
        <v>0.2</v>
      </c>
      <c r="E60" s="40"/>
      <c r="F60" s="38">
        <v>15</v>
      </c>
      <c r="G60" s="41">
        <v>0.2</v>
      </c>
      <c r="H60" s="38">
        <f t="shared" si="8"/>
        <v>3</v>
      </c>
      <c r="J60" s="38" t="s">
        <v>146</v>
      </c>
      <c r="K60" s="38">
        <v>81.700000000000045</v>
      </c>
      <c r="M60" s="40"/>
    </row>
    <row r="61" spans="1:27" x14ac:dyDescent="0.2">
      <c r="A61" s="38">
        <v>23</v>
      </c>
      <c r="B61" s="41">
        <v>0.5</v>
      </c>
      <c r="C61" s="38">
        <f t="shared" si="7"/>
        <v>11.5</v>
      </c>
      <c r="E61" s="40"/>
      <c r="F61" s="38">
        <v>17</v>
      </c>
      <c r="G61" s="41">
        <v>0.5</v>
      </c>
      <c r="H61" s="38">
        <f t="shared" si="8"/>
        <v>8.5</v>
      </c>
      <c r="J61" s="38" t="s">
        <v>144</v>
      </c>
      <c r="K61" s="38">
        <v>101.6</v>
      </c>
      <c r="M61" s="40"/>
    </row>
    <row r="62" spans="1:27" x14ac:dyDescent="0.2">
      <c r="A62" s="38">
        <v>30</v>
      </c>
      <c r="B62" s="41">
        <v>1</v>
      </c>
      <c r="C62" s="38">
        <f t="shared" si="7"/>
        <v>30</v>
      </c>
      <c r="E62" s="40"/>
      <c r="F62" s="38">
        <v>23</v>
      </c>
      <c r="G62" s="41">
        <v>1</v>
      </c>
      <c r="H62" s="38">
        <f t="shared" si="8"/>
        <v>23</v>
      </c>
      <c r="J62" s="42"/>
      <c r="M62" s="40"/>
    </row>
    <row r="63" spans="1:27" x14ac:dyDescent="0.2">
      <c r="A63" s="38">
        <v>8</v>
      </c>
      <c r="B63" s="41">
        <v>2</v>
      </c>
      <c r="C63" s="38">
        <f t="shared" si="7"/>
        <v>16</v>
      </c>
      <c r="E63" s="40"/>
      <c r="F63" s="38">
        <v>13</v>
      </c>
      <c r="G63" s="41">
        <v>2</v>
      </c>
      <c r="H63" s="38">
        <f t="shared" si="8"/>
        <v>26</v>
      </c>
      <c r="J63" s="38" t="s">
        <v>149</v>
      </c>
      <c r="K63" s="38">
        <v>46</v>
      </c>
      <c r="M63" s="40"/>
    </row>
    <row r="64" spans="1:27" x14ac:dyDescent="0.2">
      <c r="A64" s="38">
        <v>4</v>
      </c>
      <c r="B64" s="41">
        <v>5</v>
      </c>
      <c r="C64" s="38">
        <f t="shared" si="7"/>
        <v>20</v>
      </c>
      <c r="E64" s="40"/>
      <c r="F64" s="38">
        <v>10</v>
      </c>
      <c r="G64" s="41">
        <v>5</v>
      </c>
      <c r="H64" s="38">
        <f t="shared" si="8"/>
        <v>50</v>
      </c>
      <c r="J64" s="38" t="s">
        <v>161</v>
      </c>
      <c r="K64" s="38">
        <f>K58-K63</f>
        <v>185</v>
      </c>
      <c r="M64" s="40"/>
    </row>
    <row r="65" spans="1:27" x14ac:dyDescent="0.2">
      <c r="A65" s="38">
        <v>2</v>
      </c>
      <c r="B65" s="41">
        <v>10</v>
      </c>
      <c r="C65" s="38">
        <f t="shared" si="7"/>
        <v>20</v>
      </c>
      <c r="E65" s="40"/>
      <c r="F65" s="38">
        <v>8</v>
      </c>
      <c r="G65" s="41">
        <v>10</v>
      </c>
      <c r="H65" s="38">
        <f t="shared" si="8"/>
        <v>80</v>
      </c>
      <c r="M65" s="40"/>
    </row>
    <row r="66" spans="1:27" x14ac:dyDescent="0.2">
      <c r="A66" s="38"/>
      <c r="B66" s="41"/>
      <c r="E66" s="40"/>
      <c r="F66" s="38">
        <v>1</v>
      </c>
      <c r="G66" s="41">
        <v>20</v>
      </c>
      <c r="H66" s="38">
        <f t="shared" si="8"/>
        <v>20</v>
      </c>
      <c r="M66" s="40"/>
    </row>
    <row r="67" spans="1:27" x14ac:dyDescent="0.2">
      <c r="B67" s="38" t="s">
        <v>156</v>
      </c>
      <c r="E67" s="40"/>
      <c r="F67" s="38">
        <v>4</v>
      </c>
      <c r="G67" s="41">
        <v>50</v>
      </c>
      <c r="H67" s="38">
        <f t="shared" si="8"/>
        <v>200</v>
      </c>
      <c r="M67" s="40"/>
    </row>
    <row r="68" spans="1:27" x14ac:dyDescent="0.2">
      <c r="B68" s="38" t="s">
        <v>141</v>
      </c>
      <c r="C68" s="38">
        <f>SUM(C58:C67)</f>
        <v>101.6</v>
      </c>
      <c r="E68" s="40"/>
      <c r="G68" s="38" t="s">
        <v>137</v>
      </c>
      <c r="H68" s="38">
        <f>SUM(H58:H67)</f>
        <v>414.3</v>
      </c>
      <c r="M68" s="40"/>
    </row>
    <row r="69" spans="1:27" x14ac:dyDescent="0.2">
      <c r="B69" s="38" t="s">
        <v>157</v>
      </c>
      <c r="E69" s="40"/>
      <c r="G69" s="38" t="s">
        <v>158</v>
      </c>
      <c r="H69" s="38">
        <f>H68-C68</f>
        <v>312.70000000000005</v>
      </c>
      <c r="M69" s="40"/>
    </row>
    <row r="70" spans="1:27" x14ac:dyDescent="0.2">
      <c r="E70" s="40"/>
      <c r="G70" s="38" t="s">
        <v>142</v>
      </c>
      <c r="H70" s="38">
        <v>-231</v>
      </c>
      <c r="M70" s="40"/>
    </row>
    <row r="71" spans="1:27" x14ac:dyDescent="0.2">
      <c r="E71" s="40"/>
      <c r="G71" s="38" t="s">
        <v>163</v>
      </c>
      <c r="H71" s="38">
        <v>57.3</v>
      </c>
      <c r="M71" s="40"/>
    </row>
    <row r="72" spans="1:27" x14ac:dyDescent="0.2">
      <c r="E72" s="40"/>
      <c r="G72" s="38" t="s">
        <v>160</v>
      </c>
      <c r="H72" s="38">
        <f>H69+H70</f>
        <v>81.700000000000045</v>
      </c>
      <c r="M72" s="40"/>
    </row>
    <row r="73" spans="1:27" x14ac:dyDescent="0.2">
      <c r="E73" s="40"/>
      <c r="M73" s="40"/>
    </row>
    <row r="74" spans="1:27" x14ac:dyDescent="0.2">
      <c r="A74" s="43"/>
      <c r="B74" s="43"/>
      <c r="C74" s="43"/>
      <c r="D74" s="43"/>
      <c r="E74" s="40"/>
      <c r="F74" s="43"/>
      <c r="G74" s="43"/>
      <c r="H74" s="43"/>
      <c r="I74" s="43"/>
      <c r="J74" s="43"/>
      <c r="K74" s="43"/>
      <c r="L74" s="43"/>
      <c r="M74" s="40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</row>
    <row r="75" spans="1:27" x14ac:dyDescent="0.2">
      <c r="A75" s="38" t="s">
        <v>135</v>
      </c>
      <c r="B75" s="39">
        <v>45529</v>
      </c>
      <c r="E75" s="40"/>
      <c r="F75" s="38" t="s">
        <v>136</v>
      </c>
      <c r="G75" s="39">
        <v>45529</v>
      </c>
      <c r="M75" s="40"/>
      <c r="N75" s="38" t="s">
        <v>164</v>
      </c>
      <c r="O75" s="44">
        <f>SUM(K78+K77+K59+K58+K40+K39+K21+K2)</f>
        <v>1034.25</v>
      </c>
    </row>
    <row r="76" spans="1:27" x14ac:dyDescent="0.2">
      <c r="A76" s="38" t="s">
        <v>139</v>
      </c>
      <c r="B76" s="38" t="s">
        <v>140</v>
      </c>
      <c r="C76" s="38" t="s">
        <v>141</v>
      </c>
      <c r="E76" s="40"/>
      <c r="F76" s="38" t="s">
        <v>139</v>
      </c>
      <c r="G76" s="38" t="s">
        <v>140</v>
      </c>
      <c r="H76" s="38" t="s">
        <v>141</v>
      </c>
      <c r="J76" s="38" t="s">
        <v>141</v>
      </c>
      <c r="K76" s="38">
        <v>97.1</v>
      </c>
      <c r="M76" s="40"/>
      <c r="N76" s="38" t="s">
        <v>165</v>
      </c>
      <c r="O76" s="38">
        <v>-215</v>
      </c>
    </row>
    <row r="77" spans="1:27" x14ac:dyDescent="0.2">
      <c r="A77" s="38">
        <v>68</v>
      </c>
      <c r="B77" s="41">
        <v>0.05</v>
      </c>
      <c r="C77" s="38">
        <f t="shared" ref="C77:C85" si="9">A77*B77</f>
        <v>3.4000000000000004</v>
      </c>
      <c r="E77" s="40"/>
      <c r="F77" s="38">
        <v>70</v>
      </c>
      <c r="G77" s="38">
        <v>0.05</v>
      </c>
      <c r="H77" s="38">
        <f t="shared" ref="H77:H86" si="10">F77*G77</f>
        <v>3.5</v>
      </c>
      <c r="J77" s="38" t="s">
        <v>142</v>
      </c>
      <c r="K77" s="38">
        <v>88.7</v>
      </c>
      <c r="M77" s="40"/>
      <c r="N77" s="38" t="s">
        <v>166</v>
      </c>
      <c r="O77" s="38">
        <v>-202.17</v>
      </c>
    </row>
    <row r="78" spans="1:27" x14ac:dyDescent="0.2">
      <c r="A78" s="38">
        <v>4</v>
      </c>
      <c r="B78" s="41">
        <v>0.1</v>
      </c>
      <c r="C78" s="38">
        <f t="shared" si="9"/>
        <v>0.4</v>
      </c>
      <c r="E78" s="40"/>
      <c r="F78" s="38">
        <v>1</v>
      </c>
      <c r="G78" s="41">
        <v>0.1</v>
      </c>
      <c r="H78" s="38">
        <f t="shared" si="10"/>
        <v>0.1</v>
      </c>
      <c r="J78" s="38" t="s">
        <v>163</v>
      </c>
      <c r="K78" s="38">
        <v>16.399999999999999</v>
      </c>
      <c r="M78" s="40"/>
    </row>
    <row r="79" spans="1:27" x14ac:dyDescent="0.2">
      <c r="A79" s="38">
        <v>15</v>
      </c>
      <c r="B79" s="41">
        <v>0.2</v>
      </c>
      <c r="C79" s="38">
        <f t="shared" si="9"/>
        <v>3</v>
      </c>
      <c r="E79" s="40"/>
      <c r="F79" s="38">
        <v>16</v>
      </c>
      <c r="G79" s="41">
        <v>0.2</v>
      </c>
      <c r="H79" s="38">
        <f t="shared" si="10"/>
        <v>3.2</v>
      </c>
      <c r="J79" s="38" t="s">
        <v>146</v>
      </c>
      <c r="M79" s="40"/>
      <c r="O79" s="38">
        <f>SUM(O75:O78)</f>
        <v>617.08000000000004</v>
      </c>
    </row>
    <row r="80" spans="1:27" x14ac:dyDescent="0.2">
      <c r="A80" s="38">
        <v>17</v>
      </c>
      <c r="B80" s="41">
        <v>0.5</v>
      </c>
      <c r="C80" s="38">
        <f t="shared" si="9"/>
        <v>8.5</v>
      </c>
      <c r="E80" s="40"/>
      <c r="F80" s="38">
        <v>12</v>
      </c>
      <c r="G80" s="41">
        <v>0.5</v>
      </c>
      <c r="H80" s="38">
        <f t="shared" si="10"/>
        <v>6</v>
      </c>
      <c r="J80" s="38" t="s">
        <v>144</v>
      </c>
      <c r="M80" s="40"/>
    </row>
    <row r="81" spans="1:27" x14ac:dyDescent="0.2">
      <c r="A81" s="38">
        <v>23</v>
      </c>
      <c r="B81" s="41">
        <v>1</v>
      </c>
      <c r="C81" s="38">
        <f t="shared" si="9"/>
        <v>23</v>
      </c>
      <c r="E81" s="40"/>
      <c r="F81" s="38">
        <v>21</v>
      </c>
      <c r="G81" s="41">
        <v>1</v>
      </c>
      <c r="H81" s="38">
        <f t="shared" si="10"/>
        <v>21</v>
      </c>
      <c r="J81" s="42"/>
      <c r="M81" s="40"/>
    </row>
    <row r="82" spans="1:27" x14ac:dyDescent="0.2">
      <c r="A82" s="38">
        <v>13</v>
      </c>
      <c r="B82" s="41">
        <v>2</v>
      </c>
      <c r="C82" s="38">
        <f t="shared" si="9"/>
        <v>26</v>
      </c>
      <c r="E82" s="40"/>
      <c r="F82" s="38">
        <v>6</v>
      </c>
      <c r="G82" s="41">
        <v>2</v>
      </c>
      <c r="H82" s="38">
        <f t="shared" si="10"/>
        <v>12</v>
      </c>
      <c r="J82" s="38" t="s">
        <v>149</v>
      </c>
      <c r="K82" s="38">
        <f>SUM(K77,K78)*0.2</f>
        <v>21.02</v>
      </c>
      <c r="M82" s="40"/>
    </row>
    <row r="83" spans="1:27" x14ac:dyDescent="0.2">
      <c r="A83" s="38">
        <v>2</v>
      </c>
      <c r="B83" s="41">
        <v>5</v>
      </c>
      <c r="C83" s="38">
        <f t="shared" si="9"/>
        <v>10</v>
      </c>
      <c r="E83" s="40"/>
      <c r="F83" s="38">
        <v>4</v>
      </c>
      <c r="G83" s="41">
        <v>5</v>
      </c>
      <c r="H83" s="38">
        <f t="shared" si="10"/>
        <v>20</v>
      </c>
      <c r="J83" s="38" t="s">
        <v>161</v>
      </c>
      <c r="K83" s="38">
        <f>K77-K82</f>
        <v>67.680000000000007</v>
      </c>
      <c r="M83" s="40"/>
    </row>
    <row r="84" spans="1:27" x14ac:dyDescent="0.2">
      <c r="A84" s="38">
        <v>3</v>
      </c>
      <c r="B84" s="41">
        <v>10</v>
      </c>
      <c r="C84" s="38">
        <f t="shared" si="9"/>
        <v>30</v>
      </c>
      <c r="E84" s="40"/>
      <c r="F84" s="38">
        <v>8</v>
      </c>
      <c r="G84" s="41">
        <v>10</v>
      </c>
      <c r="H84" s="38">
        <f t="shared" si="10"/>
        <v>80</v>
      </c>
      <c r="M84" s="40"/>
    </row>
    <row r="85" spans="1:27" x14ac:dyDescent="0.2">
      <c r="A85" s="38">
        <v>0</v>
      </c>
      <c r="B85" s="41">
        <v>20</v>
      </c>
      <c r="C85" s="38">
        <f t="shared" si="9"/>
        <v>0</v>
      </c>
      <c r="E85" s="40"/>
      <c r="F85" s="38">
        <v>3</v>
      </c>
      <c r="G85" s="41">
        <v>20</v>
      </c>
      <c r="H85" s="38">
        <f t="shared" si="10"/>
        <v>60</v>
      </c>
      <c r="M85" s="40"/>
    </row>
    <row r="86" spans="1:27" x14ac:dyDescent="0.2">
      <c r="B86" s="38" t="s">
        <v>156</v>
      </c>
      <c r="E86" s="40"/>
      <c r="F86" s="38">
        <v>1</v>
      </c>
      <c r="G86" s="41">
        <v>50</v>
      </c>
      <c r="H86" s="38">
        <f t="shared" si="10"/>
        <v>50</v>
      </c>
      <c r="M86" s="40"/>
    </row>
    <row r="87" spans="1:27" x14ac:dyDescent="0.2">
      <c r="B87" s="38" t="s">
        <v>141</v>
      </c>
      <c r="C87" s="38">
        <f>SUM(C77:C86)</f>
        <v>104.3</v>
      </c>
      <c r="E87" s="40"/>
      <c r="G87" s="38" t="s">
        <v>137</v>
      </c>
      <c r="H87" s="38">
        <f>SUM(H77:H86)</f>
        <v>255.8</v>
      </c>
      <c r="M87" s="40"/>
    </row>
    <row r="88" spans="1:27" x14ac:dyDescent="0.2">
      <c r="B88" s="38" t="s">
        <v>157</v>
      </c>
      <c r="E88" s="40"/>
      <c r="G88" s="38" t="s">
        <v>158</v>
      </c>
      <c r="H88" s="38">
        <f>H87-C87</f>
        <v>151.5</v>
      </c>
      <c r="M88" s="40"/>
    </row>
    <row r="89" spans="1:27" x14ac:dyDescent="0.2">
      <c r="E89" s="40"/>
      <c r="G89" s="38" t="s">
        <v>142</v>
      </c>
      <c r="H89" s="38">
        <v>-88.7</v>
      </c>
      <c r="M89" s="40"/>
    </row>
    <row r="90" spans="1:27" x14ac:dyDescent="0.2">
      <c r="E90" s="40"/>
      <c r="G90" s="38" t="s">
        <v>163</v>
      </c>
      <c r="H90" s="38">
        <v>16.399999999999999</v>
      </c>
      <c r="M90" s="40"/>
    </row>
    <row r="91" spans="1:27" x14ac:dyDescent="0.2">
      <c r="E91" s="40"/>
      <c r="G91" s="38" t="s">
        <v>160</v>
      </c>
      <c r="H91" s="38">
        <f>H88+H89</f>
        <v>62.8</v>
      </c>
      <c r="M91" s="40"/>
    </row>
    <row r="92" spans="1:27" x14ac:dyDescent="0.2">
      <c r="A92" s="43"/>
      <c r="B92" s="43"/>
      <c r="C92" s="43"/>
      <c r="D92" s="43"/>
      <c r="E92" s="40"/>
      <c r="F92" s="43"/>
      <c r="G92" s="43"/>
      <c r="H92" s="43"/>
      <c r="I92" s="43"/>
      <c r="J92" s="43"/>
      <c r="K92" s="43"/>
      <c r="L92" s="43"/>
      <c r="M92" s="40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</row>
    <row r="93" spans="1:27" x14ac:dyDescent="0.2">
      <c r="A93" s="38" t="s">
        <v>135</v>
      </c>
      <c r="B93" s="39">
        <v>45530</v>
      </c>
      <c r="E93" s="40"/>
      <c r="F93" s="38" t="s">
        <v>136</v>
      </c>
      <c r="G93" s="39">
        <v>45530</v>
      </c>
      <c r="M93" s="40"/>
    </row>
    <row r="94" spans="1:27" x14ac:dyDescent="0.2">
      <c r="A94" s="38" t="s">
        <v>139</v>
      </c>
      <c r="B94" s="38" t="s">
        <v>140</v>
      </c>
      <c r="C94" s="38" t="s">
        <v>141</v>
      </c>
      <c r="E94" s="40"/>
      <c r="F94" s="38" t="s">
        <v>139</v>
      </c>
      <c r="G94" s="38" t="s">
        <v>140</v>
      </c>
      <c r="H94" s="38" t="s">
        <v>141</v>
      </c>
      <c r="J94" s="38" t="s">
        <v>141</v>
      </c>
      <c r="K94" s="38">
        <v>173</v>
      </c>
      <c r="M94" s="40"/>
    </row>
    <row r="95" spans="1:27" x14ac:dyDescent="0.2">
      <c r="A95" s="38">
        <v>70</v>
      </c>
      <c r="B95" s="41">
        <v>0.05</v>
      </c>
      <c r="C95" s="38">
        <f t="shared" ref="C95:C103" si="11">A95*B95</f>
        <v>3.5</v>
      </c>
      <c r="E95" s="40"/>
      <c r="F95" s="38">
        <v>51</v>
      </c>
      <c r="G95" s="38">
        <v>0.05</v>
      </c>
      <c r="H95" s="38">
        <f t="shared" ref="H95:H104" si="12">F95*G95</f>
        <v>2.5500000000000003</v>
      </c>
      <c r="J95" s="38" t="s">
        <v>142</v>
      </c>
      <c r="K95" s="38">
        <v>145</v>
      </c>
      <c r="M95" s="40"/>
    </row>
    <row r="96" spans="1:27" x14ac:dyDescent="0.2">
      <c r="A96" s="38">
        <v>1</v>
      </c>
      <c r="B96" s="41">
        <v>0.1</v>
      </c>
      <c r="C96" s="38">
        <f t="shared" si="11"/>
        <v>0.1</v>
      </c>
      <c r="E96" s="40"/>
      <c r="F96" s="38">
        <v>0</v>
      </c>
      <c r="G96" s="41">
        <v>0.1</v>
      </c>
      <c r="H96" s="38">
        <f t="shared" si="12"/>
        <v>0</v>
      </c>
      <c r="J96" s="38" t="s">
        <v>163</v>
      </c>
      <c r="K96" s="38">
        <v>28.3</v>
      </c>
      <c r="M96" s="40"/>
    </row>
    <row r="97" spans="1:27" x14ac:dyDescent="0.2">
      <c r="A97" s="38">
        <v>16</v>
      </c>
      <c r="B97" s="41">
        <v>0.2</v>
      </c>
      <c r="C97" s="38">
        <f t="shared" si="11"/>
        <v>3.2</v>
      </c>
      <c r="E97" s="40"/>
      <c r="F97" s="38">
        <v>3</v>
      </c>
      <c r="G97" s="41">
        <v>0.2</v>
      </c>
      <c r="H97" s="38">
        <f t="shared" si="12"/>
        <v>0.60000000000000009</v>
      </c>
      <c r="J97" s="38" t="s">
        <v>146</v>
      </c>
      <c r="M97" s="40"/>
    </row>
    <row r="98" spans="1:27" x14ac:dyDescent="0.2">
      <c r="A98" s="38">
        <v>12</v>
      </c>
      <c r="B98" s="41">
        <v>0.5</v>
      </c>
      <c r="C98" s="38">
        <f t="shared" si="11"/>
        <v>6</v>
      </c>
      <c r="E98" s="40"/>
      <c r="F98" s="38">
        <v>4</v>
      </c>
      <c r="G98" s="41">
        <v>0.5</v>
      </c>
      <c r="H98" s="38">
        <f t="shared" si="12"/>
        <v>2</v>
      </c>
      <c r="J98" s="38" t="s">
        <v>144</v>
      </c>
      <c r="M98" s="40"/>
    </row>
    <row r="99" spans="1:27" x14ac:dyDescent="0.2">
      <c r="A99" s="38">
        <v>21</v>
      </c>
      <c r="B99" s="41">
        <v>1</v>
      </c>
      <c r="C99" s="38">
        <f t="shared" si="11"/>
        <v>21</v>
      </c>
      <c r="E99" s="40"/>
      <c r="F99" s="38">
        <v>20</v>
      </c>
      <c r="G99" s="41">
        <v>1</v>
      </c>
      <c r="H99" s="38">
        <f t="shared" si="12"/>
        <v>20</v>
      </c>
      <c r="J99" s="42"/>
      <c r="M99" s="40"/>
    </row>
    <row r="100" spans="1:27" x14ac:dyDescent="0.2">
      <c r="A100" s="38">
        <v>10</v>
      </c>
      <c r="B100" s="41">
        <v>2</v>
      </c>
      <c r="C100" s="38">
        <f t="shared" si="11"/>
        <v>20</v>
      </c>
      <c r="E100" s="40"/>
      <c r="F100" s="38">
        <v>7</v>
      </c>
      <c r="G100" s="41">
        <v>2</v>
      </c>
      <c r="H100" s="38">
        <f t="shared" si="12"/>
        <v>14</v>
      </c>
      <c r="J100" s="38" t="s">
        <v>149</v>
      </c>
      <c r="K100" s="38">
        <f>SUM(K95,K96)*0.2</f>
        <v>34.660000000000004</v>
      </c>
      <c r="M100" s="40"/>
    </row>
    <row r="101" spans="1:27" x14ac:dyDescent="0.2">
      <c r="A101" s="38">
        <v>4</v>
      </c>
      <c r="B101" s="41">
        <v>5</v>
      </c>
      <c r="C101" s="38">
        <f t="shared" si="11"/>
        <v>20</v>
      </c>
      <c r="E101" s="40"/>
      <c r="F101" s="38">
        <v>17</v>
      </c>
      <c r="G101" s="41">
        <v>5</v>
      </c>
      <c r="H101" s="38">
        <f t="shared" si="12"/>
        <v>85</v>
      </c>
      <c r="J101" s="38" t="s">
        <v>161</v>
      </c>
      <c r="K101" s="38">
        <f>K95-K100</f>
        <v>110.34</v>
      </c>
      <c r="M101" s="40"/>
    </row>
    <row r="102" spans="1:27" x14ac:dyDescent="0.2">
      <c r="A102" s="38">
        <v>2</v>
      </c>
      <c r="B102" s="41">
        <v>10</v>
      </c>
      <c r="C102" s="38">
        <f t="shared" si="11"/>
        <v>20</v>
      </c>
      <c r="E102" s="40"/>
      <c r="F102" s="38">
        <v>13</v>
      </c>
      <c r="G102" s="41">
        <v>10</v>
      </c>
      <c r="H102" s="38">
        <f t="shared" si="12"/>
        <v>130</v>
      </c>
      <c r="M102" s="40"/>
    </row>
    <row r="103" spans="1:27" x14ac:dyDescent="0.2">
      <c r="A103" s="38">
        <v>1</v>
      </c>
      <c r="B103" s="41">
        <v>20</v>
      </c>
      <c r="C103" s="38">
        <f t="shared" si="11"/>
        <v>20</v>
      </c>
      <c r="E103" s="40"/>
      <c r="F103" s="38">
        <v>7</v>
      </c>
      <c r="G103" s="41">
        <v>20</v>
      </c>
      <c r="H103" s="38">
        <f t="shared" si="12"/>
        <v>140</v>
      </c>
      <c r="M103" s="40"/>
    </row>
    <row r="104" spans="1:27" x14ac:dyDescent="0.2">
      <c r="B104" s="38" t="s">
        <v>156</v>
      </c>
      <c r="E104" s="40"/>
      <c r="F104" s="38">
        <v>1</v>
      </c>
      <c r="G104" s="41">
        <v>50</v>
      </c>
      <c r="H104" s="38">
        <f t="shared" si="12"/>
        <v>50</v>
      </c>
      <c r="M104" s="40"/>
    </row>
    <row r="105" spans="1:27" x14ac:dyDescent="0.2">
      <c r="B105" s="38" t="s">
        <v>141</v>
      </c>
      <c r="C105" s="38">
        <f>SUM(C95:C104)</f>
        <v>113.8</v>
      </c>
      <c r="E105" s="40"/>
      <c r="G105" s="38" t="s">
        <v>137</v>
      </c>
      <c r="H105" s="38">
        <f>SUM(H95:H104)</f>
        <v>444.15</v>
      </c>
      <c r="M105" s="40"/>
    </row>
    <row r="106" spans="1:27" x14ac:dyDescent="0.2">
      <c r="B106" s="38" t="s">
        <v>157</v>
      </c>
      <c r="E106" s="40"/>
      <c r="G106" s="38" t="s">
        <v>158</v>
      </c>
      <c r="H106" s="38">
        <f>H105-C105</f>
        <v>330.34999999999997</v>
      </c>
      <c r="M106" s="40"/>
    </row>
    <row r="107" spans="1:27" x14ac:dyDescent="0.2">
      <c r="E107" s="40"/>
      <c r="G107" s="38" t="s">
        <v>142</v>
      </c>
      <c r="H107" s="38">
        <v>-145</v>
      </c>
      <c r="M107" s="40"/>
    </row>
    <row r="108" spans="1:27" x14ac:dyDescent="0.2">
      <c r="E108" s="40"/>
      <c r="G108" s="38" t="s">
        <v>163</v>
      </c>
      <c r="H108" s="38">
        <v>28.3</v>
      </c>
      <c r="M108" s="40"/>
    </row>
    <row r="109" spans="1:27" x14ac:dyDescent="0.2">
      <c r="E109" s="40"/>
      <c r="G109" s="38" t="s">
        <v>160</v>
      </c>
      <c r="H109" s="38">
        <f>H106+H107</f>
        <v>185.34999999999997</v>
      </c>
      <c r="M109" s="40"/>
    </row>
    <row r="110" spans="1:27" x14ac:dyDescent="0.2">
      <c r="A110" s="43"/>
      <c r="B110" s="43"/>
      <c r="C110" s="43"/>
      <c r="D110" s="43"/>
      <c r="E110" s="40"/>
      <c r="F110" s="43"/>
      <c r="G110" s="43"/>
      <c r="H110" s="43"/>
      <c r="I110" s="43"/>
      <c r="J110" s="43"/>
      <c r="K110" s="43"/>
      <c r="L110" s="43"/>
      <c r="M110" s="40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</row>
    <row r="111" spans="1:27" x14ac:dyDescent="0.2">
      <c r="A111" s="38" t="s">
        <v>135</v>
      </c>
      <c r="B111" s="39">
        <v>45531</v>
      </c>
      <c r="E111" s="40"/>
      <c r="F111" s="38" t="s">
        <v>136</v>
      </c>
      <c r="G111" s="39">
        <v>45531</v>
      </c>
      <c r="M111" s="40"/>
    </row>
    <row r="112" spans="1:27" x14ac:dyDescent="0.2">
      <c r="A112" s="38" t="s">
        <v>139</v>
      </c>
      <c r="B112" s="38" t="s">
        <v>140</v>
      </c>
      <c r="C112" s="38" t="s">
        <v>141</v>
      </c>
      <c r="E112" s="40"/>
      <c r="F112" s="38" t="s">
        <v>139</v>
      </c>
      <c r="G112" s="38" t="s">
        <v>140</v>
      </c>
      <c r="H112" s="38" t="s">
        <v>141</v>
      </c>
      <c r="J112" s="38" t="s">
        <v>141</v>
      </c>
      <c r="K112" s="38">
        <v>222.1</v>
      </c>
      <c r="M112" s="40"/>
    </row>
    <row r="113" spans="1:27" x14ac:dyDescent="0.2">
      <c r="A113" s="38">
        <v>51</v>
      </c>
      <c r="B113" s="41">
        <v>0.05</v>
      </c>
      <c r="C113" s="38">
        <f t="shared" ref="C113:C121" si="13">A113*B113</f>
        <v>2.5500000000000003</v>
      </c>
      <c r="D113" s="38" t="s">
        <v>167</v>
      </c>
      <c r="E113" s="40"/>
      <c r="F113" s="38">
        <v>42</v>
      </c>
      <c r="G113" s="38">
        <v>0.05</v>
      </c>
      <c r="H113" s="38">
        <f t="shared" ref="H113:H122" si="14">F113*G113</f>
        <v>2.1</v>
      </c>
      <c r="J113" s="38" t="s">
        <v>142</v>
      </c>
      <c r="K113" s="38">
        <v>199.5</v>
      </c>
      <c r="M113" s="40"/>
    </row>
    <row r="114" spans="1:27" x14ac:dyDescent="0.2">
      <c r="A114" s="38">
        <v>0</v>
      </c>
      <c r="B114" s="41">
        <v>0.1</v>
      </c>
      <c r="C114" s="38">
        <f t="shared" si="13"/>
        <v>0</v>
      </c>
      <c r="D114" s="38" t="s">
        <v>167</v>
      </c>
      <c r="E114" s="40"/>
      <c r="F114" s="38">
        <v>18</v>
      </c>
      <c r="G114" s="41">
        <v>0.1</v>
      </c>
      <c r="H114" s="38">
        <f t="shared" si="14"/>
        <v>1.8</v>
      </c>
      <c r="J114" s="38" t="s">
        <v>163</v>
      </c>
      <c r="K114" s="38">
        <v>22.6</v>
      </c>
      <c r="M114" s="40"/>
    </row>
    <row r="115" spans="1:27" x14ac:dyDescent="0.2">
      <c r="A115" s="38">
        <v>3</v>
      </c>
      <c r="B115" s="41">
        <v>0.2</v>
      </c>
      <c r="C115" s="38">
        <f t="shared" si="13"/>
        <v>0.60000000000000009</v>
      </c>
      <c r="D115" s="38" t="s">
        <v>167</v>
      </c>
      <c r="E115" s="40"/>
      <c r="F115" s="38">
        <v>8</v>
      </c>
      <c r="G115" s="41">
        <v>0.2</v>
      </c>
      <c r="H115" s="38">
        <f t="shared" si="14"/>
        <v>1.6</v>
      </c>
      <c r="J115" s="38" t="s">
        <v>146</v>
      </c>
      <c r="M115" s="40"/>
    </row>
    <row r="116" spans="1:27" x14ac:dyDescent="0.2">
      <c r="A116" s="38">
        <v>14</v>
      </c>
      <c r="B116" s="41">
        <v>0.5</v>
      </c>
      <c r="C116" s="38">
        <f t="shared" si="13"/>
        <v>7</v>
      </c>
      <c r="E116" s="40"/>
      <c r="F116" s="38">
        <v>7</v>
      </c>
      <c r="G116" s="41">
        <v>0.5</v>
      </c>
      <c r="H116" s="38">
        <f t="shared" si="14"/>
        <v>3.5</v>
      </c>
      <c r="J116" s="38" t="s">
        <v>144</v>
      </c>
      <c r="K116" s="38">
        <v>119.15</v>
      </c>
      <c r="M116" s="40"/>
    </row>
    <row r="117" spans="1:27" x14ac:dyDescent="0.2">
      <c r="A117" s="38">
        <v>25</v>
      </c>
      <c r="B117" s="41">
        <v>1</v>
      </c>
      <c r="C117" s="38">
        <f t="shared" si="13"/>
        <v>25</v>
      </c>
      <c r="D117" s="38" t="s">
        <v>167</v>
      </c>
      <c r="E117" s="40"/>
      <c r="F117" s="38">
        <v>27</v>
      </c>
      <c r="G117" s="41">
        <v>1</v>
      </c>
      <c r="H117" s="38">
        <f t="shared" si="14"/>
        <v>27</v>
      </c>
      <c r="J117" s="42"/>
      <c r="M117" s="40"/>
    </row>
    <row r="118" spans="1:27" x14ac:dyDescent="0.2">
      <c r="A118" s="38">
        <v>12</v>
      </c>
      <c r="B118" s="41">
        <v>2</v>
      </c>
      <c r="C118" s="38">
        <f t="shared" si="13"/>
        <v>24</v>
      </c>
      <c r="E118" s="40"/>
      <c r="F118" s="38">
        <v>10</v>
      </c>
      <c r="G118" s="41">
        <v>2</v>
      </c>
      <c r="H118" s="38">
        <f t="shared" si="14"/>
        <v>20</v>
      </c>
      <c r="J118" s="38" t="s">
        <v>149</v>
      </c>
      <c r="K118" s="38">
        <f>SUM(K113,K114)*0.2</f>
        <v>44.42</v>
      </c>
      <c r="M118" s="40"/>
    </row>
    <row r="119" spans="1:27" x14ac:dyDescent="0.2">
      <c r="A119" s="38">
        <v>4</v>
      </c>
      <c r="B119" s="41">
        <v>5</v>
      </c>
      <c r="C119" s="38">
        <f t="shared" si="13"/>
        <v>20</v>
      </c>
      <c r="E119" s="40"/>
      <c r="F119" s="38">
        <v>14</v>
      </c>
      <c r="G119" s="41">
        <v>5</v>
      </c>
      <c r="H119" s="38">
        <f t="shared" si="14"/>
        <v>70</v>
      </c>
      <c r="J119" s="38" t="s">
        <v>161</v>
      </c>
      <c r="K119" s="38">
        <f>K113-K118</f>
        <v>155.07999999999998</v>
      </c>
      <c r="M119" s="40"/>
    </row>
    <row r="120" spans="1:27" x14ac:dyDescent="0.2">
      <c r="A120" s="38">
        <v>4</v>
      </c>
      <c r="B120" s="41">
        <v>10</v>
      </c>
      <c r="C120" s="38">
        <f t="shared" si="13"/>
        <v>40</v>
      </c>
      <c r="E120" s="40"/>
      <c r="F120" s="38">
        <v>15</v>
      </c>
      <c r="G120" s="41">
        <v>10</v>
      </c>
      <c r="H120" s="38">
        <f t="shared" si="14"/>
        <v>150</v>
      </c>
      <c r="M120" s="40"/>
    </row>
    <row r="121" spans="1:27" x14ac:dyDescent="0.2">
      <c r="B121" s="41">
        <v>20</v>
      </c>
      <c r="C121" s="38">
        <f t="shared" si="13"/>
        <v>0</v>
      </c>
      <c r="E121" s="40"/>
      <c r="F121" s="38">
        <v>2</v>
      </c>
      <c r="G121" s="41">
        <v>20</v>
      </c>
      <c r="H121" s="38">
        <f t="shared" si="14"/>
        <v>40</v>
      </c>
      <c r="M121" s="40"/>
    </row>
    <row r="122" spans="1:27" x14ac:dyDescent="0.2">
      <c r="B122" s="38" t="s">
        <v>156</v>
      </c>
      <c r="E122" s="40"/>
      <c r="F122" s="38">
        <v>4</v>
      </c>
      <c r="G122" s="41">
        <v>50</v>
      </c>
      <c r="H122" s="38">
        <f t="shared" si="14"/>
        <v>200</v>
      </c>
      <c r="M122" s="40"/>
    </row>
    <row r="123" spans="1:27" x14ac:dyDescent="0.2">
      <c r="B123" s="38" t="s">
        <v>141</v>
      </c>
      <c r="C123" s="38">
        <f>SUM(C113:C122)</f>
        <v>119.15</v>
      </c>
      <c r="E123" s="40"/>
      <c r="G123" s="38" t="s">
        <v>137</v>
      </c>
      <c r="H123" s="38">
        <f>SUM(H113:H122)</f>
        <v>516</v>
      </c>
      <c r="M123" s="40"/>
    </row>
    <row r="124" spans="1:27" x14ac:dyDescent="0.2">
      <c r="B124" s="38" t="s">
        <v>157</v>
      </c>
      <c r="E124" s="40"/>
      <c r="G124" s="38" t="s">
        <v>158</v>
      </c>
      <c r="H124" s="38">
        <f>H123-C123</f>
        <v>396.85</v>
      </c>
      <c r="M124" s="40"/>
    </row>
    <row r="125" spans="1:27" x14ac:dyDescent="0.2">
      <c r="E125" s="40"/>
      <c r="G125" s="38" t="s">
        <v>142</v>
      </c>
      <c r="H125" s="38">
        <v>-199.5</v>
      </c>
      <c r="M125" s="40"/>
    </row>
    <row r="126" spans="1:27" x14ac:dyDescent="0.2">
      <c r="E126" s="40"/>
      <c r="G126" s="38" t="s">
        <v>163</v>
      </c>
      <c r="H126" s="38">
        <v>22.6</v>
      </c>
      <c r="M126" s="40"/>
    </row>
    <row r="127" spans="1:27" x14ac:dyDescent="0.2">
      <c r="E127" s="40"/>
      <c r="G127" s="38" t="s">
        <v>160</v>
      </c>
      <c r="H127" s="38">
        <f>H124+H125</f>
        <v>197.35000000000002</v>
      </c>
      <c r="M127" s="40"/>
    </row>
    <row r="128" spans="1:27" x14ac:dyDescent="0.2">
      <c r="A128" s="43"/>
      <c r="B128" s="43"/>
      <c r="C128" s="43"/>
      <c r="D128" s="43"/>
      <c r="E128" s="40"/>
      <c r="F128" s="43"/>
      <c r="G128" s="43"/>
      <c r="H128" s="43"/>
      <c r="I128" s="43"/>
      <c r="J128" s="43"/>
      <c r="K128" s="43"/>
      <c r="L128" s="43"/>
      <c r="M128" s="40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</row>
    <row r="129" spans="1:16" x14ac:dyDescent="0.2">
      <c r="A129" s="38" t="s">
        <v>135</v>
      </c>
      <c r="B129" s="39">
        <v>45532</v>
      </c>
      <c r="E129" s="40"/>
      <c r="F129" s="38" t="s">
        <v>136</v>
      </c>
      <c r="G129" s="39">
        <v>45532</v>
      </c>
      <c r="M129" s="40"/>
      <c r="O129" s="38" t="s">
        <v>151</v>
      </c>
    </row>
    <row r="130" spans="1:16" x14ac:dyDescent="0.2">
      <c r="A130" s="38" t="s">
        <v>139</v>
      </c>
      <c r="B130" s="38" t="s">
        <v>140</v>
      </c>
      <c r="C130" s="38" t="s">
        <v>141</v>
      </c>
      <c r="E130" s="40"/>
      <c r="F130" s="38" t="s">
        <v>139</v>
      </c>
      <c r="G130" s="38" t="s">
        <v>140</v>
      </c>
      <c r="H130" s="38" t="s">
        <v>141</v>
      </c>
      <c r="J130" s="38" t="s">
        <v>141</v>
      </c>
      <c r="K130" s="38">
        <v>209.7</v>
      </c>
      <c r="M130" s="40"/>
      <c r="N130" s="38">
        <v>10</v>
      </c>
      <c r="O130" s="41">
        <v>5</v>
      </c>
      <c r="P130" s="38">
        <f t="shared" ref="P130:P133" si="15">N130*O130</f>
        <v>50</v>
      </c>
    </row>
    <row r="131" spans="1:16" x14ac:dyDescent="0.2">
      <c r="A131" s="38">
        <v>42</v>
      </c>
      <c r="B131" s="41">
        <v>0.05</v>
      </c>
      <c r="C131" s="38">
        <f t="shared" ref="C131:C139" si="16">A131*B131</f>
        <v>2.1</v>
      </c>
      <c r="D131" s="38" t="s">
        <v>167</v>
      </c>
      <c r="E131" s="40"/>
      <c r="F131" s="38">
        <v>42</v>
      </c>
      <c r="G131" s="38">
        <v>0.05</v>
      </c>
      <c r="H131" s="38">
        <f t="shared" ref="H131:H140" si="17">F131*G131</f>
        <v>2.1</v>
      </c>
      <c r="J131" s="38" t="s">
        <v>142</v>
      </c>
      <c r="K131" s="38">
        <v>171.4</v>
      </c>
      <c r="L131" s="38">
        <v>144</v>
      </c>
      <c r="M131" s="40"/>
      <c r="N131" s="38">
        <v>12</v>
      </c>
      <c r="O131" s="41">
        <v>10</v>
      </c>
      <c r="P131" s="38">
        <f t="shared" si="15"/>
        <v>120</v>
      </c>
    </row>
    <row r="132" spans="1:16" x14ac:dyDescent="0.2">
      <c r="A132" s="38">
        <v>25</v>
      </c>
      <c r="B132" s="41">
        <v>0.1</v>
      </c>
      <c r="C132" s="38">
        <f t="shared" si="16"/>
        <v>2.5</v>
      </c>
      <c r="E132" s="40"/>
      <c r="F132" s="38">
        <v>35</v>
      </c>
      <c r="G132" s="41">
        <v>0.1</v>
      </c>
      <c r="H132" s="38">
        <f t="shared" si="17"/>
        <v>3.5</v>
      </c>
      <c r="J132" s="38" t="s">
        <v>163</v>
      </c>
      <c r="K132" s="38">
        <v>38.299999999999997</v>
      </c>
      <c r="M132" s="40"/>
      <c r="N132" s="38">
        <v>2</v>
      </c>
      <c r="O132" s="41">
        <v>20</v>
      </c>
      <c r="P132" s="38">
        <f t="shared" si="15"/>
        <v>40</v>
      </c>
    </row>
    <row r="133" spans="1:16" x14ac:dyDescent="0.2">
      <c r="A133" s="38">
        <v>32</v>
      </c>
      <c r="B133" s="41">
        <v>0.2</v>
      </c>
      <c r="C133" s="38">
        <f t="shared" si="16"/>
        <v>6.4</v>
      </c>
      <c r="E133" s="40"/>
      <c r="F133" s="38">
        <v>17</v>
      </c>
      <c r="G133" s="41">
        <v>0.2</v>
      </c>
      <c r="H133" s="38">
        <f t="shared" si="17"/>
        <v>3.4000000000000004</v>
      </c>
      <c r="J133" s="38" t="s">
        <v>146</v>
      </c>
      <c r="M133" s="40"/>
      <c r="N133" s="38">
        <v>2</v>
      </c>
      <c r="O133" s="41">
        <v>50</v>
      </c>
      <c r="P133" s="38">
        <f t="shared" si="15"/>
        <v>100</v>
      </c>
    </row>
    <row r="134" spans="1:16" x14ac:dyDescent="0.2">
      <c r="A134" s="38">
        <v>16</v>
      </c>
      <c r="B134" s="41">
        <v>0.5</v>
      </c>
      <c r="C134" s="38">
        <f t="shared" si="16"/>
        <v>8</v>
      </c>
      <c r="E134" s="40"/>
      <c r="F134" s="38">
        <v>16</v>
      </c>
      <c r="G134" s="41">
        <v>0.5</v>
      </c>
      <c r="H134" s="38">
        <f t="shared" si="17"/>
        <v>8</v>
      </c>
      <c r="J134" s="38" t="s">
        <v>144</v>
      </c>
      <c r="K134" s="38">
        <v>116</v>
      </c>
      <c r="M134" s="40"/>
    </row>
    <row r="135" spans="1:16" x14ac:dyDescent="0.2">
      <c r="A135" s="38">
        <v>27</v>
      </c>
      <c r="B135" s="41">
        <v>1</v>
      </c>
      <c r="C135" s="38">
        <f t="shared" si="16"/>
        <v>27</v>
      </c>
      <c r="E135" s="40"/>
      <c r="F135" s="38">
        <v>35</v>
      </c>
      <c r="G135" s="41">
        <v>1</v>
      </c>
      <c r="H135" s="38">
        <f t="shared" si="17"/>
        <v>35</v>
      </c>
      <c r="J135" s="42"/>
      <c r="M135" s="40"/>
    </row>
    <row r="136" spans="1:16" x14ac:dyDescent="0.2">
      <c r="A136" s="38">
        <v>10</v>
      </c>
      <c r="B136" s="41">
        <v>2</v>
      </c>
      <c r="C136" s="38">
        <f t="shared" si="16"/>
        <v>20</v>
      </c>
      <c r="E136" s="40"/>
      <c r="F136" s="38">
        <v>15</v>
      </c>
      <c r="G136" s="41">
        <v>2</v>
      </c>
      <c r="H136" s="38">
        <f t="shared" si="17"/>
        <v>30</v>
      </c>
      <c r="J136" s="38" t="s">
        <v>149</v>
      </c>
      <c r="K136" s="38">
        <f t="shared" ref="K136:L136" si="18">SUM(K131,K132)*0.2</f>
        <v>41.94</v>
      </c>
      <c r="L136" s="38">
        <f t="shared" si="18"/>
        <v>28.8</v>
      </c>
      <c r="M136" s="40"/>
    </row>
    <row r="137" spans="1:16" x14ac:dyDescent="0.2">
      <c r="A137" s="38">
        <v>4</v>
      </c>
      <c r="B137" s="41">
        <v>5</v>
      </c>
      <c r="C137" s="38">
        <f t="shared" si="16"/>
        <v>20</v>
      </c>
      <c r="E137" s="40"/>
      <c r="F137" s="38">
        <v>4</v>
      </c>
      <c r="G137" s="41">
        <v>5</v>
      </c>
      <c r="H137" s="38">
        <f t="shared" si="17"/>
        <v>20</v>
      </c>
      <c r="J137" s="38" t="s">
        <v>161</v>
      </c>
      <c r="K137" s="38">
        <f t="shared" ref="K137:L137" si="19">K131-K136</f>
        <v>129.46</v>
      </c>
      <c r="L137" s="38">
        <f t="shared" si="19"/>
        <v>115.2</v>
      </c>
      <c r="M137" s="40"/>
    </row>
    <row r="138" spans="1:16" x14ac:dyDescent="0.2">
      <c r="A138" s="38">
        <v>3</v>
      </c>
      <c r="B138" s="41">
        <v>10</v>
      </c>
      <c r="C138" s="38">
        <f t="shared" si="16"/>
        <v>30</v>
      </c>
      <c r="E138" s="40"/>
      <c r="F138" s="38">
        <v>5</v>
      </c>
      <c r="G138" s="41">
        <v>10</v>
      </c>
      <c r="H138" s="38">
        <f t="shared" si="17"/>
        <v>50</v>
      </c>
      <c r="M138" s="40"/>
    </row>
    <row r="139" spans="1:16" x14ac:dyDescent="0.2">
      <c r="B139" s="41">
        <v>20</v>
      </c>
      <c r="C139" s="38">
        <f t="shared" si="16"/>
        <v>0</v>
      </c>
      <c r="E139" s="40"/>
      <c r="F139" s="38">
        <v>9</v>
      </c>
      <c r="G139" s="41">
        <v>20</v>
      </c>
      <c r="H139" s="38">
        <f t="shared" si="17"/>
        <v>180</v>
      </c>
      <c r="M139" s="40"/>
    </row>
    <row r="140" spans="1:16" x14ac:dyDescent="0.2">
      <c r="B140" s="38" t="s">
        <v>156</v>
      </c>
      <c r="E140" s="40"/>
      <c r="F140" s="38">
        <v>2</v>
      </c>
      <c r="G140" s="41">
        <v>50</v>
      </c>
      <c r="H140" s="38">
        <f t="shared" si="17"/>
        <v>100</v>
      </c>
      <c r="M140" s="40"/>
    </row>
    <row r="141" spans="1:16" x14ac:dyDescent="0.2">
      <c r="B141" s="38" t="s">
        <v>141</v>
      </c>
      <c r="C141" s="38">
        <f>SUM(C131:C140)</f>
        <v>116</v>
      </c>
      <c r="E141" s="40"/>
      <c r="G141" s="38" t="s">
        <v>137</v>
      </c>
      <c r="H141" s="38">
        <f>SUM(H131:H140)</f>
        <v>432</v>
      </c>
      <c r="M141" s="40"/>
    </row>
    <row r="142" spans="1:16" x14ac:dyDescent="0.2">
      <c r="B142" s="38" t="s">
        <v>157</v>
      </c>
      <c r="E142" s="40"/>
      <c r="G142" s="38" t="s">
        <v>158</v>
      </c>
      <c r="H142" s="38">
        <f>H141-C141</f>
        <v>316</v>
      </c>
      <c r="M142" s="40"/>
    </row>
    <row r="143" spans="1:16" x14ac:dyDescent="0.2">
      <c r="E143" s="40"/>
      <c r="G143" s="38" t="s">
        <v>142</v>
      </c>
      <c r="H143" s="38">
        <v>-171.4</v>
      </c>
      <c r="M143" s="40"/>
    </row>
    <row r="144" spans="1:16" x14ac:dyDescent="0.2">
      <c r="E144" s="40"/>
      <c r="G144" s="38" t="s">
        <v>163</v>
      </c>
      <c r="H144" s="38">
        <v>38.299999999999997</v>
      </c>
      <c r="I144" s="38">
        <v>36.700000000000003</v>
      </c>
      <c r="M144" s="40"/>
    </row>
    <row r="145" spans="1:27" x14ac:dyDescent="0.2">
      <c r="E145" s="40"/>
      <c r="G145" s="38" t="s">
        <v>160</v>
      </c>
      <c r="H145" s="38">
        <f>H142+H143</f>
        <v>144.6</v>
      </c>
      <c r="M145" s="40"/>
    </row>
    <row r="146" spans="1:27" x14ac:dyDescent="0.2">
      <c r="E146" s="40"/>
      <c r="M146" s="40"/>
    </row>
    <row r="147" spans="1:27" x14ac:dyDescent="0.2">
      <c r="A147" s="43"/>
      <c r="B147" s="43"/>
      <c r="C147" s="43"/>
      <c r="D147" s="43"/>
      <c r="E147" s="40"/>
      <c r="F147" s="43"/>
      <c r="G147" s="43"/>
      <c r="H147" s="43"/>
      <c r="I147" s="43"/>
      <c r="J147" s="43"/>
      <c r="K147" s="43"/>
      <c r="L147" s="43"/>
      <c r="M147" s="40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</row>
    <row r="148" spans="1:27" x14ac:dyDescent="0.2">
      <c r="A148" s="38" t="s">
        <v>135</v>
      </c>
      <c r="B148" s="39">
        <v>45533</v>
      </c>
      <c r="E148" s="40"/>
      <c r="F148" s="38" t="s">
        <v>136</v>
      </c>
      <c r="G148" s="39">
        <v>45533</v>
      </c>
      <c r="M148" s="40"/>
      <c r="O148" s="38" t="s">
        <v>151</v>
      </c>
    </row>
    <row r="149" spans="1:27" x14ac:dyDescent="0.2">
      <c r="A149" s="38" t="s">
        <v>139</v>
      </c>
      <c r="B149" s="38" t="s">
        <v>140</v>
      </c>
      <c r="C149" s="38" t="s">
        <v>141</v>
      </c>
      <c r="E149" s="40"/>
      <c r="F149" s="38" t="s">
        <v>139</v>
      </c>
      <c r="G149" s="38" t="s">
        <v>140</v>
      </c>
      <c r="H149" s="38" t="s">
        <v>141</v>
      </c>
      <c r="J149" s="38" t="s">
        <v>141</v>
      </c>
      <c r="K149" s="38">
        <v>200.1</v>
      </c>
      <c r="M149" s="40"/>
      <c r="N149" s="38">
        <v>10</v>
      </c>
      <c r="O149" s="41">
        <v>1</v>
      </c>
      <c r="P149" s="38">
        <f t="shared" ref="P149:P154" si="20">N149*O149</f>
        <v>10</v>
      </c>
    </row>
    <row r="150" spans="1:27" x14ac:dyDescent="0.2">
      <c r="A150" s="38">
        <v>42</v>
      </c>
      <c r="B150" s="41">
        <v>0.05</v>
      </c>
      <c r="C150" s="38">
        <f t="shared" ref="C150:C158" si="21">A150*B150</f>
        <v>2.1</v>
      </c>
      <c r="D150" s="38" t="s">
        <v>167</v>
      </c>
      <c r="E150" s="40"/>
      <c r="F150" s="38">
        <v>44</v>
      </c>
      <c r="G150" s="38">
        <v>0.05</v>
      </c>
      <c r="H150" s="38">
        <f t="shared" ref="H150:H159" si="22">F150*G150</f>
        <v>2.2000000000000002</v>
      </c>
      <c r="J150" s="38" t="s">
        <v>142</v>
      </c>
      <c r="K150" s="38">
        <v>178.1</v>
      </c>
      <c r="L150" s="38">
        <v>156</v>
      </c>
      <c r="M150" s="40"/>
      <c r="N150" s="38">
        <v>5</v>
      </c>
      <c r="O150" s="41">
        <v>2</v>
      </c>
      <c r="P150" s="38">
        <f t="shared" si="20"/>
        <v>10</v>
      </c>
    </row>
    <row r="151" spans="1:27" x14ac:dyDescent="0.2">
      <c r="A151" s="38">
        <v>35</v>
      </c>
      <c r="B151" s="41">
        <v>0.1</v>
      </c>
      <c r="C151" s="38">
        <f t="shared" si="21"/>
        <v>3.5</v>
      </c>
      <c r="D151" s="38" t="s">
        <v>167</v>
      </c>
      <c r="E151" s="40"/>
      <c r="F151" s="38">
        <v>32</v>
      </c>
      <c r="G151" s="41">
        <v>0.1</v>
      </c>
      <c r="H151" s="38">
        <f t="shared" si="22"/>
        <v>3.2</v>
      </c>
      <c r="J151" s="38" t="s">
        <v>163</v>
      </c>
      <c r="K151" s="38">
        <v>36.700000000000003</v>
      </c>
      <c r="M151" s="40"/>
      <c r="O151" s="41">
        <v>5</v>
      </c>
      <c r="P151" s="38">
        <f t="shared" si="20"/>
        <v>0</v>
      </c>
    </row>
    <row r="152" spans="1:27" x14ac:dyDescent="0.2">
      <c r="A152" s="38">
        <v>17</v>
      </c>
      <c r="B152" s="41">
        <v>0.2</v>
      </c>
      <c r="C152" s="38">
        <f t="shared" si="21"/>
        <v>3.4000000000000004</v>
      </c>
      <c r="D152" s="38" t="s">
        <v>167</v>
      </c>
      <c r="E152" s="40"/>
      <c r="F152" s="38">
        <v>14</v>
      </c>
      <c r="G152" s="41">
        <v>0.2</v>
      </c>
      <c r="H152" s="38">
        <f t="shared" si="22"/>
        <v>2.8000000000000003</v>
      </c>
      <c r="J152" s="38" t="s">
        <v>146</v>
      </c>
      <c r="M152" s="40"/>
      <c r="N152" s="38">
        <v>2</v>
      </c>
      <c r="O152" s="41">
        <v>10</v>
      </c>
      <c r="P152" s="38">
        <f t="shared" si="20"/>
        <v>20</v>
      </c>
    </row>
    <row r="153" spans="1:27" x14ac:dyDescent="0.2">
      <c r="A153" s="38">
        <v>16</v>
      </c>
      <c r="B153" s="41">
        <v>0.5</v>
      </c>
      <c r="C153" s="38">
        <f t="shared" si="21"/>
        <v>8</v>
      </c>
      <c r="D153" s="38" t="s">
        <v>167</v>
      </c>
      <c r="E153" s="40"/>
      <c r="F153" s="38">
        <v>14</v>
      </c>
      <c r="G153" s="41">
        <v>0.5</v>
      </c>
      <c r="H153" s="38">
        <f t="shared" si="22"/>
        <v>7</v>
      </c>
      <c r="J153" s="38" t="s">
        <v>144</v>
      </c>
      <c r="M153" s="40"/>
      <c r="N153" s="38">
        <v>9</v>
      </c>
      <c r="O153" s="41">
        <v>20</v>
      </c>
      <c r="P153" s="38">
        <f t="shared" si="20"/>
        <v>180</v>
      </c>
    </row>
    <row r="154" spans="1:27" x14ac:dyDescent="0.2">
      <c r="A154" s="38">
        <v>25</v>
      </c>
      <c r="B154" s="41">
        <v>1</v>
      </c>
      <c r="C154" s="38">
        <f t="shared" si="21"/>
        <v>25</v>
      </c>
      <c r="D154" s="38" t="s">
        <v>167</v>
      </c>
      <c r="E154" s="40"/>
      <c r="F154" s="38">
        <v>21</v>
      </c>
      <c r="G154" s="41">
        <v>1</v>
      </c>
      <c r="H154" s="38">
        <f t="shared" si="22"/>
        <v>21</v>
      </c>
      <c r="J154" s="42"/>
      <c r="M154" s="40"/>
      <c r="N154" s="38">
        <v>2</v>
      </c>
      <c r="O154" s="41">
        <v>50</v>
      </c>
      <c r="P154" s="38">
        <f t="shared" si="20"/>
        <v>100</v>
      </c>
    </row>
    <row r="155" spans="1:27" x14ac:dyDescent="0.2">
      <c r="A155" s="38">
        <v>10</v>
      </c>
      <c r="B155" s="41">
        <v>2</v>
      </c>
      <c r="C155" s="38">
        <f t="shared" si="21"/>
        <v>20</v>
      </c>
      <c r="D155" s="38" t="s">
        <v>167</v>
      </c>
      <c r="E155" s="40"/>
      <c r="F155" s="38">
        <v>10</v>
      </c>
      <c r="G155" s="41">
        <v>2</v>
      </c>
      <c r="H155" s="38">
        <f t="shared" si="22"/>
        <v>20</v>
      </c>
      <c r="J155" s="38" t="s">
        <v>149</v>
      </c>
      <c r="K155" s="38">
        <f t="shared" ref="K155:L155" si="23">SUM(K150,K151)*0.2</f>
        <v>42.960000000000008</v>
      </c>
      <c r="L155" s="38">
        <f t="shared" si="23"/>
        <v>31.200000000000003</v>
      </c>
      <c r="M155" s="40"/>
      <c r="P155" s="38">
        <v>-57</v>
      </c>
      <c r="Q155" s="38" t="s">
        <v>168</v>
      </c>
    </row>
    <row r="156" spans="1:27" x14ac:dyDescent="0.2">
      <c r="A156" s="38">
        <v>4</v>
      </c>
      <c r="B156" s="41">
        <v>5</v>
      </c>
      <c r="C156" s="38">
        <f t="shared" si="21"/>
        <v>20</v>
      </c>
      <c r="D156" s="38" t="s">
        <v>167</v>
      </c>
      <c r="E156" s="40"/>
      <c r="F156" s="38">
        <v>10</v>
      </c>
      <c r="G156" s="41">
        <v>5</v>
      </c>
      <c r="H156" s="38">
        <f t="shared" si="22"/>
        <v>50</v>
      </c>
      <c r="J156" s="38" t="s">
        <v>161</v>
      </c>
      <c r="K156" s="38">
        <f t="shared" ref="K156:L156" si="24">K150-K155</f>
        <v>135.13999999999999</v>
      </c>
      <c r="L156" s="38">
        <f t="shared" si="24"/>
        <v>124.8</v>
      </c>
      <c r="M156" s="40"/>
      <c r="P156" s="38">
        <v>-87</v>
      </c>
      <c r="Q156" s="38" t="s">
        <v>169</v>
      </c>
    </row>
    <row r="157" spans="1:27" x14ac:dyDescent="0.2">
      <c r="A157" s="38">
        <v>3</v>
      </c>
      <c r="B157" s="41">
        <v>10</v>
      </c>
      <c r="C157" s="38">
        <f t="shared" si="21"/>
        <v>30</v>
      </c>
      <c r="D157" s="38" t="s">
        <v>167</v>
      </c>
      <c r="E157" s="40"/>
      <c r="F157" s="38">
        <v>10</v>
      </c>
      <c r="G157" s="41">
        <v>10</v>
      </c>
      <c r="H157" s="38">
        <f t="shared" si="22"/>
        <v>100</v>
      </c>
      <c r="M157" s="40"/>
      <c r="P157" s="38">
        <v>-30</v>
      </c>
      <c r="Q157" s="38" t="s">
        <v>170</v>
      </c>
    </row>
    <row r="158" spans="1:27" x14ac:dyDescent="0.2">
      <c r="B158" s="41">
        <v>20</v>
      </c>
      <c r="C158" s="38">
        <f t="shared" si="21"/>
        <v>0</v>
      </c>
      <c r="E158" s="40"/>
      <c r="F158" s="38">
        <v>2</v>
      </c>
      <c r="G158" s="41">
        <v>20</v>
      </c>
      <c r="H158" s="38">
        <f t="shared" si="22"/>
        <v>40</v>
      </c>
      <c r="M158" s="40"/>
    </row>
    <row r="159" spans="1:27" x14ac:dyDescent="0.2">
      <c r="B159" s="38" t="s">
        <v>156</v>
      </c>
      <c r="E159" s="40"/>
      <c r="F159" s="38">
        <v>4</v>
      </c>
      <c r="G159" s="41">
        <v>50</v>
      </c>
      <c r="H159" s="38">
        <f t="shared" si="22"/>
        <v>200</v>
      </c>
      <c r="M159" s="40"/>
    </row>
    <row r="160" spans="1:27" x14ac:dyDescent="0.2">
      <c r="B160" s="38" t="s">
        <v>141</v>
      </c>
      <c r="C160" s="38">
        <f>SUM(C150:C159)</f>
        <v>112</v>
      </c>
      <c r="E160" s="40"/>
      <c r="G160" s="38" t="s">
        <v>137</v>
      </c>
      <c r="H160" s="38">
        <f>SUM(H150:H159)</f>
        <v>446.2</v>
      </c>
      <c r="M160" s="40"/>
    </row>
    <row r="161" spans="1:27" x14ac:dyDescent="0.2">
      <c r="B161" s="38" t="s">
        <v>157</v>
      </c>
      <c r="E161" s="40"/>
      <c r="G161" s="38" t="s">
        <v>158</v>
      </c>
      <c r="H161" s="38">
        <f>H160-C160</f>
        <v>334.2</v>
      </c>
      <c r="M161" s="40"/>
    </row>
    <row r="162" spans="1:27" x14ac:dyDescent="0.2">
      <c r="E162" s="40"/>
      <c r="G162" s="38" t="s">
        <v>142</v>
      </c>
      <c r="H162" s="38">
        <v>-178.1</v>
      </c>
      <c r="M162" s="40"/>
    </row>
    <row r="163" spans="1:27" x14ac:dyDescent="0.2">
      <c r="E163" s="40"/>
      <c r="G163" s="38" t="s">
        <v>163</v>
      </c>
      <c r="H163" s="38">
        <v>36.700000000000003</v>
      </c>
      <c r="I163" s="38">
        <v>22</v>
      </c>
      <c r="M163" s="40"/>
    </row>
    <row r="164" spans="1:27" x14ac:dyDescent="0.2">
      <c r="E164" s="40"/>
      <c r="G164" s="38" t="s">
        <v>160</v>
      </c>
      <c r="H164" s="38">
        <f>H161+H162</f>
        <v>156.1</v>
      </c>
      <c r="M164" s="40"/>
    </row>
    <row r="165" spans="1:27" x14ac:dyDescent="0.2">
      <c r="E165" s="40"/>
      <c r="M165" s="40"/>
    </row>
    <row r="166" spans="1:27" x14ac:dyDescent="0.2">
      <c r="A166" s="43"/>
      <c r="B166" s="43"/>
      <c r="C166" s="43"/>
      <c r="D166" s="43"/>
      <c r="E166" s="40"/>
      <c r="F166" s="43"/>
      <c r="G166" s="43"/>
      <c r="H166" s="43"/>
      <c r="I166" s="43"/>
      <c r="J166" s="43"/>
      <c r="K166" s="43"/>
      <c r="L166" s="43"/>
      <c r="M166" s="40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</row>
    <row r="167" spans="1:27" x14ac:dyDescent="0.2">
      <c r="A167" s="38" t="s">
        <v>135</v>
      </c>
      <c r="B167" s="39">
        <v>45534</v>
      </c>
      <c r="E167" s="40"/>
      <c r="F167" s="38" t="s">
        <v>136</v>
      </c>
      <c r="G167" s="39">
        <v>45534</v>
      </c>
      <c r="M167" s="40"/>
      <c r="O167" s="38" t="s">
        <v>151</v>
      </c>
    </row>
    <row r="168" spans="1:27" x14ac:dyDescent="0.2">
      <c r="A168" s="38" t="s">
        <v>139</v>
      </c>
      <c r="B168" s="38" t="s">
        <v>140</v>
      </c>
      <c r="C168" s="38" t="s">
        <v>141</v>
      </c>
      <c r="E168" s="40"/>
      <c r="F168" s="38" t="s">
        <v>139</v>
      </c>
      <c r="G168" s="38" t="s">
        <v>140</v>
      </c>
      <c r="H168" s="38" t="s">
        <v>141</v>
      </c>
      <c r="J168" s="38" t="s">
        <v>141</v>
      </c>
      <c r="K168" s="38">
        <v>317.7</v>
      </c>
      <c r="M168" s="40"/>
      <c r="N168" s="38">
        <v>7</v>
      </c>
      <c r="O168" s="41">
        <v>5</v>
      </c>
      <c r="P168" s="38">
        <f t="shared" ref="P168:P171" si="25">N168*O168</f>
        <v>35</v>
      </c>
    </row>
    <row r="169" spans="1:27" x14ac:dyDescent="0.2">
      <c r="A169" s="38">
        <v>44</v>
      </c>
      <c r="B169" s="41">
        <v>0.05</v>
      </c>
      <c r="C169" s="38">
        <f t="shared" ref="C169:C177" si="26">A169*B169</f>
        <v>2.2000000000000002</v>
      </c>
      <c r="E169" s="40"/>
      <c r="F169" s="38">
        <v>50</v>
      </c>
      <c r="G169" s="38">
        <v>0.05</v>
      </c>
      <c r="H169" s="38">
        <f t="shared" ref="H169:H178" si="27">F169*G169</f>
        <v>2.5</v>
      </c>
      <c r="J169" s="38" t="s">
        <v>142</v>
      </c>
      <c r="K169" s="38">
        <v>194.1</v>
      </c>
      <c r="L169" s="38">
        <v>325</v>
      </c>
      <c r="M169" s="40"/>
      <c r="N169" s="38">
        <v>12</v>
      </c>
      <c r="O169" s="41">
        <v>10</v>
      </c>
      <c r="P169" s="38">
        <f t="shared" si="25"/>
        <v>120</v>
      </c>
    </row>
    <row r="170" spans="1:27" x14ac:dyDescent="0.2">
      <c r="A170" s="38">
        <v>32</v>
      </c>
      <c r="B170" s="41">
        <v>0.1</v>
      </c>
      <c r="C170" s="38">
        <f t="shared" si="26"/>
        <v>3.2</v>
      </c>
      <c r="E170" s="40"/>
      <c r="F170" s="38">
        <v>19</v>
      </c>
      <c r="G170" s="41">
        <v>0.1</v>
      </c>
      <c r="H170" s="38">
        <f t="shared" si="27"/>
        <v>1.9000000000000001</v>
      </c>
      <c r="J170" s="38" t="s">
        <v>163</v>
      </c>
      <c r="K170" s="38">
        <v>123.6</v>
      </c>
      <c r="M170" s="40"/>
      <c r="N170" s="38">
        <v>9</v>
      </c>
      <c r="O170" s="41">
        <v>20</v>
      </c>
      <c r="P170" s="38">
        <f t="shared" si="25"/>
        <v>180</v>
      </c>
    </row>
    <row r="171" spans="1:27" x14ac:dyDescent="0.2">
      <c r="A171" s="38">
        <v>14</v>
      </c>
      <c r="B171" s="41">
        <v>0.2</v>
      </c>
      <c r="C171" s="38">
        <f t="shared" si="26"/>
        <v>2.8000000000000003</v>
      </c>
      <c r="E171" s="40"/>
      <c r="F171" s="38">
        <v>27</v>
      </c>
      <c r="G171" s="41">
        <v>0.2</v>
      </c>
      <c r="H171" s="38">
        <f t="shared" si="27"/>
        <v>5.4</v>
      </c>
      <c r="J171" s="38" t="s">
        <v>146</v>
      </c>
      <c r="M171" s="40"/>
      <c r="N171" s="38">
        <v>4</v>
      </c>
      <c r="O171" s="41">
        <v>50</v>
      </c>
      <c r="P171" s="38">
        <f t="shared" si="25"/>
        <v>200</v>
      </c>
    </row>
    <row r="172" spans="1:27" x14ac:dyDescent="0.2">
      <c r="A172" s="38">
        <v>14</v>
      </c>
      <c r="B172" s="41">
        <v>0.5</v>
      </c>
      <c r="C172" s="38">
        <f t="shared" si="26"/>
        <v>7</v>
      </c>
      <c r="E172" s="40"/>
      <c r="F172" s="38">
        <v>17</v>
      </c>
      <c r="G172" s="41">
        <v>0.5</v>
      </c>
      <c r="H172" s="38">
        <f t="shared" si="27"/>
        <v>8.5</v>
      </c>
      <c r="J172" s="38" t="s">
        <v>144</v>
      </c>
      <c r="M172" s="40"/>
    </row>
    <row r="173" spans="1:27" x14ac:dyDescent="0.2">
      <c r="A173" s="38">
        <v>21</v>
      </c>
      <c r="B173" s="41">
        <v>1</v>
      </c>
      <c r="C173" s="38">
        <f t="shared" si="26"/>
        <v>21</v>
      </c>
      <c r="E173" s="40"/>
      <c r="F173" s="38">
        <v>32</v>
      </c>
      <c r="G173" s="41">
        <v>1</v>
      </c>
      <c r="H173" s="38">
        <f t="shared" si="27"/>
        <v>32</v>
      </c>
      <c r="J173" s="42"/>
      <c r="M173" s="40"/>
    </row>
    <row r="174" spans="1:27" x14ac:dyDescent="0.2">
      <c r="A174" s="38">
        <v>10</v>
      </c>
      <c r="B174" s="41">
        <v>2</v>
      </c>
      <c r="C174" s="38">
        <f t="shared" si="26"/>
        <v>20</v>
      </c>
      <c r="E174" s="40"/>
      <c r="F174" s="38">
        <v>20</v>
      </c>
      <c r="G174" s="41">
        <v>2</v>
      </c>
      <c r="H174" s="38">
        <f t="shared" si="27"/>
        <v>40</v>
      </c>
      <c r="J174" s="38" t="s">
        <v>149</v>
      </c>
      <c r="K174" s="38">
        <f t="shared" ref="K174:L174" si="28">SUM(K169,K170)*0.2</f>
        <v>63.54</v>
      </c>
      <c r="L174" s="38">
        <f t="shared" si="28"/>
        <v>65</v>
      </c>
      <c r="M174" s="40"/>
    </row>
    <row r="175" spans="1:27" x14ac:dyDescent="0.2">
      <c r="A175" s="38">
        <v>6</v>
      </c>
      <c r="B175" s="41">
        <v>5</v>
      </c>
      <c r="C175" s="38">
        <f t="shared" si="26"/>
        <v>30</v>
      </c>
      <c r="E175" s="40"/>
      <c r="F175" s="38">
        <v>7</v>
      </c>
      <c r="G175" s="41">
        <v>5</v>
      </c>
      <c r="H175" s="38">
        <f t="shared" si="27"/>
        <v>35</v>
      </c>
      <c r="J175" s="38" t="s">
        <v>161</v>
      </c>
      <c r="K175" s="38">
        <f t="shared" ref="K175:L175" si="29">K169-K174</f>
        <v>130.56</v>
      </c>
      <c r="L175" s="38">
        <f t="shared" si="29"/>
        <v>260</v>
      </c>
      <c r="M175" s="40"/>
    </row>
    <row r="176" spans="1:27" x14ac:dyDescent="0.2">
      <c r="A176" s="38">
        <v>2</v>
      </c>
      <c r="B176" s="41">
        <v>10</v>
      </c>
      <c r="C176" s="38">
        <f t="shared" si="26"/>
        <v>20</v>
      </c>
      <c r="E176" s="40"/>
      <c r="F176" s="38">
        <v>12</v>
      </c>
      <c r="G176" s="41">
        <v>10</v>
      </c>
      <c r="H176" s="38">
        <f t="shared" si="27"/>
        <v>120</v>
      </c>
      <c r="M176" s="40"/>
    </row>
    <row r="177" spans="1:27" x14ac:dyDescent="0.2">
      <c r="B177" s="41">
        <v>20</v>
      </c>
      <c r="C177" s="38">
        <f t="shared" si="26"/>
        <v>0</v>
      </c>
      <c r="E177" s="40"/>
      <c r="F177" s="38">
        <v>9</v>
      </c>
      <c r="G177" s="41">
        <v>20</v>
      </c>
      <c r="H177" s="38">
        <f t="shared" si="27"/>
        <v>180</v>
      </c>
      <c r="M177" s="40"/>
    </row>
    <row r="178" spans="1:27" x14ac:dyDescent="0.2">
      <c r="B178" s="38" t="s">
        <v>156</v>
      </c>
      <c r="E178" s="40"/>
      <c r="F178" s="38">
        <v>4</v>
      </c>
      <c r="G178" s="41">
        <v>50</v>
      </c>
      <c r="H178" s="38">
        <f t="shared" si="27"/>
        <v>200</v>
      </c>
      <c r="M178" s="40"/>
    </row>
    <row r="179" spans="1:27" x14ac:dyDescent="0.2">
      <c r="B179" s="38" t="s">
        <v>141</v>
      </c>
      <c r="C179" s="38">
        <f>SUM(C169:C178)</f>
        <v>106.2</v>
      </c>
      <c r="E179" s="40"/>
      <c r="G179" s="38" t="s">
        <v>137</v>
      </c>
      <c r="H179" s="38">
        <f>SUM(H169:H178)</f>
        <v>625.29999999999995</v>
      </c>
      <c r="M179" s="40"/>
    </row>
    <row r="180" spans="1:27" x14ac:dyDescent="0.2">
      <c r="B180" s="38" t="s">
        <v>157</v>
      </c>
      <c r="E180" s="40"/>
      <c r="G180" s="38" t="s">
        <v>158</v>
      </c>
      <c r="H180" s="38">
        <f>H179-C179</f>
        <v>519.09999999999991</v>
      </c>
      <c r="M180" s="40"/>
    </row>
    <row r="181" spans="1:27" x14ac:dyDescent="0.2">
      <c r="E181" s="40"/>
      <c r="G181" s="38" t="s">
        <v>142</v>
      </c>
      <c r="H181" s="38">
        <v>-194.1</v>
      </c>
      <c r="M181" s="40"/>
    </row>
    <row r="182" spans="1:27" x14ac:dyDescent="0.2">
      <c r="E182" s="40"/>
      <c r="G182" s="38" t="s">
        <v>171</v>
      </c>
      <c r="H182" s="38">
        <v>121.1</v>
      </c>
      <c r="I182" s="38">
        <v>2.5</v>
      </c>
      <c r="M182" s="40"/>
    </row>
    <row r="183" spans="1:27" x14ac:dyDescent="0.2">
      <c r="E183" s="40"/>
      <c r="G183" s="38" t="s">
        <v>160</v>
      </c>
      <c r="H183" s="38">
        <f>H180+H181</f>
        <v>324.99999999999989</v>
      </c>
      <c r="M183" s="40"/>
    </row>
    <row r="184" spans="1:27" x14ac:dyDescent="0.2">
      <c r="E184" s="40"/>
      <c r="M184" s="40"/>
    </row>
    <row r="185" spans="1:27" x14ac:dyDescent="0.2">
      <c r="A185" s="43"/>
      <c r="B185" s="43"/>
      <c r="C185" s="43"/>
      <c r="D185" s="43"/>
      <c r="E185" s="40"/>
      <c r="F185" s="43"/>
      <c r="G185" s="43"/>
      <c r="H185" s="43"/>
      <c r="I185" s="43"/>
      <c r="J185" s="43"/>
      <c r="K185" s="43"/>
      <c r="L185" s="43"/>
      <c r="M185" s="40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</row>
    <row r="186" spans="1:27" x14ac:dyDescent="0.2">
      <c r="A186" s="38" t="s">
        <v>135</v>
      </c>
      <c r="B186" s="39">
        <v>45535</v>
      </c>
      <c r="E186" s="40"/>
      <c r="F186" s="38" t="s">
        <v>136</v>
      </c>
      <c r="G186" s="39">
        <v>45535</v>
      </c>
      <c r="M186" s="40"/>
      <c r="O186" s="38" t="s">
        <v>151</v>
      </c>
    </row>
    <row r="187" spans="1:27" x14ac:dyDescent="0.2">
      <c r="A187" s="38" t="s">
        <v>139</v>
      </c>
      <c r="B187" s="38" t="s">
        <v>140</v>
      </c>
      <c r="C187" s="38" t="s">
        <v>141</v>
      </c>
      <c r="E187" s="40"/>
      <c r="F187" s="38" t="s">
        <v>139</v>
      </c>
      <c r="G187" s="38" t="s">
        <v>140</v>
      </c>
      <c r="H187" s="38" t="s">
        <v>141</v>
      </c>
      <c r="J187" s="38" t="s">
        <v>141</v>
      </c>
      <c r="K187" s="38">
        <v>169.68</v>
      </c>
      <c r="M187" s="40"/>
      <c r="O187" s="41">
        <v>5</v>
      </c>
      <c r="P187" s="38">
        <f t="shared" ref="P187:P190" si="30">N187*O187</f>
        <v>0</v>
      </c>
    </row>
    <row r="188" spans="1:27" x14ac:dyDescent="0.2">
      <c r="A188" s="45">
        <v>50</v>
      </c>
      <c r="B188" s="41">
        <v>0.05</v>
      </c>
      <c r="C188" s="38">
        <f t="shared" ref="C188:C196" si="31">A188*B188</f>
        <v>2.5</v>
      </c>
      <c r="D188" s="38" t="s">
        <v>167</v>
      </c>
      <c r="E188" s="40"/>
      <c r="F188" s="38">
        <v>52</v>
      </c>
      <c r="G188" s="38">
        <v>0.05</v>
      </c>
      <c r="H188" s="38">
        <f t="shared" ref="H188:H197" si="32">F188*G188</f>
        <v>2.6</v>
      </c>
      <c r="J188" s="38" t="s">
        <v>142</v>
      </c>
      <c r="K188" s="38">
        <v>163.30000000000001</v>
      </c>
      <c r="L188" s="38">
        <v>126</v>
      </c>
      <c r="M188" s="40"/>
      <c r="O188" s="41">
        <v>10</v>
      </c>
      <c r="P188" s="38">
        <f t="shared" si="30"/>
        <v>0</v>
      </c>
    </row>
    <row r="189" spans="1:27" x14ac:dyDescent="0.2">
      <c r="A189" s="45">
        <v>19</v>
      </c>
      <c r="B189" s="41">
        <v>0.1</v>
      </c>
      <c r="C189" s="38">
        <f t="shared" si="31"/>
        <v>1.9000000000000001</v>
      </c>
      <c r="D189" s="38" t="s">
        <v>167</v>
      </c>
      <c r="E189" s="40"/>
      <c r="F189" s="38">
        <v>20</v>
      </c>
      <c r="G189" s="41">
        <v>0.1</v>
      </c>
      <c r="H189" s="38">
        <f t="shared" si="32"/>
        <v>2</v>
      </c>
      <c r="J189" s="38" t="s">
        <v>163</v>
      </c>
      <c r="K189" s="38">
        <v>6.5</v>
      </c>
      <c r="M189" s="40"/>
      <c r="O189" s="41">
        <v>20</v>
      </c>
      <c r="P189" s="38">
        <f t="shared" si="30"/>
        <v>0</v>
      </c>
    </row>
    <row r="190" spans="1:27" x14ac:dyDescent="0.2">
      <c r="A190" s="45">
        <v>27</v>
      </c>
      <c r="B190" s="41">
        <v>0.2</v>
      </c>
      <c r="C190" s="38">
        <f t="shared" si="31"/>
        <v>5.4</v>
      </c>
      <c r="D190" s="38" t="s">
        <v>167</v>
      </c>
      <c r="E190" s="40"/>
      <c r="F190" s="38">
        <v>11</v>
      </c>
      <c r="G190" s="41">
        <v>0.2</v>
      </c>
      <c r="H190" s="38">
        <f t="shared" si="32"/>
        <v>2.2000000000000002</v>
      </c>
      <c r="J190" s="38" t="s">
        <v>146</v>
      </c>
      <c r="M190" s="40"/>
      <c r="O190" s="41">
        <v>50</v>
      </c>
      <c r="P190" s="38">
        <f t="shared" si="30"/>
        <v>0</v>
      </c>
    </row>
    <row r="191" spans="1:27" x14ac:dyDescent="0.2">
      <c r="A191" s="45">
        <v>17</v>
      </c>
      <c r="B191" s="41">
        <v>0.5</v>
      </c>
      <c r="C191" s="38">
        <f t="shared" si="31"/>
        <v>8.5</v>
      </c>
      <c r="D191" s="38" t="s">
        <v>167</v>
      </c>
      <c r="E191" s="40"/>
      <c r="F191" s="38">
        <v>4</v>
      </c>
      <c r="G191" s="41">
        <v>0.5</v>
      </c>
      <c r="H191" s="38">
        <f t="shared" si="32"/>
        <v>2</v>
      </c>
      <c r="M191" s="40"/>
    </row>
    <row r="192" spans="1:27" x14ac:dyDescent="0.2">
      <c r="A192" s="45">
        <v>20</v>
      </c>
      <c r="B192" s="41">
        <v>1</v>
      </c>
      <c r="C192" s="38">
        <f t="shared" si="31"/>
        <v>20</v>
      </c>
      <c r="D192" s="38" t="s">
        <v>172</v>
      </c>
      <c r="E192" s="40"/>
      <c r="F192" s="38">
        <v>20</v>
      </c>
      <c r="G192" s="41">
        <v>1</v>
      </c>
      <c r="H192" s="38">
        <f t="shared" si="32"/>
        <v>20</v>
      </c>
      <c r="J192" s="42"/>
      <c r="M192" s="40"/>
    </row>
    <row r="193" spans="1:27" x14ac:dyDescent="0.2">
      <c r="A193" s="45">
        <v>15</v>
      </c>
      <c r="B193" s="41">
        <v>2</v>
      </c>
      <c r="C193" s="38">
        <f t="shared" si="31"/>
        <v>30</v>
      </c>
      <c r="E193" s="40"/>
      <c r="F193" s="38">
        <v>7</v>
      </c>
      <c r="G193" s="41">
        <v>2</v>
      </c>
      <c r="H193" s="38">
        <f t="shared" si="32"/>
        <v>14</v>
      </c>
      <c r="J193" s="38" t="s">
        <v>149</v>
      </c>
      <c r="K193" s="38">
        <f t="shared" ref="K193:L193" si="33">SUM(K188,K189)*0.2</f>
        <v>33.96</v>
      </c>
      <c r="L193" s="38">
        <f t="shared" si="33"/>
        <v>25.200000000000003</v>
      </c>
      <c r="M193" s="40"/>
    </row>
    <row r="194" spans="1:27" x14ac:dyDescent="0.2">
      <c r="A194" s="45">
        <v>5</v>
      </c>
      <c r="B194" s="41">
        <v>5</v>
      </c>
      <c r="C194" s="38">
        <f t="shared" si="31"/>
        <v>25</v>
      </c>
      <c r="E194" s="40"/>
      <c r="F194" s="38">
        <v>1</v>
      </c>
      <c r="G194" s="41">
        <v>5</v>
      </c>
      <c r="H194" s="38">
        <f t="shared" si="32"/>
        <v>5</v>
      </c>
      <c r="J194" s="38" t="s">
        <v>161</v>
      </c>
      <c r="K194" s="38">
        <f t="shared" ref="K194:L194" si="34">K188-K193</f>
        <v>129.34</v>
      </c>
      <c r="L194" s="38">
        <f t="shared" si="34"/>
        <v>100.8</v>
      </c>
      <c r="M194" s="40"/>
    </row>
    <row r="195" spans="1:27" x14ac:dyDescent="0.2">
      <c r="A195" s="45">
        <v>2</v>
      </c>
      <c r="B195" s="41">
        <v>10</v>
      </c>
      <c r="C195" s="38">
        <f t="shared" si="31"/>
        <v>20</v>
      </c>
      <c r="E195" s="40"/>
      <c r="F195" s="38">
        <v>6</v>
      </c>
      <c r="G195" s="41">
        <v>10</v>
      </c>
      <c r="H195" s="38">
        <f t="shared" si="32"/>
        <v>60</v>
      </c>
      <c r="M195" s="40"/>
    </row>
    <row r="196" spans="1:27" x14ac:dyDescent="0.2">
      <c r="B196" s="41">
        <v>20</v>
      </c>
      <c r="C196" s="38">
        <f t="shared" si="31"/>
        <v>0</v>
      </c>
      <c r="E196" s="40"/>
      <c r="F196" s="38">
        <v>12</v>
      </c>
      <c r="G196" s="41">
        <v>20</v>
      </c>
      <c r="H196" s="38">
        <f t="shared" si="32"/>
        <v>240</v>
      </c>
      <c r="M196" s="40"/>
    </row>
    <row r="197" spans="1:27" x14ac:dyDescent="0.2">
      <c r="B197" s="38" t="s">
        <v>156</v>
      </c>
      <c r="E197" s="40"/>
      <c r="F197" s="38">
        <v>1</v>
      </c>
      <c r="G197" s="41">
        <v>50</v>
      </c>
      <c r="H197" s="38">
        <f t="shared" si="32"/>
        <v>50</v>
      </c>
      <c r="M197" s="40"/>
    </row>
    <row r="198" spans="1:27" x14ac:dyDescent="0.2">
      <c r="B198" s="38" t="s">
        <v>141</v>
      </c>
      <c r="C198" s="38">
        <f>SUM(C188:C197)</f>
        <v>113.3</v>
      </c>
      <c r="E198" s="40"/>
      <c r="G198" s="38" t="s">
        <v>137</v>
      </c>
      <c r="H198" s="38">
        <f>SUM(H188:H197)</f>
        <v>397.8</v>
      </c>
      <c r="M198" s="40"/>
    </row>
    <row r="199" spans="1:27" x14ac:dyDescent="0.2">
      <c r="B199" s="38" t="s">
        <v>157</v>
      </c>
      <c r="C199" s="38">
        <v>-5</v>
      </c>
      <c r="D199" s="38" t="s">
        <v>173</v>
      </c>
      <c r="E199" s="40"/>
      <c r="G199" s="38" t="s">
        <v>158</v>
      </c>
      <c r="H199" s="38">
        <f>H198-C198-C199</f>
        <v>289.5</v>
      </c>
      <c r="M199" s="40"/>
    </row>
    <row r="200" spans="1:27" x14ac:dyDescent="0.2">
      <c r="E200" s="40"/>
      <c r="G200" s="38" t="s">
        <v>142</v>
      </c>
      <c r="H200" s="38">
        <v>-163.30000000000001</v>
      </c>
      <c r="I200" s="38"/>
      <c r="M200" s="40"/>
    </row>
    <row r="201" spans="1:27" x14ac:dyDescent="0.2">
      <c r="E201" s="40"/>
      <c r="G201" s="38" t="s">
        <v>171</v>
      </c>
      <c r="H201" s="38">
        <v>6.5</v>
      </c>
      <c r="M201" s="40"/>
    </row>
    <row r="202" spans="1:27" x14ac:dyDescent="0.2">
      <c r="E202" s="40"/>
      <c r="G202" s="38" t="s">
        <v>160</v>
      </c>
      <c r="H202" s="38">
        <f>H199+H200</f>
        <v>126.19999999999999</v>
      </c>
      <c r="M202" s="40"/>
    </row>
    <row r="203" spans="1:27" x14ac:dyDescent="0.2">
      <c r="E203" s="40"/>
      <c r="M203" s="40"/>
    </row>
    <row r="204" spans="1:27" x14ac:dyDescent="0.2">
      <c r="A204" s="43"/>
      <c r="B204" s="43"/>
      <c r="C204" s="43"/>
      <c r="D204" s="43"/>
      <c r="E204" s="40"/>
      <c r="F204" s="43"/>
      <c r="G204" s="43"/>
      <c r="H204" s="43"/>
      <c r="I204" s="43"/>
      <c r="J204" s="43"/>
      <c r="K204" s="43"/>
      <c r="L204" s="43"/>
      <c r="M204" s="40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</row>
    <row r="205" spans="1:27" x14ac:dyDescent="0.2">
      <c r="B205" s="39"/>
      <c r="E205" s="40"/>
      <c r="G205" s="39"/>
      <c r="M205" s="40"/>
    </row>
    <row r="206" spans="1:27" x14ac:dyDescent="0.2">
      <c r="E206" s="40"/>
      <c r="M206" s="40"/>
    </row>
    <row r="207" spans="1:27" x14ac:dyDescent="0.2">
      <c r="B207" s="41"/>
      <c r="E207" s="40"/>
      <c r="M207" s="40"/>
    </row>
    <row r="208" spans="1:27" x14ac:dyDescent="0.2">
      <c r="B208" s="41"/>
      <c r="E208" s="40"/>
      <c r="G208" s="41"/>
      <c r="M208" s="40"/>
    </row>
    <row r="209" spans="1:27" x14ac:dyDescent="0.2">
      <c r="B209" s="41"/>
      <c r="E209" s="40"/>
      <c r="G209" s="41"/>
      <c r="M209" s="40"/>
    </row>
    <row r="210" spans="1:27" x14ac:dyDescent="0.2">
      <c r="B210" s="41"/>
      <c r="E210" s="40"/>
      <c r="G210" s="41"/>
      <c r="M210" s="40"/>
    </row>
    <row r="211" spans="1:27" x14ac:dyDescent="0.2">
      <c r="B211" s="41"/>
      <c r="E211" s="40"/>
      <c r="G211" s="41"/>
      <c r="J211" s="42"/>
      <c r="M211" s="40"/>
    </row>
    <row r="212" spans="1:27" x14ac:dyDescent="0.2">
      <c r="B212" s="41"/>
      <c r="E212" s="40"/>
      <c r="G212" s="41"/>
      <c r="M212" s="40"/>
    </row>
    <row r="213" spans="1:27" x14ac:dyDescent="0.2">
      <c r="A213" s="45"/>
      <c r="B213" s="41"/>
      <c r="E213" s="40"/>
      <c r="G213" s="41"/>
      <c r="M213" s="40"/>
    </row>
    <row r="214" spans="1:27" x14ac:dyDescent="0.2">
      <c r="A214" s="45"/>
      <c r="B214" s="41"/>
      <c r="E214" s="40"/>
      <c r="G214" s="41"/>
      <c r="M214" s="40"/>
    </row>
    <row r="215" spans="1:27" x14ac:dyDescent="0.2">
      <c r="B215" s="41"/>
      <c r="E215" s="40"/>
      <c r="G215" s="41"/>
      <c r="M215" s="40"/>
    </row>
    <row r="216" spans="1:27" x14ac:dyDescent="0.2">
      <c r="E216" s="40"/>
      <c r="G216" s="41"/>
      <c r="M216" s="40"/>
    </row>
    <row r="217" spans="1:27" x14ac:dyDescent="0.2">
      <c r="E217" s="40"/>
      <c r="M217" s="40"/>
    </row>
    <row r="218" spans="1:27" x14ac:dyDescent="0.2">
      <c r="E218" s="40"/>
      <c r="M218" s="40"/>
    </row>
    <row r="219" spans="1:27" x14ac:dyDescent="0.2">
      <c r="E219" s="40"/>
      <c r="M219" s="40"/>
    </row>
    <row r="220" spans="1:27" x14ac:dyDescent="0.2">
      <c r="E220" s="40"/>
      <c r="M220" s="40"/>
    </row>
    <row r="221" spans="1:27" x14ac:dyDescent="0.2">
      <c r="E221" s="40"/>
      <c r="M221" s="40"/>
    </row>
    <row r="222" spans="1:27" x14ac:dyDescent="0.2">
      <c r="A222" s="43"/>
      <c r="B222" s="43"/>
      <c r="C222" s="43"/>
      <c r="D222" s="43"/>
      <c r="E222" s="40"/>
      <c r="F222" s="43"/>
      <c r="G222" s="43"/>
      <c r="H222" s="43"/>
      <c r="I222" s="43"/>
      <c r="J222" s="43"/>
      <c r="K222" s="43"/>
      <c r="L222" s="43"/>
      <c r="M222" s="40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</row>
    <row r="223" spans="1:27" x14ac:dyDescent="0.2">
      <c r="B223" s="39"/>
      <c r="E223" s="40"/>
      <c r="G223" s="39"/>
      <c r="M223" s="40"/>
    </row>
    <row r="224" spans="1:27" x14ac:dyDescent="0.2">
      <c r="E224" s="40"/>
      <c r="M224" s="40"/>
    </row>
    <row r="225" spans="2:13" x14ac:dyDescent="0.2">
      <c r="B225" s="41"/>
      <c r="E225" s="40"/>
      <c r="M225" s="40"/>
    </row>
    <row r="226" spans="2:13" x14ac:dyDescent="0.2">
      <c r="B226" s="41"/>
      <c r="E226" s="40"/>
      <c r="G226" s="41"/>
      <c r="M226" s="40"/>
    </row>
    <row r="227" spans="2:13" x14ac:dyDescent="0.2">
      <c r="B227" s="41"/>
      <c r="E227" s="40"/>
      <c r="G227" s="41"/>
      <c r="M227" s="40"/>
    </row>
    <row r="228" spans="2:13" x14ac:dyDescent="0.2">
      <c r="B228" s="41"/>
      <c r="E228" s="40"/>
      <c r="G228" s="41"/>
      <c r="M228" s="40"/>
    </row>
    <row r="229" spans="2:13" x14ac:dyDescent="0.2">
      <c r="B229" s="41"/>
      <c r="E229" s="40"/>
      <c r="G229" s="41"/>
      <c r="J229" s="42"/>
      <c r="M229" s="40"/>
    </row>
    <row r="230" spans="2:13" x14ac:dyDescent="0.2">
      <c r="B230" s="41"/>
      <c r="E230" s="40"/>
      <c r="G230" s="41"/>
      <c r="M230" s="40"/>
    </row>
    <row r="231" spans="2:13" x14ac:dyDescent="0.2">
      <c r="B231" s="41"/>
      <c r="E231" s="40"/>
      <c r="G231" s="41"/>
      <c r="M231" s="40"/>
    </row>
    <row r="232" spans="2:13" x14ac:dyDescent="0.2">
      <c r="B232" s="41"/>
      <c r="E232" s="40"/>
      <c r="G232" s="41"/>
      <c r="M232" s="40"/>
    </row>
    <row r="233" spans="2:13" x14ac:dyDescent="0.2">
      <c r="B233" s="41"/>
      <c r="E233" s="40"/>
      <c r="G233" s="41"/>
      <c r="M233" s="40"/>
    </row>
    <row r="234" spans="2:13" x14ac:dyDescent="0.2">
      <c r="E234" s="40"/>
      <c r="G234" s="41"/>
      <c r="M234" s="40"/>
    </row>
    <row r="235" spans="2:13" x14ac:dyDescent="0.2">
      <c r="E235" s="40"/>
      <c r="M235" s="40"/>
    </row>
    <row r="236" spans="2:13" x14ac:dyDescent="0.2">
      <c r="E236" s="40"/>
      <c r="M236" s="40"/>
    </row>
    <row r="237" spans="2:13" x14ac:dyDescent="0.2">
      <c r="E237" s="40"/>
      <c r="M237" s="40"/>
    </row>
    <row r="238" spans="2:13" x14ac:dyDescent="0.2">
      <c r="E238" s="40"/>
      <c r="G238" s="38" t="s">
        <v>171</v>
      </c>
      <c r="H238" s="38"/>
      <c r="I238" s="38" t="s">
        <v>174</v>
      </c>
      <c r="M238" s="40"/>
    </row>
    <row r="239" spans="2:13" x14ac:dyDescent="0.2">
      <c r="E239" s="40"/>
      <c r="G239" s="38" t="s">
        <v>160</v>
      </c>
      <c r="H239" s="38">
        <f>H236+H237</f>
        <v>0</v>
      </c>
      <c r="M239" s="40"/>
    </row>
    <row r="240" spans="2:13" x14ac:dyDescent="0.2">
      <c r="E240" s="40"/>
      <c r="M240" s="40"/>
    </row>
    <row r="241" spans="5:13" x14ac:dyDescent="0.2">
      <c r="E241" s="40"/>
      <c r="M241" s="40"/>
    </row>
    <row r="242" spans="5:13" x14ac:dyDescent="0.2">
      <c r="E242" s="40"/>
      <c r="M242" s="40"/>
    </row>
    <row r="243" spans="5:13" x14ac:dyDescent="0.2">
      <c r="E243" s="40"/>
      <c r="M243" s="40"/>
    </row>
    <row r="244" spans="5:13" x14ac:dyDescent="0.2">
      <c r="E244" s="40"/>
      <c r="M244" s="40"/>
    </row>
    <row r="245" spans="5:13" x14ac:dyDescent="0.2">
      <c r="E245" s="40"/>
      <c r="M245" s="40"/>
    </row>
    <row r="246" spans="5:13" x14ac:dyDescent="0.2">
      <c r="E246" s="40"/>
      <c r="M246" s="40"/>
    </row>
    <row r="247" spans="5:13" x14ac:dyDescent="0.2">
      <c r="E247" s="40"/>
      <c r="M247" s="40"/>
    </row>
    <row r="248" spans="5:13" x14ac:dyDescent="0.2">
      <c r="E248" s="40"/>
      <c r="M248" s="40"/>
    </row>
    <row r="249" spans="5:13" x14ac:dyDescent="0.2">
      <c r="E249" s="40"/>
      <c r="M249" s="40"/>
    </row>
    <row r="250" spans="5:13" x14ac:dyDescent="0.2">
      <c r="E250" s="40"/>
      <c r="M250" s="40"/>
    </row>
    <row r="251" spans="5:13" x14ac:dyDescent="0.2">
      <c r="E251" s="40"/>
      <c r="M251" s="40"/>
    </row>
    <row r="252" spans="5:13" x14ac:dyDescent="0.2">
      <c r="E252" s="40"/>
      <c r="M252" s="40"/>
    </row>
    <row r="253" spans="5:13" x14ac:dyDescent="0.2">
      <c r="E253" s="40"/>
      <c r="M253" s="40"/>
    </row>
    <row r="254" spans="5:13" x14ac:dyDescent="0.2">
      <c r="E254" s="40"/>
      <c r="M254" s="40"/>
    </row>
    <row r="255" spans="5:13" x14ac:dyDescent="0.2">
      <c r="E255" s="40"/>
      <c r="M255" s="40"/>
    </row>
    <row r="256" spans="5:13" x14ac:dyDescent="0.2">
      <c r="E256" s="40"/>
      <c r="M256" s="40"/>
    </row>
    <row r="257" spans="5:13" x14ac:dyDescent="0.2">
      <c r="E257" s="40"/>
      <c r="M257" s="40"/>
    </row>
    <row r="258" spans="5:13" x14ac:dyDescent="0.2">
      <c r="E258" s="40"/>
      <c r="M258" s="40"/>
    </row>
    <row r="259" spans="5:13" x14ac:dyDescent="0.2">
      <c r="E259" s="40"/>
      <c r="M259" s="40"/>
    </row>
    <row r="260" spans="5:13" x14ac:dyDescent="0.2">
      <c r="E260" s="40"/>
      <c r="M260" s="40"/>
    </row>
    <row r="261" spans="5:13" x14ac:dyDescent="0.2">
      <c r="E261" s="40"/>
      <c r="M261" s="40"/>
    </row>
    <row r="262" spans="5:13" x14ac:dyDescent="0.2">
      <c r="E262" s="40"/>
      <c r="M262" s="40"/>
    </row>
    <row r="263" spans="5:13" x14ac:dyDescent="0.2">
      <c r="E263" s="40"/>
      <c r="M263" s="40"/>
    </row>
    <row r="264" spans="5:13" x14ac:dyDescent="0.2">
      <c r="E264" s="40"/>
      <c r="M264" s="40"/>
    </row>
    <row r="265" spans="5:13" x14ac:dyDescent="0.2">
      <c r="E265" s="40"/>
      <c r="M265" s="40"/>
    </row>
    <row r="266" spans="5:13" x14ac:dyDescent="0.2">
      <c r="E266" s="40"/>
      <c r="M266" s="40"/>
    </row>
    <row r="267" spans="5:13" x14ac:dyDescent="0.2">
      <c r="E267" s="40"/>
      <c r="M267" s="40"/>
    </row>
    <row r="268" spans="5:13" x14ac:dyDescent="0.2">
      <c r="E268" s="40"/>
      <c r="M268" s="40"/>
    </row>
    <row r="269" spans="5:13" x14ac:dyDescent="0.2">
      <c r="E269" s="40"/>
      <c r="M269" s="40"/>
    </row>
    <row r="270" spans="5:13" x14ac:dyDescent="0.2">
      <c r="E270" s="40"/>
      <c r="M270" s="40"/>
    </row>
    <row r="271" spans="5:13" x14ac:dyDescent="0.2">
      <c r="E271" s="40"/>
      <c r="M271" s="40"/>
    </row>
    <row r="272" spans="5:13" x14ac:dyDescent="0.2">
      <c r="E272" s="40"/>
      <c r="M272" s="40"/>
    </row>
    <row r="273" spans="5:13" x14ac:dyDescent="0.2">
      <c r="E273" s="40"/>
      <c r="M273" s="40"/>
    </row>
    <row r="274" spans="5:13" x14ac:dyDescent="0.2">
      <c r="E274" s="40"/>
      <c r="M274" s="40"/>
    </row>
    <row r="275" spans="5:13" x14ac:dyDescent="0.2">
      <c r="E275" s="40"/>
      <c r="M275" s="40"/>
    </row>
    <row r="276" spans="5:13" x14ac:dyDescent="0.2">
      <c r="E276" s="40"/>
      <c r="M276" s="40"/>
    </row>
    <row r="277" spans="5:13" x14ac:dyDescent="0.2">
      <c r="E277" s="40"/>
      <c r="M277" s="40"/>
    </row>
    <row r="278" spans="5:13" x14ac:dyDescent="0.2">
      <c r="E278" s="40"/>
      <c r="M278" s="40"/>
    </row>
    <row r="279" spans="5:13" x14ac:dyDescent="0.2">
      <c r="E279" s="40"/>
      <c r="M279" s="40"/>
    </row>
    <row r="280" spans="5:13" x14ac:dyDescent="0.2">
      <c r="E280" s="40"/>
      <c r="M280" s="40"/>
    </row>
    <row r="281" spans="5:13" x14ac:dyDescent="0.2">
      <c r="E281" s="40"/>
      <c r="M281" s="40"/>
    </row>
    <row r="282" spans="5:13" x14ac:dyDescent="0.2">
      <c r="E282" s="40"/>
      <c r="M282" s="40"/>
    </row>
    <row r="283" spans="5:13" x14ac:dyDescent="0.2">
      <c r="E283" s="40"/>
      <c r="M283" s="40"/>
    </row>
    <row r="284" spans="5:13" x14ac:dyDescent="0.2">
      <c r="E284" s="40"/>
      <c r="M284" s="40"/>
    </row>
    <row r="285" spans="5:13" x14ac:dyDescent="0.2">
      <c r="E285" s="40"/>
      <c r="M285" s="40"/>
    </row>
    <row r="286" spans="5:13" x14ac:dyDescent="0.2">
      <c r="E286" s="40"/>
      <c r="M286" s="40"/>
    </row>
    <row r="287" spans="5:13" x14ac:dyDescent="0.2">
      <c r="E287" s="40"/>
      <c r="M287" s="40"/>
    </row>
    <row r="288" spans="5:13" x14ac:dyDescent="0.2">
      <c r="E288" s="40"/>
      <c r="M288" s="40"/>
    </row>
    <row r="289" spans="5:13" x14ac:dyDescent="0.2">
      <c r="E289" s="40"/>
      <c r="M289" s="40"/>
    </row>
    <row r="290" spans="5:13" x14ac:dyDescent="0.2">
      <c r="E290" s="40"/>
      <c r="M290" s="40"/>
    </row>
    <row r="291" spans="5:13" x14ac:dyDescent="0.2">
      <c r="E291" s="40"/>
      <c r="M291" s="40"/>
    </row>
    <row r="292" spans="5:13" x14ac:dyDescent="0.2">
      <c r="E292" s="40"/>
      <c r="M292" s="40"/>
    </row>
    <row r="293" spans="5:13" x14ac:dyDescent="0.2">
      <c r="E293" s="40"/>
      <c r="M293" s="40"/>
    </row>
    <row r="294" spans="5:13" x14ac:dyDescent="0.2">
      <c r="E294" s="40"/>
      <c r="M294" s="40"/>
    </row>
    <row r="295" spans="5:13" x14ac:dyDescent="0.2">
      <c r="E295" s="40"/>
      <c r="M295" s="40"/>
    </row>
    <row r="296" spans="5:13" x14ac:dyDescent="0.2">
      <c r="E296" s="40"/>
      <c r="M296" s="40"/>
    </row>
    <row r="297" spans="5:13" x14ac:dyDescent="0.2">
      <c r="E297" s="40"/>
      <c r="M297" s="40"/>
    </row>
    <row r="298" spans="5:13" x14ac:dyDescent="0.2">
      <c r="E298" s="40"/>
      <c r="M298" s="40"/>
    </row>
    <row r="299" spans="5:13" x14ac:dyDescent="0.2">
      <c r="E299" s="40"/>
      <c r="M299" s="40"/>
    </row>
    <row r="300" spans="5:13" x14ac:dyDescent="0.2">
      <c r="E300" s="40"/>
      <c r="M300" s="40"/>
    </row>
    <row r="301" spans="5:13" x14ac:dyDescent="0.2">
      <c r="E301" s="40"/>
      <c r="M301" s="40"/>
    </row>
    <row r="302" spans="5:13" x14ac:dyDescent="0.2">
      <c r="E302" s="40"/>
      <c r="M302" s="40"/>
    </row>
    <row r="303" spans="5:13" x14ac:dyDescent="0.2">
      <c r="E303" s="40"/>
      <c r="M303" s="40"/>
    </row>
    <row r="304" spans="5:13" x14ac:dyDescent="0.2">
      <c r="E304" s="40"/>
      <c r="M304" s="40"/>
    </row>
    <row r="305" spans="5:13" x14ac:dyDescent="0.2">
      <c r="E305" s="40"/>
      <c r="M305" s="40"/>
    </row>
    <row r="306" spans="5:13" x14ac:dyDescent="0.2">
      <c r="E306" s="40"/>
      <c r="M306" s="40"/>
    </row>
    <row r="307" spans="5:13" x14ac:dyDescent="0.2">
      <c r="E307" s="40"/>
      <c r="M307" s="40"/>
    </row>
    <row r="308" spans="5:13" x14ac:dyDescent="0.2">
      <c r="E308" s="40"/>
      <c r="M308" s="40"/>
    </row>
    <row r="309" spans="5:13" x14ac:dyDescent="0.2">
      <c r="E309" s="40"/>
      <c r="M309" s="40"/>
    </row>
    <row r="310" spans="5:13" x14ac:dyDescent="0.2">
      <c r="E310" s="40"/>
      <c r="M310" s="40"/>
    </row>
    <row r="311" spans="5:13" x14ac:dyDescent="0.2">
      <c r="E311" s="40"/>
      <c r="M311" s="40"/>
    </row>
    <row r="312" spans="5:13" x14ac:dyDescent="0.2">
      <c r="E312" s="40"/>
      <c r="M312" s="40"/>
    </row>
    <row r="313" spans="5:13" x14ac:dyDescent="0.2">
      <c r="E313" s="40"/>
      <c r="M313" s="40"/>
    </row>
    <row r="314" spans="5:13" x14ac:dyDescent="0.2">
      <c r="E314" s="40"/>
      <c r="M314" s="40"/>
    </row>
    <row r="315" spans="5:13" x14ac:dyDescent="0.2">
      <c r="E315" s="40"/>
      <c r="M315" s="40"/>
    </row>
    <row r="316" spans="5:13" x14ac:dyDescent="0.2">
      <c r="E316" s="40"/>
      <c r="M316" s="40"/>
    </row>
    <row r="317" spans="5:13" x14ac:dyDescent="0.2">
      <c r="E317" s="40"/>
      <c r="M317" s="40"/>
    </row>
    <row r="318" spans="5:13" x14ac:dyDescent="0.2">
      <c r="E318" s="40"/>
      <c r="M318" s="40"/>
    </row>
    <row r="319" spans="5:13" x14ac:dyDescent="0.2">
      <c r="E319" s="40"/>
      <c r="M319" s="40"/>
    </row>
    <row r="320" spans="5:13" x14ac:dyDescent="0.2">
      <c r="E320" s="40"/>
      <c r="M320" s="40"/>
    </row>
    <row r="321" spans="5:13" x14ac:dyDescent="0.2">
      <c r="E321" s="40"/>
      <c r="M321" s="40"/>
    </row>
    <row r="322" spans="5:13" x14ac:dyDescent="0.2">
      <c r="E322" s="40"/>
      <c r="M322" s="40"/>
    </row>
    <row r="323" spans="5:13" x14ac:dyDescent="0.2">
      <c r="E323" s="40"/>
      <c r="M323" s="40"/>
    </row>
    <row r="324" spans="5:13" x14ac:dyDescent="0.2">
      <c r="E324" s="40"/>
      <c r="M324" s="40"/>
    </row>
    <row r="325" spans="5:13" x14ac:dyDescent="0.2">
      <c r="E325" s="40"/>
      <c r="M325" s="40"/>
    </row>
    <row r="326" spans="5:13" x14ac:dyDescent="0.2">
      <c r="E326" s="40"/>
      <c r="M326" s="40"/>
    </row>
    <row r="327" spans="5:13" x14ac:dyDescent="0.2">
      <c r="E327" s="40"/>
      <c r="M327" s="40"/>
    </row>
    <row r="328" spans="5:13" x14ac:dyDescent="0.2">
      <c r="E328" s="40"/>
      <c r="M328" s="40"/>
    </row>
    <row r="329" spans="5:13" x14ac:dyDescent="0.2">
      <c r="E329" s="40"/>
      <c r="M329" s="40"/>
    </row>
    <row r="330" spans="5:13" x14ac:dyDescent="0.2">
      <c r="E330" s="40"/>
      <c r="M330" s="40"/>
    </row>
    <row r="331" spans="5:13" x14ac:dyDescent="0.2">
      <c r="E331" s="40"/>
      <c r="M331" s="40"/>
    </row>
    <row r="332" spans="5:13" x14ac:dyDescent="0.2">
      <c r="E332" s="40"/>
      <c r="M332" s="40"/>
    </row>
    <row r="333" spans="5:13" x14ac:dyDescent="0.2">
      <c r="E333" s="40"/>
      <c r="M333" s="40"/>
    </row>
    <row r="334" spans="5:13" x14ac:dyDescent="0.2">
      <c r="E334" s="40"/>
      <c r="M334" s="40"/>
    </row>
    <row r="335" spans="5:13" x14ac:dyDescent="0.2">
      <c r="E335" s="40"/>
      <c r="M335" s="40"/>
    </row>
    <row r="336" spans="5:13" x14ac:dyDescent="0.2">
      <c r="E336" s="40"/>
      <c r="M336" s="40"/>
    </row>
    <row r="337" spans="5:13" x14ac:dyDescent="0.2">
      <c r="E337" s="40"/>
      <c r="M337" s="40"/>
    </row>
    <row r="338" spans="5:13" x14ac:dyDescent="0.2">
      <c r="E338" s="40"/>
      <c r="M338" s="40"/>
    </row>
    <row r="339" spans="5:13" x14ac:dyDescent="0.2">
      <c r="E339" s="40"/>
      <c r="M339" s="40"/>
    </row>
    <row r="340" spans="5:13" x14ac:dyDescent="0.2">
      <c r="E340" s="40"/>
      <c r="M340" s="40"/>
    </row>
    <row r="341" spans="5:13" x14ac:dyDescent="0.2">
      <c r="E341" s="40"/>
      <c r="M341" s="40"/>
    </row>
    <row r="342" spans="5:13" x14ac:dyDescent="0.2">
      <c r="E342" s="40"/>
      <c r="M342" s="40"/>
    </row>
    <row r="343" spans="5:13" x14ac:dyDescent="0.2">
      <c r="E343" s="40"/>
      <c r="M343" s="40"/>
    </row>
    <row r="344" spans="5:13" x14ac:dyDescent="0.2">
      <c r="E344" s="40"/>
      <c r="M344" s="40"/>
    </row>
    <row r="345" spans="5:13" x14ac:dyDescent="0.2">
      <c r="E345" s="40"/>
      <c r="M345" s="40"/>
    </row>
    <row r="346" spans="5:13" x14ac:dyDescent="0.2">
      <c r="E346" s="40"/>
      <c r="M346" s="40"/>
    </row>
    <row r="347" spans="5:13" x14ac:dyDescent="0.2">
      <c r="E347" s="40"/>
      <c r="M347" s="40"/>
    </row>
    <row r="348" spans="5:13" x14ac:dyDescent="0.2">
      <c r="E348" s="40"/>
      <c r="M348" s="40"/>
    </row>
    <row r="349" spans="5:13" x14ac:dyDescent="0.2">
      <c r="E349" s="40"/>
      <c r="M349" s="40"/>
    </row>
    <row r="350" spans="5:13" x14ac:dyDescent="0.2">
      <c r="E350" s="40"/>
      <c r="M350" s="40"/>
    </row>
    <row r="351" spans="5:13" x14ac:dyDescent="0.2">
      <c r="E351" s="40"/>
      <c r="M351" s="40"/>
    </row>
    <row r="352" spans="5:13" x14ac:dyDescent="0.2">
      <c r="E352" s="40"/>
      <c r="M352" s="40"/>
    </row>
    <row r="353" spans="5:13" x14ac:dyDescent="0.2">
      <c r="E353" s="40"/>
      <c r="M353" s="40"/>
    </row>
    <row r="354" spans="5:13" x14ac:dyDescent="0.2">
      <c r="E354" s="40"/>
      <c r="M354" s="40"/>
    </row>
    <row r="355" spans="5:13" x14ac:dyDescent="0.2">
      <c r="E355" s="40"/>
      <c r="M355" s="40"/>
    </row>
    <row r="356" spans="5:13" x14ac:dyDescent="0.2">
      <c r="E356" s="40"/>
      <c r="M356" s="40"/>
    </row>
    <row r="357" spans="5:13" x14ac:dyDescent="0.2">
      <c r="E357" s="40"/>
      <c r="M357" s="40"/>
    </row>
    <row r="358" spans="5:13" x14ac:dyDescent="0.2">
      <c r="E358" s="40"/>
      <c r="M358" s="40"/>
    </row>
    <row r="359" spans="5:13" x14ac:dyDescent="0.2">
      <c r="E359" s="40"/>
      <c r="M359" s="40"/>
    </row>
    <row r="360" spans="5:13" x14ac:dyDescent="0.2">
      <c r="E360" s="40"/>
      <c r="M360" s="40"/>
    </row>
    <row r="361" spans="5:13" x14ac:dyDescent="0.2">
      <c r="E361" s="40"/>
      <c r="M361" s="40"/>
    </row>
    <row r="362" spans="5:13" x14ac:dyDescent="0.2">
      <c r="E362" s="40"/>
      <c r="M362" s="40"/>
    </row>
    <row r="363" spans="5:13" x14ac:dyDescent="0.2">
      <c r="E363" s="40"/>
      <c r="M363" s="40"/>
    </row>
    <row r="364" spans="5:13" x14ac:dyDescent="0.2">
      <c r="E364" s="40"/>
      <c r="M364" s="40"/>
    </row>
    <row r="365" spans="5:13" x14ac:dyDescent="0.2">
      <c r="E365" s="40"/>
      <c r="M365" s="40"/>
    </row>
    <row r="366" spans="5:13" x14ac:dyDescent="0.2">
      <c r="E366" s="40"/>
      <c r="M366" s="40"/>
    </row>
    <row r="367" spans="5:13" x14ac:dyDescent="0.2">
      <c r="E367" s="40"/>
      <c r="M367" s="40"/>
    </row>
    <row r="368" spans="5:13" x14ac:dyDescent="0.2">
      <c r="E368" s="40"/>
      <c r="M368" s="40"/>
    </row>
    <row r="369" spans="5:13" x14ac:dyDescent="0.2">
      <c r="E369" s="40"/>
      <c r="M369" s="40"/>
    </row>
    <row r="370" spans="5:13" x14ac:dyDescent="0.2">
      <c r="E370" s="40"/>
      <c r="M370" s="40"/>
    </row>
    <row r="371" spans="5:13" x14ac:dyDescent="0.2">
      <c r="E371" s="40"/>
      <c r="M371" s="40"/>
    </row>
    <row r="372" spans="5:13" x14ac:dyDescent="0.2">
      <c r="E372" s="40"/>
      <c r="M372" s="40"/>
    </row>
    <row r="373" spans="5:13" x14ac:dyDescent="0.2">
      <c r="E373" s="40"/>
      <c r="M373" s="40"/>
    </row>
    <row r="374" spans="5:13" x14ac:dyDescent="0.2">
      <c r="E374" s="40"/>
      <c r="M374" s="40"/>
    </row>
    <row r="375" spans="5:13" x14ac:dyDescent="0.2">
      <c r="E375" s="40"/>
      <c r="M375" s="40"/>
    </row>
    <row r="376" spans="5:13" x14ac:dyDescent="0.2">
      <c r="E376" s="40"/>
      <c r="M376" s="40"/>
    </row>
    <row r="377" spans="5:13" x14ac:dyDescent="0.2">
      <c r="E377" s="40"/>
      <c r="M377" s="40"/>
    </row>
    <row r="378" spans="5:13" x14ac:dyDescent="0.2">
      <c r="E378" s="40"/>
      <c r="M378" s="40"/>
    </row>
    <row r="379" spans="5:13" x14ac:dyDescent="0.2">
      <c r="E379" s="40"/>
      <c r="M379" s="40"/>
    </row>
    <row r="380" spans="5:13" x14ac:dyDescent="0.2">
      <c r="E380" s="40"/>
      <c r="M380" s="40"/>
    </row>
    <row r="381" spans="5:13" x14ac:dyDescent="0.2">
      <c r="E381" s="40"/>
      <c r="M381" s="40"/>
    </row>
    <row r="382" spans="5:13" x14ac:dyDescent="0.2">
      <c r="E382" s="40"/>
      <c r="M382" s="40"/>
    </row>
    <row r="383" spans="5:13" x14ac:dyDescent="0.2">
      <c r="E383" s="40"/>
      <c r="M383" s="40"/>
    </row>
    <row r="384" spans="5:13" x14ac:dyDescent="0.2">
      <c r="E384" s="40"/>
      <c r="M384" s="40"/>
    </row>
    <row r="385" spans="5:13" x14ac:dyDescent="0.2">
      <c r="E385" s="40"/>
      <c r="M385" s="40"/>
    </row>
    <row r="386" spans="5:13" x14ac:dyDescent="0.2">
      <c r="E386" s="40"/>
      <c r="M386" s="40"/>
    </row>
    <row r="387" spans="5:13" x14ac:dyDescent="0.2">
      <c r="E387" s="40"/>
      <c r="M387" s="40"/>
    </row>
    <row r="388" spans="5:13" x14ac:dyDescent="0.2">
      <c r="E388" s="40"/>
      <c r="M388" s="40"/>
    </row>
    <row r="389" spans="5:13" x14ac:dyDescent="0.2">
      <c r="E389" s="40"/>
      <c r="M389" s="40"/>
    </row>
    <row r="390" spans="5:13" x14ac:dyDescent="0.2">
      <c r="E390" s="40"/>
      <c r="M390" s="40"/>
    </row>
    <row r="391" spans="5:13" x14ac:dyDescent="0.2">
      <c r="E391" s="40"/>
      <c r="M391" s="40"/>
    </row>
    <row r="392" spans="5:13" x14ac:dyDescent="0.2">
      <c r="E392" s="40"/>
      <c r="M392" s="40"/>
    </row>
    <row r="393" spans="5:13" x14ac:dyDescent="0.2">
      <c r="E393" s="40"/>
      <c r="M393" s="40"/>
    </row>
    <row r="394" spans="5:13" x14ac:dyDescent="0.2">
      <c r="E394" s="40"/>
      <c r="M394" s="40"/>
    </row>
    <row r="395" spans="5:13" x14ac:dyDescent="0.2">
      <c r="E395" s="40"/>
      <c r="M395" s="40"/>
    </row>
    <row r="396" spans="5:13" x14ac:dyDescent="0.2">
      <c r="E396" s="40"/>
      <c r="M396" s="40"/>
    </row>
    <row r="397" spans="5:13" x14ac:dyDescent="0.2">
      <c r="E397" s="40"/>
      <c r="M397" s="40"/>
    </row>
    <row r="398" spans="5:13" x14ac:dyDescent="0.2">
      <c r="E398" s="40"/>
      <c r="M398" s="40"/>
    </row>
    <row r="399" spans="5:13" x14ac:dyDescent="0.2">
      <c r="E399" s="40"/>
      <c r="M399" s="40"/>
    </row>
    <row r="400" spans="5:13" x14ac:dyDescent="0.2">
      <c r="E400" s="40"/>
      <c r="M400" s="40"/>
    </row>
    <row r="401" spans="5:13" x14ac:dyDescent="0.2">
      <c r="E401" s="40"/>
      <c r="M401" s="40"/>
    </row>
    <row r="402" spans="5:13" x14ac:dyDescent="0.2">
      <c r="E402" s="40"/>
      <c r="M402" s="40"/>
    </row>
    <row r="403" spans="5:13" x14ac:dyDescent="0.2">
      <c r="E403" s="40"/>
      <c r="M403" s="40"/>
    </row>
    <row r="404" spans="5:13" x14ac:dyDescent="0.2">
      <c r="E404" s="40"/>
      <c r="M404" s="40"/>
    </row>
    <row r="405" spans="5:13" x14ac:dyDescent="0.2">
      <c r="E405" s="40"/>
      <c r="M405" s="40"/>
    </row>
    <row r="406" spans="5:13" x14ac:dyDescent="0.2">
      <c r="E406" s="40"/>
      <c r="M406" s="40"/>
    </row>
    <row r="407" spans="5:13" x14ac:dyDescent="0.2">
      <c r="E407" s="40"/>
      <c r="M407" s="40"/>
    </row>
    <row r="408" spans="5:13" x14ac:dyDescent="0.2">
      <c r="E408" s="40"/>
      <c r="M408" s="40"/>
    </row>
    <row r="409" spans="5:13" x14ac:dyDescent="0.2">
      <c r="E409" s="40"/>
      <c r="M409" s="40"/>
    </row>
    <row r="410" spans="5:13" x14ac:dyDescent="0.2">
      <c r="E410" s="40"/>
      <c r="M410" s="40"/>
    </row>
    <row r="411" spans="5:13" x14ac:dyDescent="0.2">
      <c r="E411" s="40"/>
      <c r="M411" s="40"/>
    </row>
    <row r="412" spans="5:13" x14ac:dyDescent="0.2">
      <c r="E412" s="40"/>
      <c r="M412" s="40"/>
    </row>
    <row r="413" spans="5:13" x14ac:dyDescent="0.2">
      <c r="E413" s="40"/>
      <c r="M413" s="40"/>
    </row>
    <row r="414" spans="5:13" x14ac:dyDescent="0.2">
      <c r="E414" s="40"/>
      <c r="M414" s="40"/>
    </row>
    <row r="415" spans="5:13" x14ac:dyDescent="0.2">
      <c r="E415" s="40"/>
      <c r="M415" s="40"/>
    </row>
    <row r="416" spans="5:13" x14ac:dyDescent="0.2">
      <c r="E416" s="40"/>
      <c r="M416" s="40"/>
    </row>
    <row r="417" spans="5:13" x14ac:dyDescent="0.2">
      <c r="E417" s="40"/>
      <c r="M417" s="40"/>
    </row>
    <row r="418" spans="5:13" x14ac:dyDescent="0.2">
      <c r="E418" s="40"/>
      <c r="M418" s="40"/>
    </row>
    <row r="419" spans="5:13" x14ac:dyDescent="0.2">
      <c r="E419" s="40"/>
      <c r="M419" s="40"/>
    </row>
    <row r="420" spans="5:13" x14ac:dyDescent="0.2">
      <c r="E420" s="40"/>
      <c r="M420" s="40"/>
    </row>
    <row r="421" spans="5:13" x14ac:dyDescent="0.2">
      <c r="E421" s="40"/>
      <c r="M421" s="40"/>
    </row>
    <row r="422" spans="5:13" x14ac:dyDescent="0.2">
      <c r="E422" s="40"/>
      <c r="M422" s="40"/>
    </row>
    <row r="423" spans="5:13" x14ac:dyDescent="0.2">
      <c r="E423" s="40"/>
      <c r="M423" s="40"/>
    </row>
    <row r="424" spans="5:13" x14ac:dyDescent="0.2">
      <c r="E424" s="40"/>
      <c r="M424" s="40"/>
    </row>
    <row r="425" spans="5:13" x14ac:dyDescent="0.2">
      <c r="E425" s="40"/>
      <c r="M425" s="40"/>
    </row>
    <row r="426" spans="5:13" x14ac:dyDescent="0.2">
      <c r="E426" s="40"/>
      <c r="M426" s="40"/>
    </row>
    <row r="427" spans="5:13" x14ac:dyDescent="0.2">
      <c r="E427" s="40"/>
      <c r="M427" s="40"/>
    </row>
    <row r="428" spans="5:13" x14ac:dyDescent="0.2">
      <c r="E428" s="40"/>
      <c r="M428" s="40"/>
    </row>
    <row r="429" spans="5:13" x14ac:dyDescent="0.2">
      <c r="E429" s="40"/>
      <c r="M429" s="40"/>
    </row>
    <row r="430" spans="5:13" x14ac:dyDescent="0.2">
      <c r="E430" s="40"/>
      <c r="M430" s="40"/>
    </row>
    <row r="431" spans="5:13" x14ac:dyDescent="0.2">
      <c r="E431" s="40"/>
      <c r="M431" s="40"/>
    </row>
    <row r="432" spans="5:13" x14ac:dyDescent="0.2">
      <c r="E432" s="40"/>
      <c r="M432" s="40"/>
    </row>
    <row r="433" spans="5:13" x14ac:dyDescent="0.2">
      <c r="E433" s="40"/>
      <c r="M433" s="40"/>
    </row>
    <row r="434" spans="5:13" x14ac:dyDescent="0.2">
      <c r="E434" s="40"/>
      <c r="M434" s="40"/>
    </row>
    <row r="435" spans="5:13" x14ac:dyDescent="0.2">
      <c r="E435" s="40"/>
      <c r="M435" s="40"/>
    </row>
    <row r="436" spans="5:13" x14ac:dyDescent="0.2">
      <c r="E436" s="40"/>
      <c r="M436" s="40"/>
    </row>
    <row r="437" spans="5:13" x14ac:dyDescent="0.2">
      <c r="E437" s="40"/>
      <c r="M437" s="40"/>
    </row>
    <row r="438" spans="5:13" x14ac:dyDescent="0.2">
      <c r="E438" s="40"/>
      <c r="M438" s="40"/>
    </row>
    <row r="439" spans="5:13" x14ac:dyDescent="0.2">
      <c r="E439" s="40"/>
      <c r="M439" s="40"/>
    </row>
    <row r="440" spans="5:13" x14ac:dyDescent="0.2">
      <c r="E440" s="40"/>
      <c r="M440" s="40"/>
    </row>
    <row r="441" spans="5:13" x14ac:dyDescent="0.2">
      <c r="E441" s="40"/>
      <c r="M441" s="40"/>
    </row>
    <row r="442" spans="5:13" x14ac:dyDescent="0.2">
      <c r="E442" s="40"/>
      <c r="M442" s="40"/>
    </row>
    <row r="443" spans="5:13" x14ac:dyDescent="0.2">
      <c r="E443" s="40"/>
      <c r="M443" s="40"/>
    </row>
    <row r="444" spans="5:13" x14ac:dyDescent="0.2">
      <c r="E444" s="40"/>
      <c r="M444" s="40"/>
    </row>
    <row r="445" spans="5:13" x14ac:dyDescent="0.2">
      <c r="E445" s="40"/>
      <c r="M445" s="40"/>
    </row>
    <row r="446" spans="5:13" x14ac:dyDescent="0.2">
      <c r="E446" s="40"/>
      <c r="M446" s="40"/>
    </row>
    <row r="447" spans="5:13" x14ac:dyDescent="0.2">
      <c r="E447" s="40"/>
      <c r="M447" s="40"/>
    </row>
    <row r="448" spans="5:13" x14ac:dyDescent="0.2">
      <c r="E448" s="40"/>
      <c r="M448" s="40"/>
    </row>
    <row r="449" spans="5:13" x14ac:dyDescent="0.2">
      <c r="E449" s="40"/>
      <c r="M449" s="40"/>
    </row>
    <row r="450" spans="5:13" x14ac:dyDescent="0.2">
      <c r="E450" s="40"/>
      <c r="M450" s="40"/>
    </row>
    <row r="451" spans="5:13" x14ac:dyDescent="0.2">
      <c r="E451" s="40"/>
      <c r="M451" s="40"/>
    </row>
    <row r="452" spans="5:13" x14ac:dyDescent="0.2">
      <c r="E452" s="40"/>
      <c r="M452" s="40"/>
    </row>
    <row r="453" spans="5:13" x14ac:dyDescent="0.2">
      <c r="E453" s="40"/>
      <c r="M453" s="40"/>
    </row>
    <row r="454" spans="5:13" x14ac:dyDescent="0.2">
      <c r="E454" s="40"/>
      <c r="M454" s="40"/>
    </row>
    <row r="455" spans="5:13" x14ac:dyDescent="0.2">
      <c r="E455" s="40"/>
      <c r="M455" s="40"/>
    </row>
    <row r="456" spans="5:13" x14ac:dyDescent="0.2">
      <c r="E456" s="40"/>
      <c r="M456" s="40"/>
    </row>
    <row r="457" spans="5:13" x14ac:dyDescent="0.2">
      <c r="E457" s="40"/>
      <c r="M457" s="40"/>
    </row>
    <row r="458" spans="5:13" x14ac:dyDescent="0.2">
      <c r="E458" s="40"/>
      <c r="M458" s="40"/>
    </row>
    <row r="459" spans="5:13" x14ac:dyDescent="0.2">
      <c r="E459" s="40"/>
      <c r="M459" s="40"/>
    </row>
    <row r="460" spans="5:13" x14ac:dyDescent="0.2">
      <c r="E460" s="40"/>
      <c r="M460" s="40"/>
    </row>
    <row r="461" spans="5:13" x14ac:dyDescent="0.2">
      <c r="E461" s="40"/>
      <c r="M461" s="40"/>
    </row>
    <row r="462" spans="5:13" x14ac:dyDescent="0.2">
      <c r="E462" s="40"/>
      <c r="M462" s="40"/>
    </row>
    <row r="463" spans="5:13" x14ac:dyDescent="0.2">
      <c r="E463" s="40"/>
      <c r="M463" s="40"/>
    </row>
    <row r="464" spans="5:13" x14ac:dyDescent="0.2">
      <c r="E464" s="40"/>
      <c r="M464" s="40"/>
    </row>
    <row r="465" spans="5:13" x14ac:dyDescent="0.2">
      <c r="E465" s="40"/>
      <c r="M465" s="40"/>
    </row>
    <row r="466" spans="5:13" x14ac:dyDescent="0.2">
      <c r="E466" s="40"/>
      <c r="M466" s="40"/>
    </row>
    <row r="467" spans="5:13" x14ac:dyDescent="0.2">
      <c r="E467" s="40"/>
      <c r="M467" s="40"/>
    </row>
    <row r="468" spans="5:13" x14ac:dyDescent="0.2">
      <c r="E468" s="40"/>
      <c r="M468" s="40"/>
    </row>
    <row r="469" spans="5:13" x14ac:dyDescent="0.2">
      <c r="E469" s="40"/>
      <c r="M469" s="40"/>
    </row>
    <row r="470" spans="5:13" x14ac:dyDescent="0.2">
      <c r="E470" s="40"/>
      <c r="M470" s="40"/>
    </row>
    <row r="471" spans="5:13" x14ac:dyDescent="0.2">
      <c r="E471" s="40"/>
      <c r="M471" s="40"/>
    </row>
    <row r="472" spans="5:13" x14ac:dyDescent="0.2">
      <c r="E472" s="40"/>
      <c r="M472" s="40"/>
    </row>
    <row r="473" spans="5:13" x14ac:dyDescent="0.2">
      <c r="E473" s="40"/>
      <c r="M473" s="40"/>
    </row>
    <row r="474" spans="5:13" x14ac:dyDescent="0.2">
      <c r="E474" s="40"/>
      <c r="M474" s="40"/>
    </row>
    <row r="475" spans="5:13" x14ac:dyDescent="0.2">
      <c r="E475" s="40"/>
      <c r="M475" s="40"/>
    </row>
    <row r="476" spans="5:13" x14ac:dyDescent="0.2">
      <c r="E476" s="40"/>
      <c r="M476" s="40"/>
    </row>
    <row r="477" spans="5:13" x14ac:dyDescent="0.2">
      <c r="E477" s="40"/>
      <c r="M477" s="40"/>
    </row>
    <row r="478" spans="5:13" x14ac:dyDescent="0.2">
      <c r="E478" s="40"/>
      <c r="M478" s="40"/>
    </row>
    <row r="479" spans="5:13" x14ac:dyDescent="0.2">
      <c r="E479" s="40"/>
      <c r="M479" s="40"/>
    </row>
    <row r="480" spans="5:13" x14ac:dyDescent="0.2">
      <c r="E480" s="40"/>
      <c r="M480" s="40"/>
    </row>
    <row r="481" spans="5:13" x14ac:dyDescent="0.2">
      <c r="E481" s="40"/>
      <c r="M481" s="40"/>
    </row>
    <row r="482" spans="5:13" x14ac:dyDescent="0.2">
      <c r="E482" s="40"/>
      <c r="M482" s="40"/>
    </row>
    <row r="483" spans="5:13" x14ac:dyDescent="0.2">
      <c r="E483" s="40"/>
      <c r="M483" s="40"/>
    </row>
    <row r="484" spans="5:13" x14ac:dyDescent="0.2">
      <c r="E484" s="40"/>
      <c r="M484" s="40"/>
    </row>
    <row r="485" spans="5:13" x14ac:dyDescent="0.2">
      <c r="E485" s="40"/>
      <c r="M485" s="40"/>
    </row>
    <row r="486" spans="5:13" x14ac:dyDescent="0.2">
      <c r="E486" s="40"/>
      <c r="M486" s="40"/>
    </row>
    <row r="487" spans="5:13" x14ac:dyDescent="0.2">
      <c r="E487" s="40"/>
      <c r="M487" s="40"/>
    </row>
    <row r="488" spans="5:13" x14ac:dyDescent="0.2">
      <c r="E488" s="40"/>
      <c r="M488" s="40"/>
    </row>
    <row r="489" spans="5:13" x14ac:dyDescent="0.2">
      <c r="E489" s="40"/>
      <c r="M489" s="40"/>
    </row>
    <row r="490" spans="5:13" x14ac:dyDescent="0.2">
      <c r="E490" s="40"/>
      <c r="M490" s="40"/>
    </row>
    <row r="491" spans="5:13" x14ac:dyDescent="0.2">
      <c r="E491" s="40"/>
      <c r="M491" s="40"/>
    </row>
    <row r="492" spans="5:13" x14ac:dyDescent="0.2">
      <c r="E492" s="40"/>
      <c r="M492" s="40"/>
    </row>
    <row r="493" spans="5:13" x14ac:dyDescent="0.2">
      <c r="E493" s="40"/>
      <c r="M493" s="40"/>
    </row>
    <row r="494" spans="5:13" x14ac:dyDescent="0.2">
      <c r="E494" s="40"/>
      <c r="M494" s="40"/>
    </row>
    <row r="495" spans="5:13" x14ac:dyDescent="0.2">
      <c r="E495" s="40"/>
      <c r="M495" s="40"/>
    </row>
    <row r="496" spans="5:13" x14ac:dyDescent="0.2">
      <c r="E496" s="40"/>
      <c r="M496" s="40"/>
    </row>
    <row r="497" spans="5:13" x14ac:dyDescent="0.2">
      <c r="E497" s="40"/>
      <c r="M497" s="40"/>
    </row>
    <row r="498" spans="5:13" x14ac:dyDescent="0.2">
      <c r="E498" s="40"/>
      <c r="M498" s="40"/>
    </row>
    <row r="499" spans="5:13" x14ac:dyDescent="0.2">
      <c r="E499" s="40"/>
      <c r="M499" s="40"/>
    </row>
    <row r="500" spans="5:13" x14ac:dyDescent="0.2">
      <c r="E500" s="40"/>
      <c r="M500" s="40"/>
    </row>
    <row r="501" spans="5:13" x14ac:dyDescent="0.2">
      <c r="E501" s="40"/>
      <c r="M501" s="40"/>
    </row>
    <row r="502" spans="5:13" x14ac:dyDescent="0.2">
      <c r="E502" s="40"/>
      <c r="M502" s="40"/>
    </row>
    <row r="503" spans="5:13" x14ac:dyDescent="0.2">
      <c r="E503" s="40"/>
      <c r="M503" s="40"/>
    </row>
    <row r="504" spans="5:13" x14ac:dyDescent="0.2">
      <c r="E504" s="40"/>
      <c r="M504" s="40"/>
    </row>
    <row r="505" spans="5:13" x14ac:dyDescent="0.2">
      <c r="E505" s="40"/>
      <c r="M505" s="40"/>
    </row>
    <row r="506" spans="5:13" x14ac:dyDescent="0.2">
      <c r="E506" s="40"/>
      <c r="M506" s="40"/>
    </row>
    <row r="507" spans="5:13" x14ac:dyDescent="0.2">
      <c r="E507" s="40"/>
      <c r="M507" s="40"/>
    </row>
    <row r="508" spans="5:13" x14ac:dyDescent="0.2">
      <c r="E508" s="40"/>
      <c r="M508" s="40"/>
    </row>
    <row r="509" spans="5:13" x14ac:dyDescent="0.2">
      <c r="E509" s="40"/>
      <c r="M509" s="40"/>
    </row>
    <row r="510" spans="5:13" x14ac:dyDescent="0.2">
      <c r="E510" s="40"/>
      <c r="M510" s="40"/>
    </row>
    <row r="511" spans="5:13" x14ac:dyDescent="0.2">
      <c r="E511" s="40"/>
      <c r="M511" s="40"/>
    </row>
    <row r="512" spans="5:13" x14ac:dyDescent="0.2">
      <c r="E512" s="40"/>
      <c r="M512" s="40"/>
    </row>
    <row r="513" spans="5:13" x14ac:dyDescent="0.2">
      <c r="E513" s="40"/>
      <c r="M513" s="40"/>
    </row>
    <row r="514" spans="5:13" x14ac:dyDescent="0.2">
      <c r="E514" s="40"/>
      <c r="M514" s="40"/>
    </row>
    <row r="515" spans="5:13" x14ac:dyDescent="0.2">
      <c r="E515" s="40"/>
      <c r="M515" s="40"/>
    </row>
    <row r="516" spans="5:13" x14ac:dyDescent="0.2">
      <c r="E516" s="40"/>
      <c r="M516" s="40"/>
    </row>
    <row r="517" spans="5:13" x14ac:dyDescent="0.2">
      <c r="E517" s="40"/>
      <c r="M517" s="40"/>
    </row>
    <row r="518" spans="5:13" x14ac:dyDescent="0.2">
      <c r="E518" s="40"/>
      <c r="M518" s="40"/>
    </row>
    <row r="519" spans="5:13" x14ac:dyDescent="0.2">
      <c r="E519" s="40"/>
      <c r="M519" s="40"/>
    </row>
    <row r="520" spans="5:13" x14ac:dyDescent="0.2">
      <c r="E520" s="40"/>
      <c r="M520" s="40"/>
    </row>
    <row r="521" spans="5:13" x14ac:dyDescent="0.2">
      <c r="E521" s="40"/>
      <c r="M521" s="40"/>
    </row>
    <row r="522" spans="5:13" x14ac:dyDescent="0.2">
      <c r="E522" s="40"/>
      <c r="M522" s="40"/>
    </row>
    <row r="523" spans="5:13" x14ac:dyDescent="0.2">
      <c r="E523" s="40"/>
      <c r="M523" s="40"/>
    </row>
    <row r="524" spans="5:13" x14ac:dyDescent="0.2">
      <c r="E524" s="40"/>
      <c r="M524" s="40"/>
    </row>
    <row r="525" spans="5:13" x14ac:dyDescent="0.2">
      <c r="E525" s="40"/>
      <c r="M525" s="40"/>
    </row>
    <row r="526" spans="5:13" x14ac:dyDescent="0.2">
      <c r="E526" s="40"/>
      <c r="M526" s="40"/>
    </row>
    <row r="527" spans="5:13" x14ac:dyDescent="0.2">
      <c r="E527" s="40"/>
      <c r="M527" s="40"/>
    </row>
    <row r="528" spans="5:13" x14ac:dyDescent="0.2">
      <c r="E528" s="40"/>
      <c r="M528" s="40"/>
    </row>
    <row r="529" spans="5:13" x14ac:dyDescent="0.2">
      <c r="E529" s="40"/>
      <c r="M529" s="40"/>
    </row>
    <row r="530" spans="5:13" x14ac:dyDescent="0.2">
      <c r="E530" s="40"/>
      <c r="M530" s="40"/>
    </row>
    <row r="531" spans="5:13" x14ac:dyDescent="0.2">
      <c r="E531" s="40"/>
      <c r="M531" s="40"/>
    </row>
    <row r="532" spans="5:13" x14ac:dyDescent="0.2">
      <c r="E532" s="40"/>
      <c r="M532" s="40"/>
    </row>
    <row r="533" spans="5:13" x14ac:dyDescent="0.2">
      <c r="E533" s="40"/>
      <c r="M533" s="40"/>
    </row>
    <row r="534" spans="5:13" x14ac:dyDescent="0.2">
      <c r="E534" s="40"/>
      <c r="M534" s="40"/>
    </row>
    <row r="535" spans="5:13" x14ac:dyDescent="0.2">
      <c r="E535" s="40"/>
      <c r="M535" s="40"/>
    </row>
    <row r="536" spans="5:13" x14ac:dyDescent="0.2">
      <c r="E536" s="40"/>
      <c r="M536" s="40"/>
    </row>
    <row r="537" spans="5:13" x14ac:dyDescent="0.2">
      <c r="E537" s="40"/>
      <c r="M537" s="40"/>
    </row>
    <row r="538" spans="5:13" x14ac:dyDescent="0.2">
      <c r="E538" s="40"/>
      <c r="M538" s="40"/>
    </row>
    <row r="539" spans="5:13" x14ac:dyDescent="0.2">
      <c r="E539" s="40"/>
      <c r="M539" s="40"/>
    </row>
    <row r="540" spans="5:13" x14ac:dyDescent="0.2">
      <c r="E540" s="40"/>
      <c r="M540" s="40"/>
    </row>
    <row r="541" spans="5:13" x14ac:dyDescent="0.2">
      <c r="E541" s="40"/>
      <c r="M541" s="40"/>
    </row>
    <row r="542" spans="5:13" x14ac:dyDescent="0.2">
      <c r="E542" s="40"/>
      <c r="M542" s="40"/>
    </row>
    <row r="543" spans="5:13" x14ac:dyDescent="0.2">
      <c r="E543" s="40"/>
      <c r="M543" s="40"/>
    </row>
    <row r="544" spans="5:13" x14ac:dyDescent="0.2">
      <c r="E544" s="40"/>
      <c r="M544" s="40"/>
    </row>
    <row r="545" spans="5:13" x14ac:dyDescent="0.2">
      <c r="E545" s="40"/>
      <c r="M545" s="40"/>
    </row>
    <row r="546" spans="5:13" x14ac:dyDescent="0.2">
      <c r="E546" s="40"/>
      <c r="M546" s="40"/>
    </row>
    <row r="547" spans="5:13" x14ac:dyDescent="0.2">
      <c r="E547" s="40"/>
      <c r="M547" s="40"/>
    </row>
    <row r="548" spans="5:13" x14ac:dyDescent="0.2">
      <c r="E548" s="40"/>
      <c r="M548" s="40"/>
    </row>
    <row r="549" spans="5:13" x14ac:dyDescent="0.2">
      <c r="E549" s="40"/>
      <c r="M549" s="40"/>
    </row>
    <row r="550" spans="5:13" x14ac:dyDescent="0.2">
      <c r="E550" s="40"/>
      <c r="M550" s="40"/>
    </row>
    <row r="551" spans="5:13" x14ac:dyDescent="0.2">
      <c r="E551" s="40"/>
      <c r="M551" s="40"/>
    </row>
    <row r="552" spans="5:13" x14ac:dyDescent="0.2">
      <c r="E552" s="40"/>
      <c r="M552" s="40"/>
    </row>
    <row r="553" spans="5:13" x14ac:dyDescent="0.2">
      <c r="E553" s="40"/>
      <c r="M553" s="40"/>
    </row>
    <row r="554" spans="5:13" x14ac:dyDescent="0.2">
      <c r="E554" s="40"/>
      <c r="M554" s="40"/>
    </row>
    <row r="555" spans="5:13" x14ac:dyDescent="0.2">
      <c r="E555" s="40"/>
      <c r="M555" s="40"/>
    </row>
    <row r="556" spans="5:13" x14ac:dyDescent="0.2">
      <c r="E556" s="40"/>
      <c r="M556" s="40"/>
    </row>
    <row r="557" spans="5:13" x14ac:dyDescent="0.2">
      <c r="E557" s="40"/>
      <c r="M557" s="40"/>
    </row>
    <row r="558" spans="5:13" x14ac:dyDescent="0.2">
      <c r="E558" s="40"/>
      <c r="M558" s="40"/>
    </row>
    <row r="559" spans="5:13" x14ac:dyDescent="0.2">
      <c r="E559" s="40"/>
      <c r="M559" s="40"/>
    </row>
    <row r="560" spans="5:13" x14ac:dyDescent="0.2">
      <c r="E560" s="40"/>
      <c r="M560" s="40"/>
    </row>
    <row r="561" spans="5:13" x14ac:dyDescent="0.2">
      <c r="E561" s="40"/>
      <c r="M561" s="40"/>
    </row>
    <row r="562" spans="5:13" x14ac:dyDescent="0.2">
      <c r="E562" s="40"/>
      <c r="M562" s="40"/>
    </row>
    <row r="563" spans="5:13" x14ac:dyDescent="0.2">
      <c r="E563" s="40"/>
      <c r="M563" s="40"/>
    </row>
    <row r="564" spans="5:13" x14ac:dyDescent="0.2">
      <c r="E564" s="40"/>
      <c r="M564" s="40"/>
    </row>
    <row r="565" spans="5:13" x14ac:dyDescent="0.2">
      <c r="E565" s="40"/>
      <c r="M565" s="40"/>
    </row>
    <row r="566" spans="5:13" x14ac:dyDescent="0.2">
      <c r="E566" s="40"/>
      <c r="M566" s="40"/>
    </row>
    <row r="567" spans="5:13" x14ac:dyDescent="0.2">
      <c r="E567" s="40"/>
      <c r="M567" s="40"/>
    </row>
    <row r="568" spans="5:13" x14ac:dyDescent="0.2">
      <c r="E568" s="40"/>
      <c r="M568" s="40"/>
    </row>
    <row r="569" spans="5:13" x14ac:dyDescent="0.2">
      <c r="E569" s="40"/>
      <c r="M569" s="40"/>
    </row>
    <row r="570" spans="5:13" x14ac:dyDescent="0.2">
      <c r="E570" s="40"/>
      <c r="M570" s="40"/>
    </row>
    <row r="571" spans="5:13" x14ac:dyDescent="0.2">
      <c r="E571" s="40"/>
      <c r="M571" s="40"/>
    </row>
    <row r="572" spans="5:13" x14ac:dyDescent="0.2">
      <c r="E572" s="40"/>
      <c r="M572" s="40"/>
    </row>
    <row r="573" spans="5:13" x14ac:dyDescent="0.2">
      <c r="E573" s="40"/>
      <c r="M573" s="40"/>
    </row>
    <row r="574" spans="5:13" x14ac:dyDescent="0.2">
      <c r="E574" s="40"/>
      <c r="M574" s="40"/>
    </row>
    <row r="575" spans="5:13" x14ac:dyDescent="0.2">
      <c r="E575" s="40"/>
      <c r="M575" s="40"/>
    </row>
    <row r="576" spans="5:13" x14ac:dyDescent="0.2">
      <c r="E576" s="40"/>
      <c r="M576" s="40"/>
    </row>
    <row r="577" spans="5:13" x14ac:dyDescent="0.2">
      <c r="E577" s="40"/>
      <c r="M577" s="40"/>
    </row>
    <row r="578" spans="5:13" x14ac:dyDescent="0.2">
      <c r="E578" s="40"/>
      <c r="M578" s="40"/>
    </row>
    <row r="579" spans="5:13" x14ac:dyDescent="0.2">
      <c r="E579" s="40"/>
      <c r="M579" s="40"/>
    </row>
    <row r="580" spans="5:13" x14ac:dyDescent="0.2">
      <c r="E580" s="40"/>
      <c r="M580" s="40"/>
    </row>
    <row r="581" spans="5:13" x14ac:dyDescent="0.2">
      <c r="E581" s="40"/>
      <c r="M581" s="40"/>
    </row>
    <row r="582" spans="5:13" x14ac:dyDescent="0.2">
      <c r="E582" s="40"/>
      <c r="M582" s="40"/>
    </row>
    <row r="583" spans="5:13" x14ac:dyDescent="0.2">
      <c r="E583" s="40"/>
      <c r="M583" s="40"/>
    </row>
    <row r="584" spans="5:13" x14ac:dyDescent="0.2">
      <c r="E584" s="40"/>
      <c r="M584" s="40"/>
    </row>
    <row r="585" spans="5:13" x14ac:dyDescent="0.2">
      <c r="E585" s="40"/>
      <c r="M585" s="40"/>
    </row>
    <row r="586" spans="5:13" x14ac:dyDescent="0.2">
      <c r="E586" s="40"/>
      <c r="M586" s="40"/>
    </row>
    <row r="587" spans="5:13" x14ac:dyDescent="0.2">
      <c r="E587" s="40"/>
      <c r="M587" s="40"/>
    </row>
    <row r="588" spans="5:13" x14ac:dyDescent="0.2">
      <c r="E588" s="40"/>
      <c r="M588" s="40"/>
    </row>
    <row r="589" spans="5:13" x14ac:dyDescent="0.2">
      <c r="E589" s="40"/>
      <c r="M589" s="40"/>
    </row>
    <row r="590" spans="5:13" x14ac:dyDescent="0.2">
      <c r="E590" s="40"/>
      <c r="M590" s="40"/>
    </row>
    <row r="591" spans="5:13" x14ac:dyDescent="0.2">
      <c r="E591" s="40"/>
      <c r="M591" s="40"/>
    </row>
    <row r="592" spans="5:13" x14ac:dyDescent="0.2">
      <c r="E592" s="40"/>
      <c r="M592" s="40"/>
    </row>
    <row r="593" spans="5:13" x14ac:dyDescent="0.2">
      <c r="E593" s="40"/>
      <c r="M593" s="40"/>
    </row>
    <row r="594" spans="5:13" x14ac:dyDescent="0.2">
      <c r="E594" s="40"/>
      <c r="M594" s="40"/>
    </row>
    <row r="595" spans="5:13" x14ac:dyDescent="0.2">
      <c r="E595" s="40"/>
      <c r="M595" s="40"/>
    </row>
    <row r="596" spans="5:13" x14ac:dyDescent="0.2">
      <c r="E596" s="40"/>
      <c r="M596" s="40"/>
    </row>
    <row r="597" spans="5:13" x14ac:dyDescent="0.2">
      <c r="E597" s="40"/>
      <c r="M597" s="40"/>
    </row>
    <row r="598" spans="5:13" x14ac:dyDescent="0.2">
      <c r="E598" s="40"/>
      <c r="M598" s="40"/>
    </row>
    <row r="599" spans="5:13" x14ac:dyDescent="0.2">
      <c r="E599" s="40"/>
      <c r="M599" s="40"/>
    </row>
    <row r="600" spans="5:13" x14ac:dyDescent="0.2">
      <c r="E600" s="40"/>
      <c r="M600" s="40"/>
    </row>
    <row r="601" spans="5:13" x14ac:dyDescent="0.2">
      <c r="E601" s="40"/>
      <c r="M601" s="40"/>
    </row>
    <row r="602" spans="5:13" x14ac:dyDescent="0.2">
      <c r="E602" s="40"/>
      <c r="M602" s="40"/>
    </row>
    <row r="603" spans="5:13" x14ac:dyDescent="0.2">
      <c r="E603" s="40"/>
      <c r="M603" s="40"/>
    </row>
    <row r="604" spans="5:13" x14ac:dyDescent="0.2">
      <c r="E604" s="40"/>
      <c r="M604" s="40"/>
    </row>
    <row r="605" spans="5:13" x14ac:dyDescent="0.2">
      <c r="E605" s="40"/>
      <c r="M605" s="40"/>
    </row>
    <row r="606" spans="5:13" x14ac:dyDescent="0.2">
      <c r="E606" s="40"/>
      <c r="M606" s="40"/>
    </row>
    <row r="607" spans="5:13" x14ac:dyDescent="0.2">
      <c r="E607" s="40"/>
      <c r="M607" s="40"/>
    </row>
    <row r="608" spans="5:13" x14ac:dyDescent="0.2">
      <c r="E608" s="40"/>
      <c r="M608" s="40"/>
    </row>
    <row r="609" spans="5:13" x14ac:dyDescent="0.2">
      <c r="E609" s="40"/>
      <c r="M609" s="40"/>
    </row>
    <row r="610" spans="5:13" x14ac:dyDescent="0.2">
      <c r="E610" s="40"/>
      <c r="M610" s="40"/>
    </row>
    <row r="611" spans="5:13" x14ac:dyDescent="0.2">
      <c r="E611" s="40"/>
      <c r="M611" s="40"/>
    </row>
    <row r="612" spans="5:13" x14ac:dyDescent="0.2">
      <c r="E612" s="40"/>
      <c r="M612" s="40"/>
    </row>
    <row r="613" spans="5:13" x14ac:dyDescent="0.2">
      <c r="E613" s="40"/>
      <c r="M613" s="40"/>
    </row>
    <row r="614" spans="5:13" x14ac:dyDescent="0.2">
      <c r="E614" s="40"/>
      <c r="M614" s="40"/>
    </row>
    <row r="615" spans="5:13" x14ac:dyDescent="0.2">
      <c r="E615" s="40"/>
      <c r="M615" s="40"/>
    </row>
    <row r="616" spans="5:13" x14ac:dyDescent="0.2">
      <c r="E616" s="40"/>
      <c r="M616" s="40"/>
    </row>
    <row r="617" spans="5:13" x14ac:dyDescent="0.2">
      <c r="E617" s="40"/>
      <c r="M617" s="40"/>
    </row>
    <row r="618" spans="5:13" x14ac:dyDescent="0.2">
      <c r="E618" s="40"/>
      <c r="M618" s="40"/>
    </row>
    <row r="619" spans="5:13" x14ac:dyDescent="0.2">
      <c r="E619" s="40"/>
      <c r="M619" s="40"/>
    </row>
    <row r="620" spans="5:13" x14ac:dyDescent="0.2">
      <c r="E620" s="40"/>
      <c r="M620" s="40"/>
    </row>
    <row r="621" spans="5:13" x14ac:dyDescent="0.2">
      <c r="E621" s="40"/>
      <c r="M621" s="40"/>
    </row>
    <row r="622" spans="5:13" x14ac:dyDescent="0.2">
      <c r="E622" s="40"/>
      <c r="M622" s="40"/>
    </row>
    <row r="623" spans="5:13" x14ac:dyDescent="0.2">
      <c r="E623" s="40"/>
      <c r="M623" s="40"/>
    </row>
    <row r="624" spans="5:13" x14ac:dyDescent="0.2">
      <c r="E624" s="40"/>
      <c r="M624" s="40"/>
    </row>
    <row r="625" spans="5:13" x14ac:dyDescent="0.2">
      <c r="E625" s="40"/>
      <c r="M625" s="40"/>
    </row>
    <row r="626" spans="5:13" x14ac:dyDescent="0.2">
      <c r="E626" s="40"/>
      <c r="M626" s="40"/>
    </row>
    <row r="627" spans="5:13" x14ac:dyDescent="0.2">
      <c r="E627" s="40"/>
      <c r="M627" s="40"/>
    </row>
    <row r="628" spans="5:13" x14ac:dyDescent="0.2">
      <c r="E628" s="40"/>
      <c r="M628" s="40"/>
    </row>
    <row r="629" spans="5:13" x14ac:dyDescent="0.2">
      <c r="E629" s="40"/>
      <c r="M629" s="40"/>
    </row>
    <row r="630" spans="5:13" x14ac:dyDescent="0.2">
      <c r="E630" s="40"/>
      <c r="M630" s="40"/>
    </row>
    <row r="631" spans="5:13" x14ac:dyDescent="0.2">
      <c r="E631" s="40"/>
      <c r="M631" s="40"/>
    </row>
    <row r="632" spans="5:13" x14ac:dyDescent="0.2">
      <c r="E632" s="40"/>
      <c r="M632" s="40"/>
    </row>
    <row r="633" spans="5:13" x14ac:dyDescent="0.2">
      <c r="E633" s="40"/>
      <c r="M633" s="40"/>
    </row>
    <row r="634" spans="5:13" x14ac:dyDescent="0.2">
      <c r="E634" s="40"/>
      <c r="M634" s="40"/>
    </row>
    <row r="635" spans="5:13" x14ac:dyDescent="0.2">
      <c r="E635" s="40"/>
      <c r="M635" s="40"/>
    </row>
    <row r="636" spans="5:13" x14ac:dyDescent="0.2">
      <c r="E636" s="40"/>
      <c r="M636" s="40"/>
    </row>
    <row r="637" spans="5:13" x14ac:dyDescent="0.2">
      <c r="E637" s="40"/>
      <c r="M637" s="40"/>
    </row>
    <row r="638" spans="5:13" x14ac:dyDescent="0.2">
      <c r="E638" s="40"/>
      <c r="M638" s="40"/>
    </row>
    <row r="639" spans="5:13" x14ac:dyDescent="0.2">
      <c r="E639" s="40"/>
      <c r="M639" s="40"/>
    </row>
    <row r="640" spans="5:13" x14ac:dyDescent="0.2">
      <c r="E640" s="40"/>
      <c r="M640" s="40"/>
    </row>
    <row r="641" spans="5:13" x14ac:dyDescent="0.2">
      <c r="E641" s="40"/>
      <c r="M641" s="40"/>
    </row>
    <row r="642" spans="5:13" x14ac:dyDescent="0.2">
      <c r="E642" s="40"/>
      <c r="M642" s="40"/>
    </row>
    <row r="643" spans="5:13" x14ac:dyDescent="0.2">
      <c r="E643" s="40"/>
      <c r="M643" s="40"/>
    </row>
    <row r="644" spans="5:13" x14ac:dyDescent="0.2">
      <c r="E644" s="40"/>
      <c r="M644" s="40"/>
    </row>
    <row r="645" spans="5:13" x14ac:dyDescent="0.2">
      <c r="E645" s="40"/>
      <c r="M645" s="40"/>
    </row>
    <row r="646" spans="5:13" x14ac:dyDescent="0.2">
      <c r="E646" s="40"/>
      <c r="M646" s="40"/>
    </row>
    <row r="647" spans="5:13" x14ac:dyDescent="0.2">
      <c r="E647" s="40"/>
      <c r="M647" s="40"/>
    </row>
    <row r="648" spans="5:13" x14ac:dyDescent="0.2">
      <c r="E648" s="40"/>
      <c r="M648" s="40"/>
    </row>
    <row r="649" spans="5:13" x14ac:dyDescent="0.2">
      <c r="E649" s="40"/>
      <c r="M649" s="40"/>
    </row>
    <row r="650" spans="5:13" x14ac:dyDescent="0.2">
      <c r="E650" s="40"/>
      <c r="M650" s="40"/>
    </row>
    <row r="651" spans="5:13" x14ac:dyDescent="0.2">
      <c r="E651" s="40"/>
      <c r="M651" s="40"/>
    </row>
    <row r="652" spans="5:13" x14ac:dyDescent="0.2">
      <c r="E652" s="40"/>
      <c r="M652" s="40"/>
    </row>
    <row r="653" spans="5:13" x14ac:dyDescent="0.2">
      <c r="E653" s="40"/>
      <c r="M653" s="40"/>
    </row>
    <row r="654" spans="5:13" x14ac:dyDescent="0.2">
      <c r="E654" s="40"/>
      <c r="M654" s="40"/>
    </row>
    <row r="655" spans="5:13" x14ac:dyDescent="0.2">
      <c r="E655" s="40"/>
      <c r="M655" s="40"/>
    </row>
    <row r="656" spans="5:13" x14ac:dyDescent="0.2">
      <c r="E656" s="40"/>
      <c r="M656" s="40"/>
    </row>
    <row r="657" spans="5:13" x14ac:dyDescent="0.2">
      <c r="E657" s="40"/>
      <c r="M657" s="40"/>
    </row>
    <row r="658" spans="5:13" x14ac:dyDescent="0.2">
      <c r="E658" s="40"/>
      <c r="M658" s="40"/>
    </row>
    <row r="659" spans="5:13" x14ac:dyDescent="0.2">
      <c r="E659" s="40"/>
      <c r="M659" s="40"/>
    </row>
    <row r="660" spans="5:13" x14ac:dyDescent="0.2">
      <c r="E660" s="40"/>
      <c r="M660" s="40"/>
    </row>
    <row r="661" spans="5:13" x14ac:dyDescent="0.2">
      <c r="E661" s="40"/>
      <c r="M661" s="40"/>
    </row>
    <row r="662" spans="5:13" x14ac:dyDescent="0.2">
      <c r="E662" s="40"/>
      <c r="M662" s="40"/>
    </row>
    <row r="663" spans="5:13" x14ac:dyDescent="0.2">
      <c r="E663" s="40"/>
      <c r="M663" s="40"/>
    </row>
    <row r="664" spans="5:13" x14ac:dyDescent="0.2">
      <c r="E664" s="40"/>
      <c r="M664" s="40"/>
    </row>
    <row r="665" spans="5:13" x14ac:dyDescent="0.2">
      <c r="E665" s="40"/>
      <c r="M665" s="40"/>
    </row>
    <row r="666" spans="5:13" x14ac:dyDescent="0.2">
      <c r="E666" s="40"/>
      <c r="M666" s="40"/>
    </row>
    <row r="667" spans="5:13" x14ac:dyDescent="0.2">
      <c r="E667" s="40"/>
      <c r="M667" s="40"/>
    </row>
    <row r="668" spans="5:13" x14ac:dyDescent="0.2">
      <c r="E668" s="40"/>
      <c r="M668" s="40"/>
    </row>
    <row r="669" spans="5:13" x14ac:dyDescent="0.2">
      <c r="E669" s="40"/>
      <c r="M669" s="40"/>
    </row>
    <row r="670" spans="5:13" x14ac:dyDescent="0.2">
      <c r="E670" s="40"/>
      <c r="M670" s="40"/>
    </row>
    <row r="671" spans="5:13" x14ac:dyDescent="0.2">
      <c r="E671" s="40"/>
      <c r="M671" s="40"/>
    </row>
    <row r="672" spans="5:13" x14ac:dyDescent="0.2">
      <c r="E672" s="40"/>
      <c r="M672" s="40"/>
    </row>
    <row r="673" spans="5:13" x14ac:dyDescent="0.2">
      <c r="E673" s="40"/>
      <c r="M673" s="40"/>
    </row>
    <row r="674" spans="5:13" x14ac:dyDescent="0.2">
      <c r="E674" s="40"/>
      <c r="M674" s="40"/>
    </row>
    <row r="675" spans="5:13" x14ac:dyDescent="0.2">
      <c r="E675" s="40"/>
      <c r="M675" s="40"/>
    </row>
    <row r="676" spans="5:13" x14ac:dyDescent="0.2">
      <c r="E676" s="40"/>
      <c r="M676" s="40"/>
    </row>
    <row r="677" spans="5:13" x14ac:dyDescent="0.2">
      <c r="E677" s="40"/>
      <c r="M677" s="40"/>
    </row>
    <row r="678" spans="5:13" x14ac:dyDescent="0.2">
      <c r="E678" s="40"/>
      <c r="M678" s="40"/>
    </row>
    <row r="679" spans="5:13" x14ac:dyDescent="0.2">
      <c r="E679" s="40"/>
      <c r="M679" s="40"/>
    </row>
    <row r="680" spans="5:13" x14ac:dyDescent="0.2">
      <c r="E680" s="40"/>
      <c r="M680" s="40"/>
    </row>
    <row r="681" spans="5:13" x14ac:dyDescent="0.2">
      <c r="E681" s="40"/>
      <c r="M681" s="40"/>
    </row>
    <row r="682" spans="5:13" x14ac:dyDescent="0.2">
      <c r="E682" s="40"/>
      <c r="M682" s="40"/>
    </row>
    <row r="683" spans="5:13" x14ac:dyDescent="0.2">
      <c r="E683" s="40"/>
      <c r="M683" s="40"/>
    </row>
    <row r="684" spans="5:13" x14ac:dyDescent="0.2">
      <c r="E684" s="40"/>
      <c r="M684" s="40"/>
    </row>
    <row r="685" spans="5:13" x14ac:dyDescent="0.2">
      <c r="E685" s="40"/>
      <c r="M685" s="40"/>
    </row>
    <row r="686" spans="5:13" x14ac:dyDescent="0.2">
      <c r="E686" s="40"/>
      <c r="M686" s="40"/>
    </row>
    <row r="687" spans="5:13" x14ac:dyDescent="0.2">
      <c r="E687" s="40"/>
      <c r="M687" s="40"/>
    </row>
    <row r="688" spans="5:13" x14ac:dyDescent="0.2">
      <c r="E688" s="40"/>
      <c r="M688" s="40"/>
    </row>
    <row r="689" spans="5:13" x14ac:dyDescent="0.2">
      <c r="E689" s="40"/>
      <c r="M689" s="40"/>
    </row>
    <row r="690" spans="5:13" x14ac:dyDescent="0.2">
      <c r="E690" s="40"/>
      <c r="M690" s="40"/>
    </row>
    <row r="691" spans="5:13" x14ac:dyDescent="0.2">
      <c r="E691" s="40"/>
      <c r="M691" s="40"/>
    </row>
    <row r="692" spans="5:13" x14ac:dyDescent="0.2">
      <c r="E692" s="40"/>
      <c r="M692" s="40"/>
    </row>
    <row r="693" spans="5:13" x14ac:dyDescent="0.2">
      <c r="E693" s="40"/>
      <c r="M693" s="40"/>
    </row>
    <row r="694" spans="5:13" x14ac:dyDescent="0.2">
      <c r="E694" s="40"/>
      <c r="M694" s="40"/>
    </row>
    <row r="695" spans="5:13" x14ac:dyDescent="0.2">
      <c r="E695" s="40"/>
      <c r="M695" s="40"/>
    </row>
    <row r="696" spans="5:13" x14ac:dyDescent="0.2">
      <c r="E696" s="40"/>
      <c r="M696" s="40"/>
    </row>
    <row r="697" spans="5:13" x14ac:dyDescent="0.2">
      <c r="E697" s="40"/>
      <c r="M697" s="40"/>
    </row>
    <row r="698" spans="5:13" x14ac:dyDescent="0.2">
      <c r="E698" s="40"/>
      <c r="M698" s="40"/>
    </row>
    <row r="699" spans="5:13" x14ac:dyDescent="0.2">
      <c r="E699" s="40"/>
      <c r="M699" s="40"/>
    </row>
    <row r="700" spans="5:13" x14ac:dyDescent="0.2">
      <c r="E700" s="40"/>
      <c r="M700" s="40"/>
    </row>
    <row r="701" spans="5:13" x14ac:dyDescent="0.2">
      <c r="E701" s="40"/>
      <c r="M701" s="40"/>
    </row>
    <row r="702" spans="5:13" x14ac:dyDescent="0.2">
      <c r="E702" s="40"/>
      <c r="M702" s="40"/>
    </row>
    <row r="703" spans="5:13" x14ac:dyDescent="0.2">
      <c r="E703" s="40"/>
      <c r="M703" s="40"/>
    </row>
    <row r="704" spans="5:13" x14ac:dyDescent="0.2">
      <c r="E704" s="40"/>
      <c r="M704" s="40"/>
    </row>
    <row r="705" spans="5:13" x14ac:dyDescent="0.2">
      <c r="E705" s="40"/>
      <c r="M705" s="40"/>
    </row>
    <row r="706" spans="5:13" x14ac:dyDescent="0.2">
      <c r="E706" s="40"/>
      <c r="M706" s="40"/>
    </row>
    <row r="707" spans="5:13" x14ac:dyDescent="0.2">
      <c r="E707" s="40"/>
      <c r="M707" s="40"/>
    </row>
    <row r="708" spans="5:13" x14ac:dyDescent="0.2">
      <c r="E708" s="40"/>
      <c r="M708" s="40"/>
    </row>
    <row r="709" spans="5:13" x14ac:dyDescent="0.2">
      <c r="E709" s="40"/>
      <c r="M709" s="40"/>
    </row>
    <row r="710" spans="5:13" x14ac:dyDescent="0.2">
      <c r="E710" s="40"/>
      <c r="M710" s="40"/>
    </row>
    <row r="711" spans="5:13" x14ac:dyDescent="0.2">
      <c r="E711" s="40"/>
      <c r="M711" s="40"/>
    </row>
    <row r="712" spans="5:13" x14ac:dyDescent="0.2">
      <c r="E712" s="40"/>
      <c r="M712" s="40"/>
    </row>
    <row r="713" spans="5:13" x14ac:dyDescent="0.2">
      <c r="E713" s="40"/>
      <c r="M713" s="40"/>
    </row>
    <row r="714" spans="5:13" x14ac:dyDescent="0.2">
      <c r="E714" s="40"/>
      <c r="M714" s="40"/>
    </row>
    <row r="715" spans="5:13" x14ac:dyDescent="0.2">
      <c r="E715" s="40"/>
      <c r="M715" s="40"/>
    </row>
    <row r="716" spans="5:13" x14ac:dyDescent="0.2">
      <c r="E716" s="40"/>
      <c r="M716" s="40"/>
    </row>
    <row r="717" spans="5:13" x14ac:dyDescent="0.2">
      <c r="E717" s="40"/>
      <c r="M717" s="40"/>
    </row>
    <row r="718" spans="5:13" x14ac:dyDescent="0.2">
      <c r="E718" s="40"/>
      <c r="M718" s="40"/>
    </row>
    <row r="719" spans="5:13" x14ac:dyDescent="0.2">
      <c r="E719" s="40"/>
      <c r="M719" s="40"/>
    </row>
    <row r="720" spans="5:13" x14ac:dyDescent="0.2">
      <c r="E720" s="40"/>
      <c r="M720" s="40"/>
    </row>
    <row r="721" spans="5:13" x14ac:dyDescent="0.2">
      <c r="E721" s="40"/>
      <c r="M721" s="40"/>
    </row>
    <row r="722" spans="5:13" x14ac:dyDescent="0.2">
      <c r="E722" s="40"/>
      <c r="M722" s="40"/>
    </row>
    <row r="723" spans="5:13" x14ac:dyDescent="0.2">
      <c r="E723" s="40"/>
      <c r="M723" s="40"/>
    </row>
    <row r="724" spans="5:13" x14ac:dyDescent="0.2">
      <c r="E724" s="40"/>
      <c r="M724" s="40"/>
    </row>
    <row r="725" spans="5:13" x14ac:dyDescent="0.2">
      <c r="E725" s="40"/>
      <c r="M725" s="40"/>
    </row>
    <row r="726" spans="5:13" x14ac:dyDescent="0.2">
      <c r="E726" s="40"/>
      <c r="M726" s="40"/>
    </row>
    <row r="727" spans="5:13" x14ac:dyDescent="0.2">
      <c r="E727" s="40"/>
      <c r="M727" s="40"/>
    </row>
    <row r="728" spans="5:13" x14ac:dyDescent="0.2">
      <c r="E728" s="40"/>
      <c r="M728" s="40"/>
    </row>
    <row r="729" spans="5:13" x14ac:dyDescent="0.2">
      <c r="E729" s="40"/>
      <c r="M729" s="40"/>
    </row>
    <row r="730" spans="5:13" x14ac:dyDescent="0.2">
      <c r="E730" s="40"/>
      <c r="M730" s="40"/>
    </row>
    <row r="731" spans="5:13" x14ac:dyDescent="0.2">
      <c r="E731" s="40"/>
      <c r="M731" s="40"/>
    </row>
    <row r="732" spans="5:13" x14ac:dyDescent="0.2">
      <c r="E732" s="40"/>
      <c r="M732" s="40"/>
    </row>
    <row r="733" spans="5:13" x14ac:dyDescent="0.2">
      <c r="E733" s="40"/>
      <c r="M733" s="40"/>
    </row>
    <row r="734" spans="5:13" x14ac:dyDescent="0.2">
      <c r="E734" s="40"/>
      <c r="M734" s="40"/>
    </row>
    <row r="735" spans="5:13" x14ac:dyDescent="0.2">
      <c r="E735" s="40"/>
      <c r="M735" s="40"/>
    </row>
    <row r="736" spans="5:13" x14ac:dyDescent="0.2">
      <c r="E736" s="40"/>
      <c r="M736" s="40"/>
    </row>
    <row r="737" spans="5:13" x14ac:dyDescent="0.2">
      <c r="E737" s="40"/>
      <c r="M737" s="40"/>
    </row>
    <row r="738" spans="5:13" x14ac:dyDescent="0.2">
      <c r="E738" s="40"/>
      <c r="M738" s="40"/>
    </row>
    <row r="739" spans="5:13" x14ac:dyDescent="0.2">
      <c r="E739" s="40"/>
      <c r="M739" s="40"/>
    </row>
    <row r="740" spans="5:13" x14ac:dyDescent="0.2">
      <c r="E740" s="40"/>
      <c r="M740" s="40"/>
    </row>
    <row r="741" spans="5:13" x14ac:dyDescent="0.2">
      <c r="E741" s="40"/>
      <c r="M741" s="40"/>
    </row>
    <row r="742" spans="5:13" x14ac:dyDescent="0.2">
      <c r="E742" s="40"/>
      <c r="M742" s="40"/>
    </row>
    <row r="743" spans="5:13" x14ac:dyDescent="0.2">
      <c r="E743" s="40"/>
      <c r="M743" s="40"/>
    </row>
    <row r="744" spans="5:13" x14ac:dyDescent="0.2">
      <c r="E744" s="40"/>
      <c r="M744" s="40"/>
    </row>
    <row r="745" spans="5:13" x14ac:dyDescent="0.2">
      <c r="E745" s="40"/>
      <c r="M745" s="40"/>
    </row>
    <row r="746" spans="5:13" x14ac:dyDescent="0.2">
      <c r="E746" s="40"/>
      <c r="M746" s="40"/>
    </row>
    <row r="747" spans="5:13" x14ac:dyDescent="0.2">
      <c r="E747" s="40"/>
      <c r="M747" s="40"/>
    </row>
    <row r="748" spans="5:13" x14ac:dyDescent="0.2">
      <c r="E748" s="40"/>
      <c r="M748" s="40"/>
    </row>
    <row r="749" spans="5:13" x14ac:dyDescent="0.2">
      <c r="E749" s="40"/>
      <c r="M749" s="40"/>
    </row>
    <row r="750" spans="5:13" x14ac:dyDescent="0.2">
      <c r="E750" s="40"/>
      <c r="M750" s="40"/>
    </row>
    <row r="751" spans="5:13" x14ac:dyDescent="0.2">
      <c r="E751" s="40"/>
      <c r="M751" s="40"/>
    </row>
    <row r="752" spans="5:13" x14ac:dyDescent="0.2">
      <c r="E752" s="40"/>
      <c r="M752" s="40"/>
    </row>
    <row r="753" spans="5:13" x14ac:dyDescent="0.2">
      <c r="E753" s="40"/>
      <c r="M753" s="40"/>
    </row>
    <row r="754" spans="5:13" x14ac:dyDescent="0.2">
      <c r="E754" s="40"/>
      <c r="M754" s="40"/>
    </row>
    <row r="755" spans="5:13" x14ac:dyDescent="0.2">
      <c r="E755" s="40"/>
      <c r="M755" s="40"/>
    </row>
    <row r="756" spans="5:13" x14ac:dyDescent="0.2">
      <c r="E756" s="40"/>
      <c r="M756" s="40"/>
    </row>
    <row r="757" spans="5:13" x14ac:dyDescent="0.2">
      <c r="E757" s="40"/>
      <c r="M757" s="40"/>
    </row>
    <row r="758" spans="5:13" x14ac:dyDescent="0.2">
      <c r="E758" s="40"/>
      <c r="M758" s="40"/>
    </row>
    <row r="759" spans="5:13" x14ac:dyDescent="0.2">
      <c r="E759" s="40"/>
      <c r="M759" s="40"/>
    </row>
    <row r="760" spans="5:13" x14ac:dyDescent="0.2">
      <c r="E760" s="40"/>
      <c r="M760" s="40"/>
    </row>
    <row r="761" spans="5:13" x14ac:dyDescent="0.2">
      <c r="E761" s="40"/>
      <c r="M761" s="40"/>
    </row>
    <row r="762" spans="5:13" x14ac:dyDescent="0.2">
      <c r="E762" s="40"/>
      <c r="M762" s="40"/>
    </row>
    <row r="763" spans="5:13" x14ac:dyDescent="0.2">
      <c r="E763" s="40"/>
      <c r="M763" s="40"/>
    </row>
    <row r="764" spans="5:13" x14ac:dyDescent="0.2">
      <c r="E764" s="40"/>
      <c r="M764" s="40"/>
    </row>
    <row r="765" spans="5:13" x14ac:dyDescent="0.2">
      <c r="E765" s="40"/>
      <c r="M765" s="40"/>
    </row>
    <row r="766" spans="5:13" x14ac:dyDescent="0.2">
      <c r="E766" s="40"/>
      <c r="M766" s="40"/>
    </row>
    <row r="767" spans="5:13" x14ac:dyDescent="0.2">
      <c r="E767" s="40"/>
      <c r="M767" s="40"/>
    </row>
    <row r="768" spans="5:13" x14ac:dyDescent="0.2">
      <c r="E768" s="40"/>
      <c r="M768" s="40"/>
    </row>
    <row r="769" spans="5:13" x14ac:dyDescent="0.2">
      <c r="E769" s="40"/>
      <c r="M769" s="40"/>
    </row>
    <row r="770" spans="5:13" x14ac:dyDescent="0.2">
      <c r="E770" s="40"/>
      <c r="M770" s="40"/>
    </row>
    <row r="771" spans="5:13" x14ac:dyDescent="0.2">
      <c r="E771" s="40"/>
      <c r="M771" s="40"/>
    </row>
    <row r="772" spans="5:13" x14ac:dyDescent="0.2">
      <c r="E772" s="40"/>
      <c r="M772" s="40"/>
    </row>
    <row r="773" spans="5:13" x14ac:dyDescent="0.2">
      <c r="E773" s="40"/>
      <c r="M773" s="40"/>
    </row>
    <row r="774" spans="5:13" x14ac:dyDescent="0.2">
      <c r="E774" s="40"/>
      <c r="M774" s="40"/>
    </row>
    <row r="775" spans="5:13" x14ac:dyDescent="0.2">
      <c r="E775" s="40"/>
      <c r="M775" s="40"/>
    </row>
    <row r="776" spans="5:13" x14ac:dyDescent="0.2">
      <c r="E776" s="40"/>
      <c r="M776" s="40"/>
    </row>
    <row r="777" spans="5:13" x14ac:dyDescent="0.2">
      <c r="E777" s="40"/>
      <c r="M777" s="40"/>
    </row>
    <row r="778" spans="5:13" x14ac:dyDescent="0.2">
      <c r="E778" s="40"/>
      <c r="M778" s="40"/>
    </row>
    <row r="779" spans="5:13" x14ac:dyDescent="0.2">
      <c r="E779" s="40"/>
      <c r="M779" s="40"/>
    </row>
    <row r="780" spans="5:13" x14ac:dyDescent="0.2">
      <c r="E780" s="40"/>
      <c r="M780" s="40"/>
    </row>
    <row r="781" spans="5:13" x14ac:dyDescent="0.2">
      <c r="E781" s="40"/>
      <c r="M781" s="40"/>
    </row>
    <row r="782" spans="5:13" x14ac:dyDescent="0.2">
      <c r="E782" s="40"/>
      <c r="M782" s="40"/>
    </row>
    <row r="783" spans="5:13" x14ac:dyDescent="0.2">
      <c r="E783" s="40"/>
      <c r="M783" s="40"/>
    </row>
    <row r="784" spans="5:13" x14ac:dyDescent="0.2">
      <c r="E784" s="40"/>
      <c r="M784" s="40"/>
    </row>
    <row r="785" spans="5:13" x14ac:dyDescent="0.2">
      <c r="E785" s="40"/>
      <c r="M785" s="40"/>
    </row>
    <row r="786" spans="5:13" x14ac:dyDescent="0.2">
      <c r="E786" s="40"/>
      <c r="M786" s="40"/>
    </row>
    <row r="787" spans="5:13" x14ac:dyDescent="0.2">
      <c r="E787" s="40"/>
      <c r="M787" s="40"/>
    </row>
    <row r="788" spans="5:13" x14ac:dyDescent="0.2">
      <c r="E788" s="40"/>
      <c r="M788" s="40"/>
    </row>
    <row r="789" spans="5:13" x14ac:dyDescent="0.2">
      <c r="E789" s="40"/>
      <c r="M789" s="40"/>
    </row>
    <row r="790" spans="5:13" x14ac:dyDescent="0.2">
      <c r="E790" s="40"/>
      <c r="M790" s="40"/>
    </row>
    <row r="791" spans="5:13" x14ac:dyDescent="0.2">
      <c r="E791" s="40"/>
      <c r="M791" s="40"/>
    </row>
    <row r="792" spans="5:13" x14ac:dyDescent="0.2">
      <c r="E792" s="40"/>
      <c r="M792" s="40"/>
    </row>
    <row r="793" spans="5:13" x14ac:dyDescent="0.2">
      <c r="E793" s="40"/>
      <c r="M793" s="40"/>
    </row>
    <row r="794" spans="5:13" x14ac:dyDescent="0.2">
      <c r="E794" s="40"/>
      <c r="M794" s="40"/>
    </row>
    <row r="795" spans="5:13" x14ac:dyDescent="0.2">
      <c r="E795" s="40"/>
      <c r="M795" s="40"/>
    </row>
    <row r="796" spans="5:13" x14ac:dyDescent="0.2">
      <c r="E796" s="40"/>
      <c r="M796" s="40"/>
    </row>
    <row r="797" spans="5:13" x14ac:dyDescent="0.2">
      <c r="E797" s="40"/>
      <c r="M797" s="40"/>
    </row>
    <row r="798" spans="5:13" x14ac:dyDescent="0.2">
      <c r="E798" s="40"/>
      <c r="M798" s="40"/>
    </row>
    <row r="799" spans="5:13" x14ac:dyDescent="0.2">
      <c r="E799" s="40"/>
      <c r="M799" s="40"/>
    </row>
    <row r="800" spans="5:13" x14ac:dyDescent="0.2">
      <c r="E800" s="40"/>
      <c r="M800" s="40"/>
    </row>
    <row r="801" spans="5:13" x14ac:dyDescent="0.2">
      <c r="E801" s="40"/>
      <c r="M801" s="40"/>
    </row>
    <row r="802" spans="5:13" x14ac:dyDescent="0.2">
      <c r="E802" s="40"/>
      <c r="M802" s="40"/>
    </row>
    <row r="803" spans="5:13" x14ac:dyDescent="0.2">
      <c r="E803" s="40"/>
      <c r="M803" s="40"/>
    </row>
    <row r="804" spans="5:13" x14ac:dyDescent="0.2">
      <c r="E804" s="40"/>
      <c r="M804" s="40"/>
    </row>
    <row r="805" spans="5:13" x14ac:dyDescent="0.2">
      <c r="E805" s="40"/>
      <c r="M805" s="40"/>
    </row>
    <row r="806" spans="5:13" x14ac:dyDescent="0.2">
      <c r="E806" s="40"/>
      <c r="M806" s="40"/>
    </row>
    <row r="807" spans="5:13" x14ac:dyDescent="0.2">
      <c r="E807" s="40"/>
      <c r="M807" s="40"/>
    </row>
    <row r="808" spans="5:13" x14ac:dyDescent="0.2">
      <c r="E808" s="40"/>
      <c r="M808" s="40"/>
    </row>
    <row r="809" spans="5:13" x14ac:dyDescent="0.2">
      <c r="E809" s="40"/>
      <c r="M809" s="40"/>
    </row>
    <row r="810" spans="5:13" x14ac:dyDescent="0.2">
      <c r="E810" s="40"/>
      <c r="M810" s="40"/>
    </row>
    <row r="811" spans="5:13" x14ac:dyDescent="0.2">
      <c r="E811" s="40"/>
      <c r="M811" s="40"/>
    </row>
    <row r="812" spans="5:13" x14ac:dyDescent="0.2">
      <c r="E812" s="40"/>
      <c r="M812" s="40"/>
    </row>
    <row r="813" spans="5:13" x14ac:dyDescent="0.2">
      <c r="E813" s="40"/>
      <c r="M813" s="40"/>
    </row>
    <row r="814" spans="5:13" x14ac:dyDescent="0.2">
      <c r="E814" s="40"/>
      <c r="M814" s="40"/>
    </row>
    <row r="815" spans="5:13" x14ac:dyDescent="0.2">
      <c r="E815" s="40"/>
      <c r="M815" s="40"/>
    </row>
    <row r="816" spans="5:13" x14ac:dyDescent="0.2">
      <c r="E816" s="40"/>
      <c r="M816" s="40"/>
    </row>
    <row r="817" spans="5:13" x14ac:dyDescent="0.2">
      <c r="E817" s="40"/>
      <c r="M817" s="40"/>
    </row>
    <row r="818" spans="5:13" x14ac:dyDescent="0.2">
      <c r="E818" s="40"/>
      <c r="M818" s="40"/>
    </row>
    <row r="819" spans="5:13" x14ac:dyDescent="0.2">
      <c r="E819" s="40"/>
      <c r="M819" s="40"/>
    </row>
    <row r="820" spans="5:13" x14ac:dyDescent="0.2">
      <c r="E820" s="40"/>
      <c r="M820" s="40"/>
    </row>
    <row r="821" spans="5:13" x14ac:dyDescent="0.2">
      <c r="E821" s="40"/>
      <c r="M821" s="40"/>
    </row>
    <row r="822" spans="5:13" x14ac:dyDescent="0.2">
      <c r="E822" s="40"/>
      <c r="M822" s="40"/>
    </row>
    <row r="823" spans="5:13" x14ac:dyDescent="0.2">
      <c r="E823" s="40"/>
      <c r="M823" s="40"/>
    </row>
    <row r="824" spans="5:13" x14ac:dyDescent="0.2">
      <c r="E824" s="40"/>
      <c r="M824" s="40"/>
    </row>
    <row r="825" spans="5:13" x14ac:dyDescent="0.2">
      <c r="E825" s="40"/>
      <c r="M825" s="40"/>
    </row>
    <row r="826" spans="5:13" x14ac:dyDescent="0.2">
      <c r="E826" s="40"/>
      <c r="M826" s="40"/>
    </row>
    <row r="827" spans="5:13" x14ac:dyDescent="0.2">
      <c r="E827" s="40"/>
      <c r="M827" s="40"/>
    </row>
    <row r="828" spans="5:13" x14ac:dyDescent="0.2">
      <c r="E828" s="40"/>
      <c r="M828" s="40"/>
    </row>
    <row r="829" spans="5:13" x14ac:dyDescent="0.2">
      <c r="E829" s="40"/>
      <c r="M829" s="40"/>
    </row>
    <row r="830" spans="5:13" x14ac:dyDescent="0.2">
      <c r="E830" s="40"/>
      <c r="M830" s="40"/>
    </row>
    <row r="831" spans="5:13" x14ac:dyDescent="0.2">
      <c r="E831" s="40"/>
      <c r="M831" s="40"/>
    </row>
    <row r="832" spans="5:13" x14ac:dyDescent="0.2">
      <c r="E832" s="40"/>
      <c r="M832" s="40"/>
    </row>
    <row r="833" spans="5:13" x14ac:dyDescent="0.2">
      <c r="E833" s="40"/>
      <c r="M833" s="40"/>
    </row>
    <row r="834" spans="5:13" x14ac:dyDescent="0.2">
      <c r="E834" s="40"/>
      <c r="M834" s="40"/>
    </row>
    <row r="835" spans="5:13" x14ac:dyDescent="0.2">
      <c r="E835" s="40"/>
      <c r="M835" s="40"/>
    </row>
    <row r="836" spans="5:13" x14ac:dyDescent="0.2">
      <c r="E836" s="40"/>
      <c r="M836" s="40"/>
    </row>
    <row r="837" spans="5:13" x14ac:dyDescent="0.2">
      <c r="E837" s="40"/>
      <c r="M837" s="40"/>
    </row>
    <row r="838" spans="5:13" x14ac:dyDescent="0.2">
      <c r="E838" s="40"/>
      <c r="M838" s="40"/>
    </row>
    <row r="839" spans="5:13" x14ac:dyDescent="0.2">
      <c r="E839" s="40"/>
      <c r="M839" s="40"/>
    </row>
    <row r="840" spans="5:13" x14ac:dyDescent="0.2">
      <c r="E840" s="40"/>
      <c r="M840" s="40"/>
    </row>
    <row r="841" spans="5:13" x14ac:dyDescent="0.2">
      <c r="E841" s="40"/>
      <c r="M841" s="40"/>
    </row>
    <row r="842" spans="5:13" x14ac:dyDescent="0.2">
      <c r="E842" s="40"/>
      <c r="M842" s="40"/>
    </row>
    <row r="843" spans="5:13" x14ac:dyDescent="0.2">
      <c r="E843" s="40"/>
      <c r="M843" s="40"/>
    </row>
    <row r="844" spans="5:13" x14ac:dyDescent="0.2">
      <c r="E844" s="40"/>
      <c r="M844" s="40"/>
    </row>
    <row r="845" spans="5:13" x14ac:dyDescent="0.2">
      <c r="E845" s="40"/>
      <c r="M845" s="40"/>
    </row>
    <row r="846" spans="5:13" x14ac:dyDescent="0.2">
      <c r="E846" s="40"/>
      <c r="M846" s="40"/>
    </row>
    <row r="847" spans="5:13" x14ac:dyDescent="0.2">
      <c r="E847" s="40"/>
      <c r="M847" s="40"/>
    </row>
    <row r="848" spans="5:13" x14ac:dyDescent="0.2">
      <c r="E848" s="40"/>
      <c r="M848" s="40"/>
    </row>
    <row r="849" spans="5:13" x14ac:dyDescent="0.2">
      <c r="E849" s="40"/>
      <c r="M849" s="40"/>
    </row>
    <row r="850" spans="5:13" x14ac:dyDescent="0.2">
      <c r="E850" s="40"/>
      <c r="M850" s="40"/>
    </row>
    <row r="851" spans="5:13" x14ac:dyDescent="0.2">
      <c r="E851" s="40"/>
      <c r="M851" s="40"/>
    </row>
    <row r="852" spans="5:13" x14ac:dyDescent="0.2">
      <c r="E852" s="40"/>
      <c r="M852" s="40"/>
    </row>
    <row r="853" spans="5:13" x14ac:dyDescent="0.2">
      <c r="E853" s="40"/>
      <c r="M853" s="40"/>
    </row>
    <row r="854" spans="5:13" x14ac:dyDescent="0.2">
      <c r="E854" s="40"/>
      <c r="M854" s="40"/>
    </row>
    <row r="855" spans="5:13" x14ac:dyDescent="0.2">
      <c r="E855" s="40"/>
      <c r="M855" s="40"/>
    </row>
    <row r="856" spans="5:13" x14ac:dyDescent="0.2">
      <c r="E856" s="40"/>
      <c r="M856" s="40"/>
    </row>
    <row r="857" spans="5:13" x14ac:dyDescent="0.2">
      <c r="E857" s="40"/>
      <c r="M857" s="40"/>
    </row>
    <row r="858" spans="5:13" x14ac:dyDescent="0.2">
      <c r="E858" s="40"/>
      <c r="M858" s="40"/>
    </row>
    <row r="859" spans="5:13" x14ac:dyDescent="0.2">
      <c r="E859" s="40"/>
      <c r="M859" s="40"/>
    </row>
    <row r="860" spans="5:13" x14ac:dyDescent="0.2">
      <c r="E860" s="40"/>
      <c r="M860" s="40"/>
    </row>
    <row r="861" spans="5:13" x14ac:dyDescent="0.2">
      <c r="E861" s="40"/>
      <c r="M861" s="40"/>
    </row>
    <row r="862" spans="5:13" x14ac:dyDescent="0.2">
      <c r="E862" s="40"/>
      <c r="M862" s="40"/>
    </row>
    <row r="863" spans="5:13" x14ac:dyDescent="0.2">
      <c r="E863" s="40"/>
      <c r="M863" s="40"/>
    </row>
    <row r="864" spans="5:13" x14ac:dyDescent="0.2">
      <c r="E864" s="40"/>
      <c r="M864" s="40"/>
    </row>
    <row r="865" spans="5:13" x14ac:dyDescent="0.2">
      <c r="E865" s="40"/>
      <c r="M865" s="40"/>
    </row>
    <row r="866" spans="5:13" x14ac:dyDescent="0.2">
      <c r="E866" s="40"/>
      <c r="M866" s="40"/>
    </row>
    <row r="867" spans="5:13" x14ac:dyDescent="0.2">
      <c r="E867" s="40"/>
      <c r="M867" s="40"/>
    </row>
    <row r="868" spans="5:13" x14ac:dyDescent="0.2">
      <c r="E868" s="40"/>
      <c r="M868" s="40"/>
    </row>
    <row r="869" spans="5:13" x14ac:dyDescent="0.2">
      <c r="E869" s="40"/>
      <c r="M869" s="40"/>
    </row>
    <row r="870" spans="5:13" x14ac:dyDescent="0.2">
      <c r="E870" s="40"/>
      <c r="M870" s="40"/>
    </row>
    <row r="871" spans="5:13" x14ac:dyDescent="0.2">
      <c r="E871" s="40"/>
      <c r="M871" s="40"/>
    </row>
    <row r="872" spans="5:13" x14ac:dyDescent="0.2">
      <c r="E872" s="40"/>
      <c r="M872" s="40"/>
    </row>
    <row r="873" spans="5:13" x14ac:dyDescent="0.2">
      <c r="E873" s="40"/>
      <c r="M873" s="40"/>
    </row>
    <row r="874" spans="5:13" x14ac:dyDescent="0.2">
      <c r="E874" s="40"/>
      <c r="M874" s="40"/>
    </row>
    <row r="875" spans="5:13" x14ac:dyDescent="0.2">
      <c r="E875" s="40"/>
      <c r="M875" s="40"/>
    </row>
    <row r="876" spans="5:13" x14ac:dyDescent="0.2">
      <c r="E876" s="40"/>
      <c r="M876" s="40"/>
    </row>
    <row r="877" spans="5:13" x14ac:dyDescent="0.2">
      <c r="E877" s="40"/>
      <c r="M877" s="40"/>
    </row>
    <row r="878" spans="5:13" x14ac:dyDescent="0.2">
      <c r="E878" s="40"/>
      <c r="M878" s="40"/>
    </row>
    <row r="879" spans="5:13" x14ac:dyDescent="0.2">
      <c r="E879" s="40"/>
      <c r="M879" s="40"/>
    </row>
    <row r="880" spans="5:13" x14ac:dyDescent="0.2">
      <c r="E880" s="40"/>
      <c r="M880" s="40"/>
    </row>
    <row r="881" spans="5:13" x14ac:dyDescent="0.2">
      <c r="E881" s="40"/>
      <c r="M881" s="40"/>
    </row>
    <row r="882" spans="5:13" x14ac:dyDescent="0.2">
      <c r="E882" s="40"/>
      <c r="M882" s="40"/>
    </row>
    <row r="883" spans="5:13" x14ac:dyDescent="0.2">
      <c r="E883" s="40"/>
      <c r="M883" s="40"/>
    </row>
    <row r="884" spans="5:13" x14ac:dyDescent="0.2">
      <c r="E884" s="40"/>
      <c r="M884" s="40"/>
    </row>
    <row r="885" spans="5:13" x14ac:dyDescent="0.2">
      <c r="E885" s="40"/>
      <c r="M885" s="40"/>
    </row>
    <row r="886" spans="5:13" x14ac:dyDescent="0.2">
      <c r="E886" s="40"/>
      <c r="M886" s="40"/>
    </row>
    <row r="887" spans="5:13" x14ac:dyDescent="0.2">
      <c r="E887" s="40"/>
      <c r="M887" s="40"/>
    </row>
    <row r="888" spans="5:13" x14ac:dyDescent="0.2">
      <c r="E888" s="40"/>
      <c r="M888" s="40"/>
    </row>
    <row r="889" spans="5:13" x14ac:dyDescent="0.2">
      <c r="E889" s="40"/>
      <c r="M889" s="40"/>
    </row>
    <row r="890" spans="5:13" x14ac:dyDescent="0.2">
      <c r="E890" s="40"/>
      <c r="M890" s="40"/>
    </row>
    <row r="891" spans="5:13" x14ac:dyDescent="0.2">
      <c r="E891" s="40"/>
      <c r="M891" s="40"/>
    </row>
    <row r="892" spans="5:13" x14ac:dyDescent="0.2">
      <c r="E892" s="40"/>
      <c r="M892" s="40"/>
    </row>
    <row r="893" spans="5:13" x14ac:dyDescent="0.2">
      <c r="E893" s="40"/>
      <c r="M893" s="40"/>
    </row>
    <row r="894" spans="5:13" x14ac:dyDescent="0.2">
      <c r="E894" s="40"/>
      <c r="M894" s="40"/>
    </row>
    <row r="895" spans="5:13" x14ac:dyDescent="0.2">
      <c r="E895" s="40"/>
      <c r="M895" s="40"/>
    </row>
    <row r="896" spans="5:13" x14ac:dyDescent="0.2">
      <c r="E896" s="40"/>
      <c r="M896" s="40"/>
    </row>
    <row r="897" spans="5:13" x14ac:dyDescent="0.2">
      <c r="E897" s="40"/>
      <c r="M897" s="40"/>
    </row>
    <row r="898" spans="5:13" x14ac:dyDescent="0.2">
      <c r="E898" s="40"/>
      <c r="M898" s="40"/>
    </row>
    <row r="899" spans="5:13" x14ac:dyDescent="0.2">
      <c r="E899" s="40"/>
      <c r="M899" s="40"/>
    </row>
    <row r="900" spans="5:13" x14ac:dyDescent="0.2">
      <c r="E900" s="40"/>
      <c r="M900" s="40"/>
    </row>
    <row r="901" spans="5:13" x14ac:dyDescent="0.2">
      <c r="E901" s="40"/>
      <c r="M901" s="40"/>
    </row>
    <row r="902" spans="5:13" x14ac:dyDescent="0.2">
      <c r="E902" s="40"/>
      <c r="M902" s="40"/>
    </row>
    <row r="903" spans="5:13" x14ac:dyDescent="0.2">
      <c r="E903" s="40"/>
      <c r="M903" s="40"/>
    </row>
    <row r="904" spans="5:13" x14ac:dyDescent="0.2">
      <c r="E904" s="40"/>
      <c r="M904" s="40"/>
    </row>
    <row r="905" spans="5:13" x14ac:dyDescent="0.2">
      <c r="E905" s="40"/>
      <c r="M905" s="40"/>
    </row>
    <row r="906" spans="5:13" x14ac:dyDescent="0.2">
      <c r="E906" s="40"/>
      <c r="M906" s="40"/>
    </row>
    <row r="907" spans="5:13" x14ac:dyDescent="0.2">
      <c r="E907" s="40"/>
      <c r="M907" s="40"/>
    </row>
    <row r="908" spans="5:13" x14ac:dyDescent="0.2">
      <c r="E908" s="40"/>
      <c r="M908" s="40"/>
    </row>
    <row r="909" spans="5:13" x14ac:dyDescent="0.2">
      <c r="E909" s="40"/>
      <c r="M909" s="40"/>
    </row>
    <row r="910" spans="5:13" x14ac:dyDescent="0.2">
      <c r="E910" s="40"/>
      <c r="M910" s="40"/>
    </row>
    <row r="911" spans="5:13" x14ac:dyDescent="0.2">
      <c r="E911" s="40"/>
      <c r="M911" s="40"/>
    </row>
    <row r="912" spans="5:13" x14ac:dyDescent="0.2">
      <c r="E912" s="40"/>
      <c r="M912" s="40"/>
    </row>
    <row r="913" spans="5:13" x14ac:dyDescent="0.2">
      <c r="E913" s="40"/>
      <c r="M913" s="40"/>
    </row>
    <row r="914" spans="5:13" x14ac:dyDescent="0.2">
      <c r="E914" s="40"/>
      <c r="M914" s="40"/>
    </row>
    <row r="915" spans="5:13" x14ac:dyDescent="0.2">
      <c r="E915" s="40"/>
      <c r="M915" s="40"/>
    </row>
    <row r="916" spans="5:13" x14ac:dyDescent="0.2">
      <c r="E916" s="40"/>
      <c r="M916" s="40"/>
    </row>
    <row r="917" spans="5:13" x14ac:dyDescent="0.2">
      <c r="E917" s="40"/>
      <c r="M917" s="40"/>
    </row>
    <row r="918" spans="5:13" x14ac:dyDescent="0.2">
      <c r="E918" s="40"/>
      <c r="M918" s="40"/>
    </row>
    <row r="919" spans="5:13" x14ac:dyDescent="0.2">
      <c r="E919" s="40"/>
      <c r="M919" s="40"/>
    </row>
    <row r="920" spans="5:13" x14ac:dyDescent="0.2">
      <c r="E920" s="40"/>
      <c r="M920" s="40"/>
    </row>
    <row r="921" spans="5:13" x14ac:dyDescent="0.2">
      <c r="E921" s="40"/>
      <c r="M921" s="40"/>
    </row>
    <row r="922" spans="5:13" x14ac:dyDescent="0.2">
      <c r="E922" s="40"/>
      <c r="M922" s="40"/>
    </row>
    <row r="923" spans="5:13" x14ac:dyDescent="0.2">
      <c r="E923" s="40"/>
      <c r="M923" s="40"/>
    </row>
    <row r="924" spans="5:13" x14ac:dyDescent="0.2">
      <c r="E924" s="40"/>
      <c r="M924" s="40"/>
    </row>
    <row r="925" spans="5:13" x14ac:dyDescent="0.2">
      <c r="E925" s="40"/>
      <c r="M925" s="40"/>
    </row>
    <row r="926" spans="5:13" x14ac:dyDescent="0.2">
      <c r="E926" s="40"/>
      <c r="M926" s="40"/>
    </row>
    <row r="927" spans="5:13" x14ac:dyDescent="0.2">
      <c r="E927" s="40"/>
      <c r="M927" s="40"/>
    </row>
    <row r="928" spans="5:13" x14ac:dyDescent="0.2">
      <c r="E928" s="40"/>
      <c r="M928" s="40"/>
    </row>
    <row r="929" spans="5:13" x14ac:dyDescent="0.2">
      <c r="E929" s="40"/>
      <c r="M929" s="40"/>
    </row>
    <row r="930" spans="5:13" x14ac:dyDescent="0.2">
      <c r="E930" s="40"/>
      <c r="M930" s="40"/>
    </row>
    <row r="931" spans="5:13" x14ac:dyDescent="0.2">
      <c r="E931" s="40"/>
      <c r="M931" s="40"/>
    </row>
    <row r="932" spans="5:13" x14ac:dyDescent="0.2">
      <c r="E932" s="40"/>
      <c r="M932" s="40"/>
    </row>
    <row r="933" spans="5:13" x14ac:dyDescent="0.2">
      <c r="E933" s="40"/>
      <c r="M933" s="40"/>
    </row>
    <row r="934" spans="5:13" x14ac:dyDescent="0.2">
      <c r="E934" s="40"/>
      <c r="M934" s="40"/>
    </row>
    <row r="935" spans="5:13" x14ac:dyDescent="0.2">
      <c r="E935" s="40"/>
      <c r="M935" s="40"/>
    </row>
    <row r="936" spans="5:13" x14ac:dyDescent="0.2">
      <c r="E936" s="40"/>
      <c r="M936" s="40"/>
    </row>
    <row r="937" spans="5:13" x14ac:dyDescent="0.2">
      <c r="E937" s="40"/>
      <c r="M937" s="40"/>
    </row>
    <row r="938" spans="5:13" x14ac:dyDescent="0.2">
      <c r="E938" s="40"/>
      <c r="M938" s="40"/>
    </row>
    <row r="939" spans="5:13" x14ac:dyDescent="0.2">
      <c r="E939" s="40"/>
      <c r="M939" s="40"/>
    </row>
    <row r="940" spans="5:13" x14ac:dyDescent="0.2">
      <c r="E940" s="40"/>
      <c r="M940" s="40"/>
    </row>
    <row r="941" spans="5:13" x14ac:dyDescent="0.2">
      <c r="E941" s="40"/>
      <c r="M941" s="40"/>
    </row>
    <row r="942" spans="5:13" x14ac:dyDescent="0.2">
      <c r="E942" s="40"/>
      <c r="M942" s="40"/>
    </row>
    <row r="943" spans="5:13" x14ac:dyDescent="0.2">
      <c r="E943" s="40"/>
      <c r="M943" s="40"/>
    </row>
    <row r="944" spans="5:13" x14ac:dyDescent="0.2">
      <c r="E944" s="40"/>
      <c r="M944" s="40"/>
    </row>
    <row r="945" spans="5:13" x14ac:dyDescent="0.2">
      <c r="E945" s="40"/>
      <c r="M945" s="40"/>
    </row>
    <row r="946" spans="5:13" x14ac:dyDescent="0.2">
      <c r="E946" s="40"/>
      <c r="M946" s="40"/>
    </row>
    <row r="947" spans="5:13" x14ac:dyDescent="0.2">
      <c r="E947" s="40"/>
      <c r="M947" s="40"/>
    </row>
    <row r="948" spans="5:13" x14ac:dyDescent="0.2">
      <c r="E948" s="40"/>
      <c r="M948" s="40"/>
    </row>
    <row r="949" spans="5:13" x14ac:dyDescent="0.2">
      <c r="E949" s="40"/>
      <c r="M949" s="40"/>
    </row>
    <row r="950" spans="5:13" x14ac:dyDescent="0.2">
      <c r="E950" s="40"/>
      <c r="M950" s="40"/>
    </row>
    <row r="951" spans="5:13" x14ac:dyDescent="0.2">
      <c r="E951" s="40"/>
      <c r="M951" s="40"/>
    </row>
    <row r="952" spans="5:13" x14ac:dyDescent="0.2">
      <c r="E952" s="40"/>
      <c r="M952" s="40"/>
    </row>
    <row r="953" spans="5:13" x14ac:dyDescent="0.2">
      <c r="E953" s="40"/>
      <c r="M953" s="40"/>
    </row>
    <row r="954" spans="5:13" x14ac:dyDescent="0.2">
      <c r="E954" s="40"/>
      <c r="M954" s="40"/>
    </row>
    <row r="955" spans="5:13" x14ac:dyDescent="0.2">
      <c r="E955" s="40"/>
      <c r="M955" s="40"/>
    </row>
    <row r="956" spans="5:13" x14ac:dyDescent="0.2">
      <c r="E956" s="40"/>
      <c r="M956" s="40"/>
    </row>
    <row r="957" spans="5:13" x14ac:dyDescent="0.2">
      <c r="E957" s="40"/>
      <c r="M957" s="40"/>
    </row>
    <row r="958" spans="5:13" x14ac:dyDescent="0.2">
      <c r="E958" s="40"/>
      <c r="M958" s="40"/>
    </row>
    <row r="959" spans="5:13" x14ac:dyDescent="0.2">
      <c r="E959" s="40"/>
      <c r="M959" s="40"/>
    </row>
    <row r="960" spans="5:13" x14ac:dyDescent="0.2">
      <c r="E960" s="40"/>
      <c r="M960" s="40"/>
    </row>
    <row r="961" spans="5:13" x14ac:dyDescent="0.2">
      <c r="E961" s="40"/>
      <c r="M961" s="40"/>
    </row>
    <row r="962" spans="5:13" x14ac:dyDescent="0.2">
      <c r="E962" s="40"/>
      <c r="M962" s="40"/>
    </row>
    <row r="963" spans="5:13" x14ac:dyDescent="0.2">
      <c r="E963" s="40"/>
      <c r="M963" s="40"/>
    </row>
    <row r="964" spans="5:13" x14ac:dyDescent="0.2">
      <c r="E964" s="40"/>
      <c r="M964" s="40"/>
    </row>
    <row r="965" spans="5:13" x14ac:dyDescent="0.2">
      <c r="E965" s="40"/>
      <c r="M965" s="40"/>
    </row>
    <row r="966" spans="5:13" x14ac:dyDescent="0.2">
      <c r="E966" s="40"/>
      <c r="M966" s="40"/>
    </row>
    <row r="967" spans="5:13" x14ac:dyDescent="0.2">
      <c r="E967" s="40"/>
      <c r="M967" s="40"/>
    </row>
    <row r="968" spans="5:13" x14ac:dyDescent="0.2">
      <c r="E968" s="40"/>
      <c r="M968" s="40"/>
    </row>
    <row r="969" spans="5:13" x14ac:dyDescent="0.2">
      <c r="E969" s="40"/>
      <c r="M969" s="40"/>
    </row>
    <row r="970" spans="5:13" x14ac:dyDescent="0.2">
      <c r="E970" s="40"/>
      <c r="M970" s="40"/>
    </row>
    <row r="971" spans="5:13" x14ac:dyDescent="0.2">
      <c r="E971" s="40"/>
      <c r="M971" s="40"/>
    </row>
    <row r="972" spans="5:13" x14ac:dyDescent="0.2">
      <c r="E972" s="40"/>
      <c r="M972" s="40"/>
    </row>
    <row r="973" spans="5:13" x14ac:dyDescent="0.2">
      <c r="E973" s="40"/>
      <c r="M973" s="40"/>
    </row>
    <row r="974" spans="5:13" x14ac:dyDescent="0.2">
      <c r="E974" s="40"/>
      <c r="M974" s="40"/>
    </row>
    <row r="975" spans="5:13" x14ac:dyDescent="0.2">
      <c r="E975" s="40"/>
      <c r="M975" s="40"/>
    </row>
    <row r="976" spans="5:13" x14ac:dyDescent="0.2">
      <c r="E976" s="40"/>
      <c r="M976" s="40"/>
    </row>
    <row r="977" spans="5:13" x14ac:dyDescent="0.2">
      <c r="E977" s="40"/>
      <c r="M977" s="40"/>
    </row>
    <row r="978" spans="5:13" x14ac:dyDescent="0.2">
      <c r="E978" s="40"/>
      <c r="M978" s="40"/>
    </row>
    <row r="979" spans="5:13" x14ac:dyDescent="0.2">
      <c r="E979" s="40"/>
      <c r="M979" s="40"/>
    </row>
    <row r="980" spans="5:13" x14ac:dyDescent="0.2">
      <c r="E980" s="40"/>
      <c r="M980" s="40"/>
    </row>
    <row r="981" spans="5:13" x14ac:dyDescent="0.2">
      <c r="E981" s="40"/>
      <c r="M981" s="40"/>
    </row>
    <row r="982" spans="5:13" x14ac:dyDescent="0.2">
      <c r="E982" s="40"/>
      <c r="M982" s="40"/>
    </row>
    <row r="983" spans="5:13" x14ac:dyDescent="0.2">
      <c r="E983" s="40"/>
      <c r="M983" s="40"/>
    </row>
    <row r="984" spans="5:13" x14ac:dyDescent="0.2">
      <c r="E984" s="40"/>
      <c r="M984" s="40"/>
    </row>
    <row r="985" spans="5:13" x14ac:dyDescent="0.2">
      <c r="E985" s="40"/>
      <c r="M985" s="40"/>
    </row>
    <row r="986" spans="5:13" x14ac:dyDescent="0.2">
      <c r="E986" s="40"/>
      <c r="M986" s="40"/>
    </row>
    <row r="987" spans="5:13" x14ac:dyDescent="0.2">
      <c r="E987" s="40"/>
      <c r="M987" s="40"/>
    </row>
    <row r="988" spans="5:13" x14ac:dyDescent="0.2">
      <c r="E988" s="40"/>
      <c r="M988" s="40"/>
    </row>
    <row r="989" spans="5:13" x14ac:dyDescent="0.2">
      <c r="E989" s="40"/>
      <c r="M989" s="40"/>
    </row>
    <row r="990" spans="5:13" x14ac:dyDescent="0.2">
      <c r="E990" s="40"/>
      <c r="M990" s="40"/>
    </row>
    <row r="991" spans="5:13" x14ac:dyDescent="0.2">
      <c r="E991" s="40"/>
      <c r="M991" s="40"/>
    </row>
    <row r="992" spans="5:13" x14ac:dyDescent="0.2">
      <c r="E992" s="40"/>
      <c r="M992" s="40"/>
    </row>
    <row r="993" spans="5:13" x14ac:dyDescent="0.2">
      <c r="E993" s="40"/>
      <c r="M993" s="40"/>
    </row>
    <row r="994" spans="5:13" x14ac:dyDescent="0.2">
      <c r="E994" s="40"/>
      <c r="M994" s="40"/>
    </row>
    <row r="995" spans="5:13" x14ac:dyDescent="0.2">
      <c r="E995" s="40"/>
      <c r="M995" s="40"/>
    </row>
    <row r="996" spans="5:13" x14ac:dyDescent="0.2">
      <c r="E996" s="40"/>
      <c r="M996" s="40"/>
    </row>
    <row r="997" spans="5:13" x14ac:dyDescent="0.2">
      <c r="E997" s="40"/>
      <c r="M997" s="40"/>
    </row>
    <row r="998" spans="5:13" x14ac:dyDescent="0.2">
      <c r="E998" s="40"/>
      <c r="M998" s="40"/>
    </row>
    <row r="999" spans="5:13" x14ac:dyDescent="0.2">
      <c r="E999" s="40"/>
      <c r="M999" s="40"/>
    </row>
    <row r="1000" spans="5:13" x14ac:dyDescent="0.2">
      <c r="E1000" s="40"/>
      <c r="M1000" s="40"/>
    </row>
    <row r="1001" spans="5:13" x14ac:dyDescent="0.2">
      <c r="E1001" s="40"/>
      <c r="M1001" s="40"/>
    </row>
    <row r="1002" spans="5:13" x14ac:dyDescent="0.2">
      <c r="E1002" s="40"/>
      <c r="M1002" s="40"/>
    </row>
    <row r="1003" spans="5:13" x14ac:dyDescent="0.2">
      <c r="E1003" s="40"/>
      <c r="M1003" s="40"/>
    </row>
    <row r="1004" spans="5:13" x14ac:dyDescent="0.2">
      <c r="E1004" s="40"/>
      <c r="M1004" s="4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4"/>
  <sheetViews>
    <sheetView topLeftCell="A20" workbookViewId="0"/>
  </sheetViews>
  <sheetFormatPr defaultColWidth="12.5703125" defaultRowHeight="15.75" customHeight="1" x14ac:dyDescent="0.2"/>
  <cols>
    <col min="5" max="5" width="2.5703125" customWidth="1"/>
    <col min="7" max="7" width="17.42578125" customWidth="1"/>
    <col min="8" max="8" width="9.85546875" customWidth="1"/>
    <col min="9" max="9" width="11.140625" customWidth="1"/>
    <col min="10" max="10" width="16.42578125" customWidth="1"/>
    <col min="13" max="13" width="2.5703125" customWidth="1"/>
    <col min="14" max="14" width="15.5703125" customWidth="1"/>
  </cols>
  <sheetData>
    <row r="1" spans="1:27" ht="19.5" customHeight="1" x14ac:dyDescent="0.2">
      <c r="A1" s="43"/>
      <c r="B1" s="43"/>
      <c r="C1" s="43"/>
      <c r="D1" s="43"/>
      <c r="E1" s="40"/>
      <c r="F1" s="43"/>
      <c r="G1" s="43"/>
      <c r="H1" s="43"/>
      <c r="I1" s="43"/>
      <c r="J1" s="43"/>
      <c r="K1" s="43"/>
      <c r="L1" s="43"/>
      <c r="M1" s="40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</row>
    <row r="2" spans="1:27" ht="19.5" customHeight="1" x14ac:dyDescent="0.2">
      <c r="A2" s="38" t="s">
        <v>135</v>
      </c>
      <c r="B2" s="39">
        <v>45536</v>
      </c>
      <c r="E2" s="40"/>
      <c r="F2" s="38" t="s">
        <v>136</v>
      </c>
      <c r="G2" s="39">
        <v>45536</v>
      </c>
      <c r="M2" s="40"/>
      <c r="P2" s="38" t="s">
        <v>175</v>
      </c>
      <c r="Q2" s="38">
        <f>L10+L28+L46+L64+L83+L101+L119+L137+L156+L175+L212+L248+H274+L284+H310+L320+L339+L357+L375+H401+L411+H437</f>
        <v>2977.24</v>
      </c>
      <c r="V2" s="38">
        <v>0.05</v>
      </c>
      <c r="W2" s="38">
        <f t="shared" ref="W2:W11" si="0">U2*V2</f>
        <v>0</v>
      </c>
    </row>
    <row r="3" spans="1:27" ht="19.5" customHeight="1" x14ac:dyDescent="0.2">
      <c r="A3" s="38" t="s">
        <v>139</v>
      </c>
      <c r="B3" s="38" t="s">
        <v>140</v>
      </c>
      <c r="C3" s="38" t="s">
        <v>141</v>
      </c>
      <c r="E3" s="40"/>
      <c r="F3" s="38" t="s">
        <v>139</v>
      </c>
      <c r="G3" s="38" t="s">
        <v>140</v>
      </c>
      <c r="H3" s="38" t="s">
        <v>141</v>
      </c>
      <c r="J3" s="38" t="s">
        <v>141</v>
      </c>
      <c r="K3" s="38">
        <v>60.4</v>
      </c>
      <c r="M3" s="40"/>
      <c r="P3" s="38" t="s">
        <v>176</v>
      </c>
      <c r="Q3" s="38">
        <f>-((6*3.2)+2*5)</f>
        <v>-29.200000000000003</v>
      </c>
      <c r="V3" s="41">
        <v>0.1</v>
      </c>
      <c r="W3" s="38">
        <f t="shared" si="0"/>
        <v>0</v>
      </c>
    </row>
    <row r="4" spans="1:27" ht="19.5" customHeight="1" x14ac:dyDescent="0.2">
      <c r="A4" s="38">
        <v>52</v>
      </c>
      <c r="B4" s="41">
        <v>0.05</v>
      </c>
      <c r="C4" s="38">
        <f t="shared" ref="C4:C12" si="1">A4*B4</f>
        <v>2.6</v>
      </c>
      <c r="E4" s="40"/>
      <c r="F4" s="38">
        <v>50</v>
      </c>
      <c r="G4" s="38">
        <v>0.05</v>
      </c>
      <c r="H4" s="38">
        <f t="shared" ref="H4:H13" si="2">F4*G4</f>
        <v>2.5</v>
      </c>
      <c r="J4" s="38" t="s">
        <v>142</v>
      </c>
      <c r="K4" s="38">
        <v>39.799999999999997</v>
      </c>
      <c r="L4" s="38">
        <v>35</v>
      </c>
      <c r="M4" s="40"/>
      <c r="P4" s="38" t="s">
        <v>177</v>
      </c>
      <c r="V4" s="41">
        <v>0.2</v>
      </c>
      <c r="W4" s="38">
        <f t="shared" si="0"/>
        <v>0</v>
      </c>
    </row>
    <row r="5" spans="1:27" ht="19.5" customHeight="1" x14ac:dyDescent="0.2">
      <c r="A5" s="38">
        <v>20</v>
      </c>
      <c r="B5" s="41">
        <v>0.1</v>
      </c>
      <c r="C5" s="38">
        <f t="shared" si="1"/>
        <v>2</v>
      </c>
      <c r="E5" s="40"/>
      <c r="F5" s="38">
        <v>8</v>
      </c>
      <c r="G5" s="41">
        <v>0.1</v>
      </c>
      <c r="H5" s="38">
        <f t="shared" si="2"/>
        <v>0.8</v>
      </c>
      <c r="J5" s="38" t="s">
        <v>163</v>
      </c>
      <c r="K5" s="38">
        <v>20.6</v>
      </c>
      <c r="M5" s="40"/>
      <c r="P5" s="38" t="s">
        <v>147</v>
      </c>
      <c r="Q5" s="38">
        <v>-30</v>
      </c>
      <c r="V5" s="41">
        <v>0.5</v>
      </c>
      <c r="W5" s="38">
        <f t="shared" si="0"/>
        <v>0</v>
      </c>
    </row>
    <row r="6" spans="1:27" ht="19.5" customHeight="1" x14ac:dyDescent="0.2">
      <c r="A6" s="38">
        <v>11</v>
      </c>
      <c r="B6" s="41">
        <v>0.2</v>
      </c>
      <c r="C6" s="38">
        <f t="shared" si="1"/>
        <v>2.2000000000000002</v>
      </c>
      <c r="E6" s="40"/>
      <c r="F6" s="38">
        <v>3</v>
      </c>
      <c r="G6" s="41">
        <v>0.2</v>
      </c>
      <c r="H6" s="38">
        <f t="shared" si="2"/>
        <v>0.60000000000000009</v>
      </c>
      <c r="J6" s="38" t="s">
        <v>146</v>
      </c>
      <c r="M6" s="40"/>
      <c r="P6" s="38" t="s">
        <v>150</v>
      </c>
      <c r="Q6" s="38">
        <v>-40</v>
      </c>
      <c r="U6" s="38">
        <v>1</v>
      </c>
      <c r="V6" s="41">
        <v>1</v>
      </c>
      <c r="W6" s="38">
        <f t="shared" si="0"/>
        <v>1</v>
      </c>
    </row>
    <row r="7" spans="1:27" ht="19.5" customHeight="1" x14ac:dyDescent="0.2">
      <c r="A7" s="38">
        <v>4</v>
      </c>
      <c r="B7" s="41">
        <v>0.5</v>
      </c>
      <c r="C7" s="38">
        <f t="shared" si="1"/>
        <v>2</v>
      </c>
      <c r="E7" s="40"/>
      <c r="F7" s="38">
        <v>2</v>
      </c>
      <c r="G7" s="41">
        <v>0.5</v>
      </c>
      <c r="H7" s="38">
        <f t="shared" si="2"/>
        <v>1</v>
      </c>
      <c r="M7" s="40"/>
      <c r="U7" s="38">
        <v>1</v>
      </c>
      <c r="V7" s="41">
        <v>100</v>
      </c>
      <c r="W7" s="38">
        <f t="shared" si="0"/>
        <v>100</v>
      </c>
      <c r="Y7" s="38">
        <v>1</v>
      </c>
      <c r="Z7" s="41">
        <v>100</v>
      </c>
      <c r="AA7" s="38">
        <f t="shared" ref="AA7:AA11" si="3">Y7*Z7</f>
        <v>100</v>
      </c>
    </row>
    <row r="8" spans="1:27" ht="19.5" customHeight="1" x14ac:dyDescent="0.2">
      <c r="A8" s="38">
        <v>20</v>
      </c>
      <c r="B8" s="41">
        <v>1</v>
      </c>
      <c r="C8" s="38">
        <f t="shared" si="1"/>
        <v>20</v>
      </c>
      <c r="E8" s="40"/>
      <c r="F8" s="38">
        <v>23</v>
      </c>
      <c r="G8" s="41">
        <v>1</v>
      </c>
      <c r="H8" s="38">
        <f t="shared" si="2"/>
        <v>23</v>
      </c>
      <c r="J8" s="42"/>
      <c r="M8" s="40"/>
      <c r="U8" s="38">
        <v>14</v>
      </c>
      <c r="V8" s="41">
        <v>5</v>
      </c>
      <c r="W8" s="38">
        <f t="shared" si="0"/>
        <v>70</v>
      </c>
      <c r="Y8" s="38">
        <v>14</v>
      </c>
      <c r="Z8" s="41">
        <v>5</v>
      </c>
      <c r="AA8" s="38">
        <f t="shared" si="3"/>
        <v>70</v>
      </c>
    </row>
    <row r="9" spans="1:27" ht="19.5" customHeight="1" x14ac:dyDescent="0.2">
      <c r="A9" s="38">
        <v>15</v>
      </c>
      <c r="B9" s="41">
        <v>2</v>
      </c>
      <c r="C9" s="38">
        <f t="shared" si="1"/>
        <v>30</v>
      </c>
      <c r="E9" s="40"/>
      <c r="F9" s="38">
        <v>3</v>
      </c>
      <c r="G9" s="41">
        <v>2</v>
      </c>
      <c r="H9" s="38">
        <f t="shared" si="2"/>
        <v>6</v>
      </c>
      <c r="J9" s="38" t="s">
        <v>149</v>
      </c>
      <c r="K9" s="38">
        <f>SUM(K4,K5)*0.2</f>
        <v>12.08</v>
      </c>
      <c r="M9" s="40"/>
      <c r="U9" s="38">
        <v>6</v>
      </c>
      <c r="V9" s="41">
        <v>10</v>
      </c>
      <c r="W9" s="38">
        <f t="shared" si="0"/>
        <v>60</v>
      </c>
      <c r="Y9" s="38">
        <v>6</v>
      </c>
      <c r="Z9" s="41">
        <v>10</v>
      </c>
      <c r="AA9" s="38">
        <f t="shared" si="3"/>
        <v>60</v>
      </c>
    </row>
    <row r="10" spans="1:27" ht="19.5" customHeight="1" x14ac:dyDescent="0.2">
      <c r="A10" s="45">
        <v>6</v>
      </c>
      <c r="B10" s="41">
        <v>5</v>
      </c>
      <c r="C10" s="38">
        <f t="shared" si="1"/>
        <v>30</v>
      </c>
      <c r="E10" s="40"/>
      <c r="F10" s="38">
        <v>0</v>
      </c>
      <c r="G10" s="41">
        <v>5</v>
      </c>
      <c r="H10" s="38">
        <f t="shared" si="2"/>
        <v>0</v>
      </c>
      <c r="J10" s="38" t="s">
        <v>161</v>
      </c>
      <c r="K10" s="38">
        <f t="shared" ref="K10:L10" si="4">K4-K9</f>
        <v>27.72</v>
      </c>
      <c r="L10" s="38">
        <f t="shared" si="4"/>
        <v>35</v>
      </c>
      <c r="M10" s="40"/>
      <c r="U10" s="38">
        <v>61</v>
      </c>
      <c r="V10" s="41">
        <v>20</v>
      </c>
      <c r="W10" s="38">
        <f t="shared" si="0"/>
        <v>1220</v>
      </c>
      <c r="Y10" s="38">
        <v>31</v>
      </c>
      <c r="Z10" s="41">
        <v>20</v>
      </c>
      <c r="AA10" s="38">
        <f t="shared" si="3"/>
        <v>620</v>
      </c>
    </row>
    <row r="11" spans="1:27" ht="19.5" customHeight="1" x14ac:dyDescent="0.2">
      <c r="A11" s="45">
        <v>2</v>
      </c>
      <c r="B11" s="41">
        <v>10</v>
      </c>
      <c r="C11" s="38">
        <f t="shared" si="1"/>
        <v>20</v>
      </c>
      <c r="E11" s="40"/>
      <c r="F11" s="38">
        <v>10</v>
      </c>
      <c r="G11" s="41">
        <v>10</v>
      </c>
      <c r="H11" s="38">
        <f t="shared" si="2"/>
        <v>100</v>
      </c>
      <c r="M11" s="40"/>
      <c r="U11" s="38">
        <v>39</v>
      </c>
      <c r="V11" s="41">
        <v>50</v>
      </c>
      <c r="W11" s="38">
        <f t="shared" si="0"/>
        <v>1950</v>
      </c>
      <c r="Y11" s="38">
        <v>15</v>
      </c>
      <c r="Z11" s="41">
        <v>50</v>
      </c>
      <c r="AA11" s="38">
        <f t="shared" si="3"/>
        <v>750</v>
      </c>
    </row>
    <row r="12" spans="1:27" ht="19.5" customHeight="1" x14ac:dyDescent="0.2">
      <c r="B12" s="41">
        <v>20</v>
      </c>
      <c r="C12" s="38">
        <f t="shared" si="1"/>
        <v>0</v>
      </c>
      <c r="E12" s="40"/>
      <c r="F12" s="38">
        <v>0</v>
      </c>
      <c r="G12" s="41">
        <v>20</v>
      </c>
      <c r="H12" s="38">
        <f t="shared" si="2"/>
        <v>0</v>
      </c>
      <c r="M12" s="40"/>
      <c r="V12" s="38" t="s">
        <v>137</v>
      </c>
      <c r="W12" s="38">
        <f>SUM(W2:W11)</f>
        <v>3401</v>
      </c>
      <c r="Z12" s="38" t="s">
        <v>137</v>
      </c>
      <c r="AA12" s="38">
        <f>SUM(AA2:AA11)</f>
        <v>1600</v>
      </c>
    </row>
    <row r="13" spans="1:27" ht="19.5" customHeight="1" x14ac:dyDescent="0.2">
      <c r="B13" s="38" t="s">
        <v>156</v>
      </c>
      <c r="E13" s="40"/>
      <c r="F13" s="38">
        <v>1</v>
      </c>
      <c r="G13" s="41">
        <v>50</v>
      </c>
      <c r="H13" s="38">
        <f t="shared" si="2"/>
        <v>50</v>
      </c>
      <c r="M13" s="40"/>
    </row>
    <row r="14" spans="1:27" ht="19.5" customHeight="1" x14ac:dyDescent="0.2">
      <c r="B14" s="38" t="s">
        <v>141</v>
      </c>
      <c r="C14" s="38">
        <f>SUM(C4:C13)</f>
        <v>108.8</v>
      </c>
      <c r="E14" s="40"/>
      <c r="G14" s="38" t="s">
        <v>137</v>
      </c>
      <c r="H14" s="38">
        <f>SUM(H4:H13)</f>
        <v>183.9</v>
      </c>
      <c r="M14" s="40"/>
    </row>
    <row r="15" spans="1:27" ht="19.5" customHeight="1" x14ac:dyDescent="0.2">
      <c r="B15" s="38" t="s">
        <v>157</v>
      </c>
      <c r="E15" s="40"/>
      <c r="G15" s="38" t="s">
        <v>158</v>
      </c>
      <c r="H15" s="38">
        <f>H14-C14-C15</f>
        <v>75.100000000000009</v>
      </c>
      <c r="M15" s="40"/>
      <c r="V15" s="38" t="s">
        <v>178</v>
      </c>
      <c r="W15" s="38">
        <v>-1800</v>
      </c>
    </row>
    <row r="16" spans="1:27" ht="19.5" customHeight="1" x14ac:dyDescent="0.2">
      <c r="E16" s="40"/>
      <c r="G16" s="38" t="s">
        <v>142</v>
      </c>
      <c r="H16" s="38">
        <v>39.799999999999997</v>
      </c>
      <c r="M16" s="40"/>
      <c r="V16" s="38" t="s">
        <v>179</v>
      </c>
      <c r="W16" s="38">
        <v>-600</v>
      </c>
    </row>
    <row r="17" spans="1:27" ht="19.5" customHeight="1" x14ac:dyDescent="0.2">
      <c r="E17" s="40"/>
      <c r="G17" s="38" t="s">
        <v>171</v>
      </c>
      <c r="H17" s="38">
        <v>20.6</v>
      </c>
      <c r="M17" s="40"/>
      <c r="V17" s="38" t="s">
        <v>180</v>
      </c>
      <c r="W17" s="38">
        <v>-110</v>
      </c>
    </row>
    <row r="18" spans="1:27" ht="19.5" customHeight="1" x14ac:dyDescent="0.2">
      <c r="E18" s="40"/>
      <c r="G18" s="38" t="s">
        <v>160</v>
      </c>
      <c r="H18" s="38">
        <f>H15-H16</f>
        <v>35.300000000000011</v>
      </c>
      <c r="I18" s="38">
        <v>95.7</v>
      </c>
      <c r="M18" s="40"/>
      <c r="V18" s="38" t="s">
        <v>181</v>
      </c>
      <c r="W18" s="38">
        <v>-100</v>
      </c>
    </row>
    <row r="19" spans="1:27" ht="19.5" customHeight="1" x14ac:dyDescent="0.2">
      <c r="A19" s="43"/>
      <c r="B19" s="43"/>
      <c r="C19" s="43"/>
      <c r="D19" s="43"/>
      <c r="E19" s="40"/>
      <c r="F19" s="43"/>
      <c r="G19" s="43"/>
      <c r="H19" s="43"/>
      <c r="I19" s="43"/>
      <c r="J19" s="43"/>
      <c r="K19" s="43"/>
      <c r="L19" s="43"/>
      <c r="M19" s="40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</row>
    <row r="20" spans="1:27" ht="19.5" customHeight="1" x14ac:dyDescent="0.2">
      <c r="A20" s="38" t="s">
        <v>135</v>
      </c>
      <c r="B20" s="39">
        <v>45537</v>
      </c>
      <c r="E20" s="40"/>
      <c r="F20" s="38" t="s">
        <v>136</v>
      </c>
      <c r="G20" s="39">
        <v>45537</v>
      </c>
      <c r="M20" s="40"/>
      <c r="N20" s="44" t="s">
        <v>169</v>
      </c>
      <c r="O20" s="38">
        <v>38.97</v>
      </c>
    </row>
    <row r="21" spans="1:27" ht="19.5" customHeight="1" x14ac:dyDescent="0.2">
      <c r="A21" s="38" t="s">
        <v>139</v>
      </c>
      <c r="B21" s="38" t="s">
        <v>140</v>
      </c>
      <c r="C21" s="38" t="s">
        <v>141</v>
      </c>
      <c r="E21" s="40"/>
      <c r="F21" s="38" t="s">
        <v>139</v>
      </c>
      <c r="G21" s="38" t="s">
        <v>140</v>
      </c>
      <c r="H21" s="38" t="s">
        <v>141</v>
      </c>
      <c r="J21" s="38" t="s">
        <v>141</v>
      </c>
      <c r="K21" s="38">
        <v>97.4</v>
      </c>
      <c r="M21" s="40"/>
      <c r="N21" s="44" t="s">
        <v>182</v>
      </c>
    </row>
    <row r="22" spans="1:27" ht="19.5" customHeight="1" x14ac:dyDescent="0.2">
      <c r="A22" s="38">
        <v>50</v>
      </c>
      <c r="B22" s="41">
        <v>0.05</v>
      </c>
      <c r="C22" s="38">
        <f t="shared" ref="C22:C30" si="5">A22*B22</f>
        <v>2.5</v>
      </c>
      <c r="E22" s="40"/>
      <c r="F22" s="38">
        <v>28</v>
      </c>
      <c r="G22" s="38">
        <v>0.05</v>
      </c>
      <c r="H22" s="38">
        <f t="shared" ref="H22:H31" si="6">F22*G22</f>
        <v>1.4000000000000001</v>
      </c>
      <c r="J22" s="38" t="s">
        <v>142</v>
      </c>
      <c r="K22" s="38">
        <v>73.5</v>
      </c>
      <c r="L22" s="38">
        <v>165</v>
      </c>
      <c r="M22" s="40"/>
    </row>
    <row r="23" spans="1:27" ht="19.5" customHeight="1" x14ac:dyDescent="0.2">
      <c r="A23" s="38">
        <v>9</v>
      </c>
      <c r="B23" s="41">
        <v>0.1</v>
      </c>
      <c r="C23" s="38">
        <f t="shared" si="5"/>
        <v>0.9</v>
      </c>
      <c r="E23" s="40"/>
      <c r="F23" s="38">
        <v>9</v>
      </c>
      <c r="G23" s="41">
        <v>0.1</v>
      </c>
      <c r="H23" s="38">
        <f t="shared" si="6"/>
        <v>0.9</v>
      </c>
      <c r="J23" s="38" t="s">
        <v>163</v>
      </c>
      <c r="K23" s="38">
        <v>23.9</v>
      </c>
      <c r="M23" s="40"/>
    </row>
    <row r="24" spans="1:27" ht="19.5" customHeight="1" x14ac:dyDescent="0.2">
      <c r="A24" s="38">
        <v>3</v>
      </c>
      <c r="B24" s="41">
        <v>0.2</v>
      </c>
      <c r="C24" s="38">
        <f t="shared" si="5"/>
        <v>0.60000000000000009</v>
      </c>
      <c r="E24" s="40"/>
      <c r="F24" s="38">
        <v>5</v>
      </c>
      <c r="G24" s="41">
        <v>0.2</v>
      </c>
      <c r="H24" s="38">
        <f t="shared" si="6"/>
        <v>1</v>
      </c>
      <c r="J24" s="38" t="s">
        <v>146</v>
      </c>
      <c r="M24" s="40"/>
    </row>
    <row r="25" spans="1:27" ht="19.5" customHeight="1" x14ac:dyDescent="0.2">
      <c r="A25" s="38">
        <v>2</v>
      </c>
      <c r="B25" s="41">
        <v>0.5</v>
      </c>
      <c r="C25" s="38">
        <f t="shared" si="5"/>
        <v>1</v>
      </c>
      <c r="E25" s="40"/>
      <c r="F25" s="38">
        <v>4</v>
      </c>
      <c r="G25" s="41">
        <v>0.5</v>
      </c>
      <c r="H25" s="38">
        <f t="shared" si="6"/>
        <v>2</v>
      </c>
      <c r="M25" s="40"/>
    </row>
    <row r="26" spans="1:27" ht="19.5" customHeight="1" x14ac:dyDescent="0.2">
      <c r="A26" s="38">
        <v>25</v>
      </c>
      <c r="B26" s="41">
        <v>1</v>
      </c>
      <c r="C26" s="38">
        <f t="shared" si="5"/>
        <v>25</v>
      </c>
      <c r="E26" s="40"/>
      <c r="F26" s="38">
        <v>39</v>
      </c>
      <c r="G26" s="41">
        <v>1</v>
      </c>
      <c r="H26" s="38">
        <f t="shared" si="6"/>
        <v>39</v>
      </c>
      <c r="J26" s="42"/>
      <c r="M26" s="40"/>
    </row>
    <row r="27" spans="1:27" ht="19.5" customHeight="1" x14ac:dyDescent="0.2">
      <c r="A27" s="38">
        <v>7</v>
      </c>
      <c r="B27" s="41">
        <v>2</v>
      </c>
      <c r="C27" s="38">
        <f t="shared" si="5"/>
        <v>14</v>
      </c>
      <c r="E27" s="40"/>
      <c r="F27" s="38">
        <v>17</v>
      </c>
      <c r="G27" s="41">
        <v>2</v>
      </c>
      <c r="H27" s="38">
        <f t="shared" si="6"/>
        <v>34</v>
      </c>
      <c r="J27" s="38" t="s">
        <v>149</v>
      </c>
      <c r="K27" s="38">
        <v>50</v>
      </c>
      <c r="L27" s="46">
        <f>SUM(L22,L23)*0.2</f>
        <v>33</v>
      </c>
      <c r="M27" s="40"/>
    </row>
    <row r="28" spans="1:27" ht="19.5" customHeight="1" x14ac:dyDescent="0.2">
      <c r="A28" s="38">
        <v>6</v>
      </c>
      <c r="B28" s="41">
        <v>5</v>
      </c>
      <c r="C28" s="38">
        <f t="shared" si="5"/>
        <v>30</v>
      </c>
      <c r="E28" s="40"/>
      <c r="F28" s="38">
        <v>11</v>
      </c>
      <c r="G28" s="41">
        <v>5</v>
      </c>
      <c r="H28" s="38">
        <f t="shared" si="6"/>
        <v>55</v>
      </c>
      <c r="J28" s="38" t="s">
        <v>161</v>
      </c>
      <c r="K28" s="38">
        <f t="shared" ref="K28:L28" si="7">K22-K27</f>
        <v>23.5</v>
      </c>
      <c r="L28" s="38">
        <f t="shared" si="7"/>
        <v>132</v>
      </c>
      <c r="M28" s="40"/>
    </row>
    <row r="29" spans="1:27" ht="19.5" customHeight="1" x14ac:dyDescent="0.2">
      <c r="A29" s="38">
        <v>4</v>
      </c>
      <c r="B29" s="41">
        <v>10</v>
      </c>
      <c r="C29" s="38">
        <f t="shared" si="5"/>
        <v>40</v>
      </c>
      <c r="E29" s="40"/>
      <c r="F29" s="38">
        <v>8</v>
      </c>
      <c r="G29" s="41">
        <v>10</v>
      </c>
      <c r="H29" s="38">
        <f t="shared" si="6"/>
        <v>80</v>
      </c>
      <c r="M29" s="40"/>
    </row>
    <row r="30" spans="1:27" ht="19.5" customHeight="1" x14ac:dyDescent="0.2">
      <c r="B30" s="41">
        <v>20</v>
      </c>
      <c r="C30" s="38">
        <f t="shared" si="5"/>
        <v>0</v>
      </c>
      <c r="E30" s="40"/>
      <c r="F30" s="38">
        <v>2</v>
      </c>
      <c r="G30" s="41">
        <v>20</v>
      </c>
      <c r="H30" s="38">
        <f t="shared" si="6"/>
        <v>40</v>
      </c>
      <c r="M30" s="40"/>
    </row>
    <row r="31" spans="1:27" ht="19.5" customHeight="1" x14ac:dyDescent="0.2">
      <c r="B31" s="38" t="s">
        <v>156</v>
      </c>
      <c r="E31" s="40"/>
      <c r="F31" s="38">
        <v>2</v>
      </c>
      <c r="G31" s="41">
        <v>50</v>
      </c>
      <c r="H31" s="38">
        <f t="shared" si="6"/>
        <v>100</v>
      </c>
      <c r="M31" s="40"/>
    </row>
    <row r="32" spans="1:27" ht="19.5" customHeight="1" x14ac:dyDescent="0.2">
      <c r="B32" s="38" t="s">
        <v>141</v>
      </c>
      <c r="C32" s="38">
        <f>SUM(C22:C31)</f>
        <v>114</v>
      </c>
      <c r="E32" s="40"/>
      <c r="G32" s="38" t="s">
        <v>137</v>
      </c>
      <c r="H32" s="38">
        <f>SUM(H22:H31)</f>
        <v>353.3</v>
      </c>
      <c r="M32" s="40"/>
    </row>
    <row r="33" spans="1:27" ht="19.5" customHeight="1" x14ac:dyDescent="0.2">
      <c r="B33" s="38" t="s">
        <v>157</v>
      </c>
      <c r="E33" s="40"/>
      <c r="G33" s="38" t="s">
        <v>158</v>
      </c>
      <c r="H33" s="38">
        <f>H32-C32</f>
        <v>239.3</v>
      </c>
      <c r="M33" s="40"/>
    </row>
    <row r="34" spans="1:27" ht="19.5" customHeight="1" x14ac:dyDescent="0.2">
      <c r="E34" s="40"/>
      <c r="G34" s="38" t="s">
        <v>142</v>
      </c>
      <c r="H34" s="38">
        <v>73.5</v>
      </c>
      <c r="I34" s="38"/>
      <c r="M34" s="40"/>
    </row>
    <row r="35" spans="1:27" ht="19.5" customHeight="1" x14ac:dyDescent="0.2">
      <c r="E35" s="40"/>
      <c r="G35" s="38" t="s">
        <v>171</v>
      </c>
      <c r="H35" s="38">
        <v>23.9</v>
      </c>
      <c r="I35" s="38"/>
      <c r="M35" s="40"/>
    </row>
    <row r="36" spans="1:27" ht="19.5" customHeight="1" x14ac:dyDescent="0.2">
      <c r="E36" s="40"/>
      <c r="G36" s="38" t="s">
        <v>160</v>
      </c>
      <c r="H36" s="38">
        <f>H33-H34</f>
        <v>165.8</v>
      </c>
      <c r="M36" s="40"/>
    </row>
    <row r="37" spans="1:27" ht="19.5" customHeight="1" x14ac:dyDescent="0.2">
      <c r="A37" s="43"/>
      <c r="B37" s="43"/>
      <c r="C37" s="43"/>
      <c r="D37" s="43"/>
      <c r="E37" s="40"/>
      <c r="F37" s="43"/>
      <c r="G37" s="43"/>
      <c r="H37" s="43"/>
      <c r="I37" s="43"/>
      <c r="J37" s="43"/>
      <c r="K37" s="43"/>
      <c r="L37" s="43"/>
      <c r="M37" s="40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</row>
    <row r="38" spans="1:27" ht="19.5" customHeight="1" x14ac:dyDescent="0.2">
      <c r="A38" s="38" t="s">
        <v>135</v>
      </c>
      <c r="B38" s="39">
        <v>45538</v>
      </c>
      <c r="E38" s="40"/>
      <c r="F38" s="38" t="s">
        <v>136</v>
      </c>
      <c r="G38" s="39">
        <v>45538</v>
      </c>
      <c r="M38" s="40"/>
      <c r="N38" s="38" t="s">
        <v>169</v>
      </c>
      <c r="O38" s="38">
        <v>21.56</v>
      </c>
    </row>
    <row r="39" spans="1:27" ht="19.5" customHeight="1" x14ac:dyDescent="0.2">
      <c r="A39" s="38" t="s">
        <v>139</v>
      </c>
      <c r="B39" s="38" t="s">
        <v>140</v>
      </c>
      <c r="C39" s="38" t="s">
        <v>141</v>
      </c>
      <c r="E39" s="40"/>
      <c r="F39" s="38" t="s">
        <v>139</v>
      </c>
      <c r="G39" s="38" t="s">
        <v>140</v>
      </c>
      <c r="H39" s="38" t="s">
        <v>141</v>
      </c>
      <c r="J39" s="38" t="s">
        <v>141</v>
      </c>
      <c r="K39" s="38">
        <v>184.63</v>
      </c>
      <c r="M39" s="40"/>
    </row>
    <row r="40" spans="1:27" ht="19.5" customHeight="1" x14ac:dyDescent="0.2">
      <c r="A40" s="38">
        <v>28</v>
      </c>
      <c r="B40" s="41">
        <v>0.05</v>
      </c>
      <c r="C40" s="38">
        <f t="shared" ref="C40:C48" si="8">A40*B40</f>
        <v>1.4000000000000001</v>
      </c>
      <c r="D40" s="38">
        <f>19</f>
        <v>19</v>
      </c>
      <c r="E40" s="40"/>
      <c r="F40" s="38">
        <v>32</v>
      </c>
      <c r="G40" s="38">
        <v>0.05</v>
      </c>
      <c r="H40" s="38">
        <f t="shared" ref="H40:H49" si="9">F40*G40</f>
        <v>1.6</v>
      </c>
      <c r="J40" s="38" t="s">
        <v>142</v>
      </c>
      <c r="K40" s="38">
        <v>167.75</v>
      </c>
      <c r="L40" s="38">
        <v>133.44999999999999</v>
      </c>
      <c r="M40" s="40"/>
    </row>
    <row r="41" spans="1:27" ht="19.5" customHeight="1" x14ac:dyDescent="0.2">
      <c r="A41" s="38">
        <v>13</v>
      </c>
      <c r="B41" s="41">
        <v>0.1</v>
      </c>
      <c r="C41" s="38">
        <f t="shared" si="8"/>
        <v>1.3</v>
      </c>
      <c r="D41" s="38" t="s">
        <v>167</v>
      </c>
      <c r="E41" s="40"/>
      <c r="F41" s="38">
        <v>15</v>
      </c>
      <c r="G41" s="41">
        <v>0.1</v>
      </c>
      <c r="H41" s="38">
        <f t="shared" si="9"/>
        <v>1.5</v>
      </c>
      <c r="J41" s="38" t="s">
        <v>163</v>
      </c>
      <c r="K41" s="38">
        <v>17.899999999999999</v>
      </c>
      <c r="M41" s="40"/>
    </row>
    <row r="42" spans="1:27" ht="19.5" customHeight="1" x14ac:dyDescent="0.2">
      <c r="A42" s="38">
        <v>8</v>
      </c>
      <c r="B42" s="41">
        <v>0.2</v>
      </c>
      <c r="C42" s="38">
        <f t="shared" si="8"/>
        <v>1.6</v>
      </c>
      <c r="D42" s="38" t="s">
        <v>167</v>
      </c>
      <c r="E42" s="40"/>
      <c r="F42" s="38">
        <v>42</v>
      </c>
      <c r="G42" s="41">
        <v>0.2</v>
      </c>
      <c r="H42" s="38">
        <f t="shared" si="9"/>
        <v>8.4</v>
      </c>
      <c r="J42" s="38" t="s">
        <v>146</v>
      </c>
      <c r="M42" s="40"/>
    </row>
    <row r="43" spans="1:27" ht="19.5" customHeight="1" x14ac:dyDescent="0.2">
      <c r="A43" s="38">
        <v>6</v>
      </c>
      <c r="B43" s="41">
        <v>0.5</v>
      </c>
      <c r="C43" s="38">
        <f t="shared" si="8"/>
        <v>3</v>
      </c>
      <c r="D43" s="38" t="s">
        <v>167</v>
      </c>
      <c r="E43" s="40"/>
      <c r="F43" s="38">
        <v>12</v>
      </c>
      <c r="G43" s="41">
        <v>0.5</v>
      </c>
      <c r="H43" s="38">
        <f t="shared" si="9"/>
        <v>6</v>
      </c>
      <c r="M43" s="40"/>
    </row>
    <row r="44" spans="1:27" ht="19.5" customHeight="1" x14ac:dyDescent="0.2">
      <c r="A44" s="38">
        <v>30</v>
      </c>
      <c r="B44" s="41">
        <v>1</v>
      </c>
      <c r="C44" s="38">
        <f t="shared" si="8"/>
        <v>30</v>
      </c>
      <c r="D44" s="38" t="s">
        <v>167</v>
      </c>
      <c r="E44" s="40"/>
      <c r="F44" s="38">
        <v>30</v>
      </c>
      <c r="G44" s="41">
        <v>1</v>
      </c>
      <c r="H44" s="38">
        <f t="shared" si="9"/>
        <v>30</v>
      </c>
      <c r="J44" s="42"/>
      <c r="M44" s="40"/>
    </row>
    <row r="45" spans="1:27" ht="19.5" customHeight="1" x14ac:dyDescent="0.2">
      <c r="A45" s="38">
        <v>10</v>
      </c>
      <c r="B45" s="41">
        <v>2</v>
      </c>
      <c r="C45" s="38">
        <f t="shared" si="8"/>
        <v>20</v>
      </c>
      <c r="D45" s="38" t="s">
        <v>167</v>
      </c>
      <c r="E45" s="40"/>
      <c r="F45" s="38">
        <v>6</v>
      </c>
      <c r="G45" s="41">
        <v>2</v>
      </c>
      <c r="H45" s="38">
        <f t="shared" si="9"/>
        <v>12</v>
      </c>
      <c r="J45" s="38" t="s">
        <v>149</v>
      </c>
      <c r="K45" s="41">
        <f>SUM(K40,K41)*0.3</f>
        <v>55.695</v>
      </c>
      <c r="L45" s="38">
        <f>SUM(L40,L41)*0.2</f>
        <v>26.689999999999998</v>
      </c>
      <c r="M45" s="40"/>
    </row>
    <row r="46" spans="1:27" ht="19.5" customHeight="1" x14ac:dyDescent="0.2">
      <c r="A46" s="38">
        <v>5</v>
      </c>
      <c r="B46" s="41">
        <v>5</v>
      </c>
      <c r="C46" s="38">
        <f t="shared" si="8"/>
        <v>25</v>
      </c>
      <c r="D46" s="38" t="s">
        <v>167</v>
      </c>
      <c r="E46" s="40"/>
      <c r="F46" s="38">
        <v>9</v>
      </c>
      <c r="G46" s="41">
        <v>5</v>
      </c>
      <c r="H46" s="38">
        <f t="shared" si="9"/>
        <v>45</v>
      </c>
      <c r="J46" s="38" t="s">
        <v>161</v>
      </c>
      <c r="K46" s="41">
        <f t="shared" ref="K46:L46" si="10">K40-K45</f>
        <v>112.05500000000001</v>
      </c>
      <c r="L46" s="38">
        <f t="shared" si="10"/>
        <v>106.75999999999999</v>
      </c>
      <c r="M46" s="40"/>
    </row>
    <row r="47" spans="1:27" ht="19.5" customHeight="1" x14ac:dyDescent="0.2">
      <c r="A47" s="38">
        <v>2</v>
      </c>
      <c r="B47" s="41">
        <v>10</v>
      </c>
      <c r="C47" s="38">
        <f t="shared" si="8"/>
        <v>20</v>
      </c>
      <c r="D47" s="38" t="s">
        <v>167</v>
      </c>
      <c r="E47" s="40"/>
      <c r="F47" s="38">
        <v>10</v>
      </c>
      <c r="G47" s="41">
        <v>10</v>
      </c>
      <c r="H47" s="38">
        <f t="shared" si="9"/>
        <v>100</v>
      </c>
      <c r="M47" s="40"/>
    </row>
    <row r="48" spans="1:27" ht="19.5" customHeight="1" x14ac:dyDescent="0.2">
      <c r="B48" s="41">
        <v>20</v>
      </c>
      <c r="C48" s="38">
        <f t="shared" si="8"/>
        <v>0</v>
      </c>
      <c r="E48" s="40"/>
      <c r="F48" s="38">
        <v>0</v>
      </c>
      <c r="G48" s="41">
        <v>20</v>
      </c>
      <c r="H48" s="38">
        <f t="shared" si="9"/>
        <v>0</v>
      </c>
      <c r="M48" s="40"/>
    </row>
    <row r="49" spans="1:27" ht="19.5" customHeight="1" x14ac:dyDescent="0.2">
      <c r="B49" s="38" t="s">
        <v>156</v>
      </c>
      <c r="E49" s="40"/>
      <c r="F49" s="38">
        <v>4</v>
      </c>
      <c r="G49" s="41">
        <v>50</v>
      </c>
      <c r="H49" s="38">
        <f t="shared" si="9"/>
        <v>200</v>
      </c>
      <c r="M49" s="40"/>
    </row>
    <row r="50" spans="1:27" ht="19.5" customHeight="1" x14ac:dyDescent="0.2">
      <c r="B50" s="38" t="s">
        <v>141</v>
      </c>
      <c r="C50" s="38">
        <f>SUM(C40:C49)</f>
        <v>102.3</v>
      </c>
      <c r="E50" s="40"/>
      <c r="G50" s="38" t="s">
        <v>137</v>
      </c>
      <c r="H50" s="38">
        <f>SUM(H40:H49)</f>
        <v>404.5</v>
      </c>
      <c r="M50" s="40"/>
    </row>
    <row r="51" spans="1:27" ht="19.5" customHeight="1" x14ac:dyDescent="0.2">
      <c r="B51" s="38" t="s">
        <v>157</v>
      </c>
      <c r="E51" s="40"/>
      <c r="G51" s="38" t="s">
        <v>158</v>
      </c>
      <c r="H51" s="38">
        <f>H50-C50</f>
        <v>302.2</v>
      </c>
      <c r="M51" s="40"/>
    </row>
    <row r="52" spans="1:27" ht="19.5" customHeight="1" x14ac:dyDescent="0.2">
      <c r="E52" s="40"/>
      <c r="G52" s="38" t="s">
        <v>142</v>
      </c>
      <c r="H52" s="38">
        <v>167.75</v>
      </c>
      <c r="I52" s="38" t="s">
        <v>183</v>
      </c>
      <c r="M52" s="40"/>
    </row>
    <row r="53" spans="1:27" ht="19.5" customHeight="1" x14ac:dyDescent="0.2">
      <c r="E53" s="40"/>
      <c r="G53" s="38" t="s">
        <v>171</v>
      </c>
      <c r="H53" s="38">
        <v>17.899999999999999</v>
      </c>
      <c r="I53" s="38" t="s">
        <v>174</v>
      </c>
      <c r="M53" s="40"/>
    </row>
    <row r="54" spans="1:27" ht="19.5" customHeight="1" x14ac:dyDescent="0.2">
      <c r="E54" s="40"/>
      <c r="G54" s="38" t="s">
        <v>160</v>
      </c>
      <c r="H54" s="38">
        <f>H51-H52</f>
        <v>134.44999999999999</v>
      </c>
      <c r="M54" s="40"/>
    </row>
    <row r="55" spans="1:27" ht="12.75" x14ac:dyDescent="0.2">
      <c r="A55" s="43"/>
      <c r="B55" s="43"/>
      <c r="C55" s="43"/>
      <c r="D55" s="43"/>
      <c r="E55" s="40"/>
      <c r="F55" s="43"/>
      <c r="G55" s="43"/>
      <c r="H55" s="43"/>
      <c r="I55" s="43"/>
      <c r="J55" s="43"/>
      <c r="K55" s="43"/>
      <c r="L55" s="43"/>
      <c r="M55" s="40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43"/>
      <c r="AA55" s="43"/>
    </row>
    <row r="56" spans="1:27" ht="12.75" x14ac:dyDescent="0.2">
      <c r="A56" s="38" t="s">
        <v>135</v>
      </c>
      <c r="B56" s="39">
        <v>45539</v>
      </c>
      <c r="E56" s="40"/>
      <c r="F56" s="38" t="s">
        <v>136</v>
      </c>
      <c r="G56" s="39">
        <v>45539</v>
      </c>
      <c r="M56" s="40"/>
      <c r="N56" s="38" t="s">
        <v>169</v>
      </c>
      <c r="O56" s="38">
        <v>19.96</v>
      </c>
    </row>
    <row r="57" spans="1:27" ht="12.75" x14ac:dyDescent="0.2">
      <c r="A57" s="38" t="s">
        <v>139</v>
      </c>
      <c r="B57" s="38" t="s">
        <v>140</v>
      </c>
      <c r="C57" s="38" t="s">
        <v>141</v>
      </c>
      <c r="E57" s="40"/>
      <c r="F57" s="38" t="s">
        <v>139</v>
      </c>
      <c r="G57" s="38" t="s">
        <v>140</v>
      </c>
      <c r="H57" s="38" t="s">
        <v>141</v>
      </c>
      <c r="J57" s="38" t="s">
        <v>137</v>
      </c>
      <c r="K57" s="38">
        <v>208</v>
      </c>
      <c r="M57" s="40"/>
    </row>
    <row r="58" spans="1:27" ht="12.75" x14ac:dyDescent="0.2">
      <c r="A58" s="38">
        <v>32</v>
      </c>
      <c r="B58" s="41">
        <v>0.05</v>
      </c>
      <c r="C58" s="38">
        <f t="shared" ref="C58:C65" si="11">A58*B58</f>
        <v>1.6</v>
      </c>
      <c r="E58" s="40"/>
      <c r="F58" s="38">
        <v>41</v>
      </c>
      <c r="G58" s="38">
        <v>0.05</v>
      </c>
      <c r="H58" s="38">
        <f t="shared" ref="H58:H67" si="12">F58*G58</f>
        <v>2.0500000000000003</v>
      </c>
      <c r="J58" s="38" t="s">
        <v>142</v>
      </c>
      <c r="K58" s="38">
        <v>174</v>
      </c>
      <c r="L58" s="38">
        <v>110</v>
      </c>
      <c r="M58" s="40"/>
    </row>
    <row r="59" spans="1:27" ht="12.75" x14ac:dyDescent="0.2">
      <c r="A59" s="38">
        <v>15</v>
      </c>
      <c r="B59" s="41">
        <v>0.1</v>
      </c>
      <c r="C59" s="38">
        <f t="shared" si="11"/>
        <v>1.5</v>
      </c>
      <c r="D59" s="38" t="s">
        <v>167</v>
      </c>
      <c r="E59" s="40"/>
      <c r="F59" s="38">
        <v>14</v>
      </c>
      <c r="G59" s="41">
        <v>0.1</v>
      </c>
      <c r="H59" s="38">
        <f t="shared" si="12"/>
        <v>1.4000000000000001</v>
      </c>
      <c r="J59" s="38" t="s">
        <v>163</v>
      </c>
      <c r="K59" s="38">
        <v>33.6</v>
      </c>
      <c r="M59" s="40"/>
    </row>
    <row r="60" spans="1:27" ht="12.75" x14ac:dyDescent="0.2">
      <c r="A60" s="38">
        <v>42</v>
      </c>
      <c r="B60" s="41">
        <v>0.2</v>
      </c>
      <c r="C60" s="38">
        <f t="shared" si="11"/>
        <v>8.4</v>
      </c>
      <c r="D60" s="38" t="s">
        <v>167</v>
      </c>
      <c r="E60" s="40"/>
      <c r="F60" s="38">
        <v>37</v>
      </c>
      <c r="G60" s="41">
        <v>0.2</v>
      </c>
      <c r="H60" s="38">
        <f t="shared" si="12"/>
        <v>7.4</v>
      </c>
      <c r="J60" s="38" t="s">
        <v>146</v>
      </c>
      <c r="M60" s="40"/>
    </row>
    <row r="61" spans="1:27" ht="12.75" x14ac:dyDescent="0.2">
      <c r="A61" s="38">
        <v>12</v>
      </c>
      <c r="B61" s="41">
        <v>0.5</v>
      </c>
      <c r="C61" s="38">
        <f t="shared" si="11"/>
        <v>6</v>
      </c>
      <c r="D61" s="38" t="s">
        <v>167</v>
      </c>
      <c r="E61" s="40"/>
      <c r="F61" s="38">
        <v>12</v>
      </c>
      <c r="G61" s="41">
        <v>0.5</v>
      </c>
      <c r="H61" s="38">
        <f t="shared" si="12"/>
        <v>6</v>
      </c>
      <c r="J61" s="38" t="s">
        <v>144</v>
      </c>
      <c r="M61" s="40"/>
    </row>
    <row r="62" spans="1:27" ht="12.75" x14ac:dyDescent="0.2">
      <c r="A62" s="38">
        <v>30</v>
      </c>
      <c r="B62" s="41">
        <v>1</v>
      </c>
      <c r="C62" s="38">
        <f t="shared" si="11"/>
        <v>30</v>
      </c>
      <c r="D62" s="38" t="s">
        <v>167</v>
      </c>
      <c r="E62" s="40"/>
      <c r="F62" s="38">
        <v>28</v>
      </c>
      <c r="G62" s="41">
        <v>1</v>
      </c>
      <c r="H62" s="38">
        <f t="shared" si="12"/>
        <v>28</v>
      </c>
      <c r="J62" s="42"/>
      <c r="M62" s="40"/>
    </row>
    <row r="63" spans="1:27" ht="12.75" x14ac:dyDescent="0.2">
      <c r="A63" s="38">
        <v>10</v>
      </c>
      <c r="B63" s="41">
        <v>2</v>
      </c>
      <c r="C63" s="38">
        <f t="shared" si="11"/>
        <v>20</v>
      </c>
      <c r="D63" s="38" t="s">
        <v>167</v>
      </c>
      <c r="E63" s="40"/>
      <c r="F63" s="38">
        <v>23</v>
      </c>
      <c r="G63" s="41">
        <v>2</v>
      </c>
      <c r="H63" s="38">
        <f t="shared" si="12"/>
        <v>46</v>
      </c>
      <c r="J63" s="38" t="s">
        <v>149</v>
      </c>
      <c r="K63" s="38">
        <f>SUM(K58,K59)*0.3</f>
        <v>62.279999999999994</v>
      </c>
      <c r="L63" s="38">
        <f>SUM(L58,L59)*0.2</f>
        <v>22</v>
      </c>
      <c r="M63" s="40"/>
    </row>
    <row r="64" spans="1:27" ht="12.75" x14ac:dyDescent="0.2">
      <c r="A64" s="38">
        <v>5</v>
      </c>
      <c r="B64" s="41">
        <v>5</v>
      </c>
      <c r="C64" s="38">
        <f t="shared" si="11"/>
        <v>25</v>
      </c>
      <c r="E64" s="40"/>
      <c r="F64" s="38">
        <v>6</v>
      </c>
      <c r="G64" s="41">
        <v>5</v>
      </c>
      <c r="H64" s="38">
        <f t="shared" si="12"/>
        <v>30</v>
      </c>
      <c r="J64" s="38" t="s">
        <v>161</v>
      </c>
      <c r="K64" s="38">
        <f t="shared" ref="K64:L64" si="13">K58-K63</f>
        <v>111.72</v>
      </c>
      <c r="L64" s="38">
        <f t="shared" si="13"/>
        <v>88</v>
      </c>
      <c r="M64" s="40"/>
    </row>
    <row r="65" spans="1:27" ht="12.75" x14ac:dyDescent="0.2">
      <c r="A65" s="38">
        <v>2</v>
      </c>
      <c r="B65" s="41">
        <v>10</v>
      </c>
      <c r="C65" s="38">
        <f t="shared" si="11"/>
        <v>20</v>
      </c>
      <c r="E65" s="40"/>
      <c r="F65" s="38">
        <v>8</v>
      </c>
      <c r="G65" s="41">
        <v>10</v>
      </c>
      <c r="H65" s="38">
        <f t="shared" si="12"/>
        <v>80</v>
      </c>
      <c r="M65" s="40"/>
    </row>
    <row r="66" spans="1:27" ht="12.75" x14ac:dyDescent="0.2">
      <c r="A66" s="38"/>
      <c r="B66" s="41"/>
      <c r="E66" s="40"/>
      <c r="F66" s="38">
        <v>4</v>
      </c>
      <c r="G66" s="41">
        <v>20</v>
      </c>
      <c r="H66" s="38">
        <f t="shared" si="12"/>
        <v>80</v>
      </c>
      <c r="M66" s="40"/>
    </row>
    <row r="67" spans="1:27" ht="12.75" x14ac:dyDescent="0.2">
      <c r="B67" s="38" t="s">
        <v>156</v>
      </c>
      <c r="E67" s="40"/>
      <c r="F67" s="38">
        <v>3</v>
      </c>
      <c r="G67" s="41">
        <v>50</v>
      </c>
      <c r="H67" s="38">
        <f t="shared" si="12"/>
        <v>150</v>
      </c>
      <c r="M67" s="40"/>
    </row>
    <row r="68" spans="1:27" ht="12.75" x14ac:dyDescent="0.2">
      <c r="B68" s="38" t="s">
        <v>141</v>
      </c>
      <c r="C68" s="38">
        <f>SUM(C58:C67)</f>
        <v>112.5</v>
      </c>
      <c r="E68" s="40"/>
      <c r="G68" s="38" t="s">
        <v>137</v>
      </c>
      <c r="H68" s="38">
        <f>SUM(H58:H67)</f>
        <v>430.85</v>
      </c>
      <c r="M68" s="40"/>
    </row>
    <row r="69" spans="1:27" ht="12.75" x14ac:dyDescent="0.2">
      <c r="B69" s="38" t="s">
        <v>157</v>
      </c>
      <c r="E69" s="40"/>
      <c r="G69" s="38" t="s">
        <v>158</v>
      </c>
      <c r="H69" s="38">
        <f>H68-C68</f>
        <v>318.35000000000002</v>
      </c>
      <c r="M69" s="40"/>
    </row>
    <row r="70" spans="1:27" ht="12.75" x14ac:dyDescent="0.2">
      <c r="E70" s="40"/>
      <c r="G70" s="38" t="s">
        <v>142</v>
      </c>
      <c r="H70" s="38">
        <v>208.2</v>
      </c>
      <c r="M70" s="40"/>
    </row>
    <row r="71" spans="1:27" ht="12.75" x14ac:dyDescent="0.2">
      <c r="E71" s="40"/>
      <c r="G71" s="38" t="s">
        <v>163</v>
      </c>
      <c r="H71" s="38">
        <f>32+1.6</f>
        <v>33.6</v>
      </c>
      <c r="M71" s="40"/>
    </row>
    <row r="72" spans="1:27" ht="12.75" x14ac:dyDescent="0.2">
      <c r="E72" s="40"/>
      <c r="G72" s="38" t="s">
        <v>160</v>
      </c>
      <c r="H72" s="38">
        <f>H69-H70</f>
        <v>110.15000000000003</v>
      </c>
      <c r="M72" s="40"/>
    </row>
    <row r="73" spans="1:27" ht="12.75" x14ac:dyDescent="0.2">
      <c r="E73" s="40"/>
      <c r="M73" s="40"/>
    </row>
    <row r="74" spans="1:27" ht="12.75" x14ac:dyDescent="0.2">
      <c r="A74" s="43"/>
      <c r="B74" s="43"/>
      <c r="C74" s="43"/>
      <c r="D74" s="43"/>
      <c r="E74" s="40"/>
      <c r="F74" s="43"/>
      <c r="G74" s="43"/>
      <c r="H74" s="43"/>
      <c r="I74" s="43"/>
      <c r="J74" s="43"/>
      <c r="K74" s="43"/>
      <c r="L74" s="43"/>
      <c r="M74" s="40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</row>
    <row r="75" spans="1:27" ht="12.75" x14ac:dyDescent="0.2">
      <c r="A75" s="38" t="s">
        <v>135</v>
      </c>
      <c r="B75" s="39">
        <v>45540</v>
      </c>
      <c r="E75" s="40"/>
      <c r="F75" s="38" t="s">
        <v>136</v>
      </c>
      <c r="G75" s="39">
        <v>45540</v>
      </c>
      <c r="M75" s="40"/>
      <c r="N75" s="38" t="s">
        <v>169</v>
      </c>
      <c r="O75" s="44">
        <v>69.61</v>
      </c>
    </row>
    <row r="76" spans="1:27" ht="12.75" x14ac:dyDescent="0.2">
      <c r="A76" s="38" t="s">
        <v>139</v>
      </c>
      <c r="B76" s="38" t="s">
        <v>140</v>
      </c>
      <c r="C76" s="38" t="s">
        <v>141</v>
      </c>
      <c r="E76" s="40"/>
      <c r="F76" s="38" t="s">
        <v>139</v>
      </c>
      <c r="G76" s="38" t="s">
        <v>140</v>
      </c>
      <c r="H76" s="38" t="s">
        <v>141</v>
      </c>
      <c r="J76" s="38" t="s">
        <v>137</v>
      </c>
      <c r="K76" s="38">
        <v>208</v>
      </c>
      <c r="M76" s="40"/>
    </row>
    <row r="77" spans="1:27" ht="12.75" x14ac:dyDescent="0.2">
      <c r="A77" s="38">
        <v>41</v>
      </c>
      <c r="B77" s="41">
        <v>0.05</v>
      </c>
      <c r="C77" s="38">
        <f t="shared" ref="C77:C84" si="14">A77*B77</f>
        <v>2.0500000000000003</v>
      </c>
      <c r="E77" s="40"/>
      <c r="F77" s="38">
        <v>50</v>
      </c>
      <c r="G77" s="38">
        <v>0.05</v>
      </c>
      <c r="H77" s="38">
        <f t="shared" ref="H77:H86" si="15">F77*G77</f>
        <v>2.5</v>
      </c>
      <c r="J77" s="38" t="s">
        <v>142</v>
      </c>
      <c r="K77" s="38">
        <v>167</v>
      </c>
      <c r="L77" s="38">
        <v>153</v>
      </c>
      <c r="M77" s="40"/>
    </row>
    <row r="78" spans="1:27" ht="12.75" x14ac:dyDescent="0.2">
      <c r="A78" s="38">
        <v>14</v>
      </c>
      <c r="B78" s="41">
        <v>0.1</v>
      </c>
      <c r="C78" s="38">
        <f t="shared" si="14"/>
        <v>1.4000000000000001</v>
      </c>
      <c r="E78" s="40"/>
      <c r="F78" s="38">
        <v>15</v>
      </c>
      <c r="G78" s="41">
        <v>0.1</v>
      </c>
      <c r="H78" s="38">
        <f t="shared" si="15"/>
        <v>1.5</v>
      </c>
      <c r="J78" s="38" t="s">
        <v>163</v>
      </c>
      <c r="K78" s="38">
        <v>41</v>
      </c>
      <c r="M78" s="40"/>
    </row>
    <row r="79" spans="1:27" ht="12.75" x14ac:dyDescent="0.2">
      <c r="A79" s="38">
        <v>37</v>
      </c>
      <c r="B79" s="41">
        <v>0.2</v>
      </c>
      <c r="C79" s="38">
        <f t="shared" si="14"/>
        <v>7.4</v>
      </c>
      <c r="E79" s="40"/>
      <c r="F79" s="38">
        <v>38</v>
      </c>
      <c r="G79" s="41">
        <v>0.2</v>
      </c>
      <c r="H79" s="38">
        <f t="shared" si="15"/>
        <v>7.6000000000000005</v>
      </c>
      <c r="J79" s="38" t="s">
        <v>146</v>
      </c>
      <c r="M79" s="40"/>
    </row>
    <row r="80" spans="1:27" ht="12.75" x14ac:dyDescent="0.2">
      <c r="A80" s="38">
        <v>12</v>
      </c>
      <c r="B80" s="41">
        <v>0.5</v>
      </c>
      <c r="C80" s="38">
        <f t="shared" si="14"/>
        <v>6</v>
      </c>
      <c r="E80" s="40"/>
      <c r="F80" s="38">
        <v>13</v>
      </c>
      <c r="G80" s="41">
        <v>0.5</v>
      </c>
      <c r="H80" s="38">
        <f t="shared" si="15"/>
        <v>6.5</v>
      </c>
      <c r="J80" s="38" t="s">
        <v>144</v>
      </c>
      <c r="M80" s="40"/>
    </row>
    <row r="81" spans="1:27" ht="12.75" x14ac:dyDescent="0.2">
      <c r="A81" s="38">
        <v>28</v>
      </c>
      <c r="B81" s="41">
        <v>1</v>
      </c>
      <c r="C81" s="38">
        <f t="shared" si="14"/>
        <v>28</v>
      </c>
      <c r="E81" s="40"/>
      <c r="F81" s="38">
        <v>29</v>
      </c>
      <c r="G81" s="41">
        <v>1</v>
      </c>
      <c r="H81" s="38">
        <f t="shared" si="15"/>
        <v>29</v>
      </c>
      <c r="J81" s="42"/>
      <c r="M81" s="40"/>
    </row>
    <row r="82" spans="1:27" ht="12.75" x14ac:dyDescent="0.2">
      <c r="A82" s="38">
        <v>10</v>
      </c>
      <c r="B82" s="41">
        <v>2</v>
      </c>
      <c r="C82" s="38">
        <f t="shared" si="14"/>
        <v>20</v>
      </c>
      <c r="E82" s="40"/>
      <c r="F82" s="38">
        <v>14</v>
      </c>
      <c r="G82" s="41">
        <v>2</v>
      </c>
      <c r="H82" s="38">
        <f t="shared" si="15"/>
        <v>28</v>
      </c>
      <c r="J82" s="38" t="s">
        <v>149</v>
      </c>
      <c r="K82" s="38">
        <f>SUM(K77,K78)*0.3</f>
        <v>62.4</v>
      </c>
      <c r="L82" s="38">
        <v>30</v>
      </c>
      <c r="M82" s="40"/>
    </row>
    <row r="83" spans="1:27" ht="12.75" x14ac:dyDescent="0.2">
      <c r="A83" s="38">
        <v>5</v>
      </c>
      <c r="B83" s="41">
        <v>5</v>
      </c>
      <c r="C83" s="38">
        <f t="shared" si="14"/>
        <v>25</v>
      </c>
      <c r="E83" s="40"/>
      <c r="F83" s="38">
        <v>3</v>
      </c>
      <c r="G83" s="41">
        <v>5</v>
      </c>
      <c r="H83" s="38">
        <f t="shared" si="15"/>
        <v>15</v>
      </c>
      <c r="J83" s="38" t="s">
        <v>161</v>
      </c>
      <c r="K83" s="38">
        <f t="shared" ref="K83:L83" si="16">K77-K82</f>
        <v>104.6</v>
      </c>
      <c r="L83" s="38">
        <f t="shared" si="16"/>
        <v>123</v>
      </c>
      <c r="M83" s="40"/>
    </row>
    <row r="84" spans="1:27" ht="12.75" x14ac:dyDescent="0.2">
      <c r="A84" s="38">
        <v>2</v>
      </c>
      <c r="B84" s="41">
        <v>10</v>
      </c>
      <c r="C84" s="38">
        <f t="shared" si="14"/>
        <v>20</v>
      </c>
      <c r="E84" s="40"/>
      <c r="F84" s="38">
        <v>5</v>
      </c>
      <c r="G84" s="41">
        <v>10</v>
      </c>
      <c r="H84" s="38">
        <f t="shared" si="15"/>
        <v>50</v>
      </c>
      <c r="M84" s="40"/>
    </row>
    <row r="85" spans="1:27" ht="12.75" x14ac:dyDescent="0.2">
      <c r="A85" s="38"/>
      <c r="B85" s="41"/>
      <c r="E85" s="40"/>
      <c r="F85" s="38">
        <v>7</v>
      </c>
      <c r="G85" s="41">
        <v>20</v>
      </c>
      <c r="H85" s="38">
        <f t="shared" si="15"/>
        <v>140</v>
      </c>
      <c r="M85" s="40"/>
    </row>
    <row r="86" spans="1:27" ht="12.75" x14ac:dyDescent="0.2">
      <c r="B86" s="38" t="s">
        <v>156</v>
      </c>
      <c r="E86" s="40"/>
      <c r="F86" s="38">
        <v>3</v>
      </c>
      <c r="G86" s="41">
        <v>50</v>
      </c>
      <c r="H86" s="38">
        <f t="shared" si="15"/>
        <v>150</v>
      </c>
      <c r="M86" s="40"/>
    </row>
    <row r="87" spans="1:27" ht="12.75" x14ac:dyDescent="0.2">
      <c r="B87" s="38" t="s">
        <v>141</v>
      </c>
      <c r="C87" s="38">
        <f>SUM(C77:C86)</f>
        <v>109.85</v>
      </c>
      <c r="E87" s="40"/>
      <c r="G87" s="38" t="s">
        <v>137</v>
      </c>
      <c r="H87" s="38">
        <f>SUM(H77:H86)</f>
        <v>430.1</v>
      </c>
      <c r="M87" s="40"/>
    </row>
    <row r="88" spans="1:27" ht="12.75" x14ac:dyDescent="0.2">
      <c r="B88" s="38" t="s">
        <v>157</v>
      </c>
      <c r="E88" s="40"/>
      <c r="G88" s="38" t="s">
        <v>158</v>
      </c>
      <c r="H88" s="38">
        <f>H87-C87</f>
        <v>320.25</v>
      </c>
      <c r="M88" s="40"/>
    </row>
    <row r="89" spans="1:27" ht="12.75" x14ac:dyDescent="0.2">
      <c r="E89" s="40"/>
      <c r="G89" s="38" t="s">
        <v>142</v>
      </c>
      <c r="H89" s="38">
        <v>167</v>
      </c>
      <c r="M89" s="40"/>
    </row>
    <row r="90" spans="1:27" ht="12.75" x14ac:dyDescent="0.2">
      <c r="E90" s="40"/>
      <c r="G90" s="38" t="s">
        <v>163</v>
      </c>
      <c r="H90" s="38">
        <v>41</v>
      </c>
      <c r="M90" s="40"/>
    </row>
    <row r="91" spans="1:27" ht="12.75" x14ac:dyDescent="0.2">
      <c r="E91" s="40"/>
      <c r="G91" s="38" t="s">
        <v>160</v>
      </c>
      <c r="H91" s="38">
        <f>H88-H89</f>
        <v>153.25</v>
      </c>
      <c r="M91" s="40"/>
    </row>
    <row r="92" spans="1:27" ht="12.75" x14ac:dyDescent="0.2">
      <c r="A92" s="43"/>
      <c r="B92" s="43"/>
      <c r="C92" s="43"/>
      <c r="D92" s="43"/>
      <c r="E92" s="40"/>
      <c r="F92" s="43"/>
      <c r="G92" s="43"/>
      <c r="H92" s="43"/>
      <c r="I92" s="43"/>
      <c r="J92" s="43"/>
      <c r="K92" s="43"/>
      <c r="L92" s="43"/>
      <c r="M92" s="40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</row>
    <row r="93" spans="1:27" ht="12.75" x14ac:dyDescent="0.2">
      <c r="A93" s="38" t="s">
        <v>135</v>
      </c>
      <c r="B93" s="39">
        <v>45541</v>
      </c>
      <c r="E93" s="40"/>
      <c r="F93" s="38" t="s">
        <v>136</v>
      </c>
      <c r="G93" s="39">
        <v>45541</v>
      </c>
      <c r="M93" s="40"/>
      <c r="N93" s="38" t="s">
        <v>169</v>
      </c>
      <c r="O93" s="38">
        <v>12.55</v>
      </c>
    </row>
    <row r="94" spans="1:27" ht="12.75" x14ac:dyDescent="0.2">
      <c r="A94" s="38" t="s">
        <v>139</v>
      </c>
      <c r="B94" s="38" t="s">
        <v>140</v>
      </c>
      <c r="C94" s="38" t="s">
        <v>141</v>
      </c>
      <c r="E94" s="40"/>
      <c r="F94" s="38" t="s">
        <v>139</v>
      </c>
      <c r="G94" s="38" t="s">
        <v>140</v>
      </c>
      <c r="H94" s="38" t="s">
        <v>141</v>
      </c>
      <c r="J94" s="38" t="s">
        <v>137</v>
      </c>
      <c r="K94" s="38">
        <v>363.9</v>
      </c>
      <c r="M94" s="40"/>
    </row>
    <row r="95" spans="1:27" ht="12.75" x14ac:dyDescent="0.2">
      <c r="A95" s="38">
        <v>50</v>
      </c>
      <c r="B95" s="41">
        <v>0.05</v>
      </c>
      <c r="C95" s="38">
        <f t="shared" ref="C95:C102" si="17">A95*B95</f>
        <v>2.5</v>
      </c>
      <c r="E95" s="40"/>
      <c r="F95" s="38">
        <v>58</v>
      </c>
      <c r="G95" s="38">
        <v>0.05</v>
      </c>
      <c r="H95" s="38">
        <f t="shared" ref="H95:H104" si="18">F95*G95</f>
        <v>2.9000000000000004</v>
      </c>
      <c r="J95" s="38" t="s">
        <v>142</v>
      </c>
      <c r="K95" s="38">
        <v>248.4</v>
      </c>
      <c r="L95" s="38">
        <v>151</v>
      </c>
      <c r="M95" s="40"/>
    </row>
    <row r="96" spans="1:27" ht="12.75" x14ac:dyDescent="0.2">
      <c r="A96" s="38">
        <v>15</v>
      </c>
      <c r="B96" s="41">
        <v>0.1</v>
      </c>
      <c r="C96" s="38">
        <f t="shared" si="17"/>
        <v>1.5</v>
      </c>
      <c r="D96" s="38" t="s">
        <v>167</v>
      </c>
      <c r="E96" s="40"/>
      <c r="F96" s="38">
        <v>18</v>
      </c>
      <c r="G96" s="41">
        <v>0.1</v>
      </c>
      <c r="H96" s="38">
        <f t="shared" si="18"/>
        <v>1.8</v>
      </c>
      <c r="J96" s="38" t="s">
        <v>163</v>
      </c>
      <c r="K96" s="38">
        <v>115.5</v>
      </c>
      <c r="M96" s="40"/>
    </row>
    <row r="97" spans="1:27" ht="12.75" x14ac:dyDescent="0.2">
      <c r="A97" s="38">
        <v>38</v>
      </c>
      <c r="B97" s="41">
        <v>0.2</v>
      </c>
      <c r="C97" s="38">
        <f t="shared" si="17"/>
        <v>7.6000000000000005</v>
      </c>
      <c r="D97" s="38" t="s">
        <v>167</v>
      </c>
      <c r="E97" s="40"/>
      <c r="F97" s="38">
        <v>11</v>
      </c>
      <c r="G97" s="41">
        <v>0.2</v>
      </c>
      <c r="H97" s="38">
        <f t="shared" si="18"/>
        <v>2.2000000000000002</v>
      </c>
      <c r="J97" s="38" t="s">
        <v>146</v>
      </c>
      <c r="M97" s="40"/>
    </row>
    <row r="98" spans="1:27" ht="12.75" x14ac:dyDescent="0.2">
      <c r="A98" s="38">
        <v>13</v>
      </c>
      <c r="B98" s="41">
        <v>0.5</v>
      </c>
      <c r="C98" s="38">
        <f t="shared" si="17"/>
        <v>6.5</v>
      </c>
      <c r="D98" s="38" t="s">
        <v>167</v>
      </c>
      <c r="E98" s="40"/>
      <c r="F98" s="38">
        <v>18</v>
      </c>
      <c r="G98" s="41">
        <v>0.5</v>
      </c>
      <c r="H98" s="38">
        <f t="shared" si="18"/>
        <v>9</v>
      </c>
      <c r="J98" s="38" t="s">
        <v>144</v>
      </c>
      <c r="M98" s="40"/>
    </row>
    <row r="99" spans="1:27" ht="12.75" x14ac:dyDescent="0.2">
      <c r="A99" s="38">
        <v>22</v>
      </c>
      <c r="B99" s="41">
        <v>1</v>
      </c>
      <c r="C99" s="38">
        <f t="shared" si="17"/>
        <v>22</v>
      </c>
      <c r="D99" s="38" t="s">
        <v>167</v>
      </c>
      <c r="E99" s="40"/>
      <c r="F99" s="38">
        <v>7</v>
      </c>
      <c r="G99" s="41">
        <v>1</v>
      </c>
      <c r="H99" s="38">
        <f t="shared" si="18"/>
        <v>7</v>
      </c>
      <c r="J99" s="42"/>
      <c r="M99" s="40"/>
    </row>
    <row r="100" spans="1:27" ht="12.75" x14ac:dyDescent="0.2">
      <c r="A100" s="38">
        <v>15</v>
      </c>
      <c r="B100" s="41">
        <v>2</v>
      </c>
      <c r="C100" s="38">
        <f t="shared" si="17"/>
        <v>30</v>
      </c>
      <c r="D100" s="38" t="s">
        <v>167</v>
      </c>
      <c r="E100" s="40"/>
      <c r="F100" s="38">
        <v>16</v>
      </c>
      <c r="G100" s="41">
        <v>2</v>
      </c>
      <c r="H100" s="38">
        <f t="shared" si="18"/>
        <v>32</v>
      </c>
      <c r="J100" s="38" t="s">
        <v>149</v>
      </c>
      <c r="K100" s="38">
        <f t="shared" ref="K100:L100" si="19">SUM(K95,K96)*0.2</f>
        <v>72.78</v>
      </c>
      <c r="L100" s="38">
        <f t="shared" si="19"/>
        <v>30.200000000000003</v>
      </c>
      <c r="M100" s="40"/>
    </row>
    <row r="101" spans="1:27" ht="12.75" x14ac:dyDescent="0.2">
      <c r="A101" s="38">
        <v>5</v>
      </c>
      <c r="B101" s="41">
        <v>5</v>
      </c>
      <c r="C101" s="38">
        <f t="shared" si="17"/>
        <v>25</v>
      </c>
      <c r="E101" s="40"/>
      <c r="F101" s="38">
        <v>12</v>
      </c>
      <c r="G101" s="41">
        <v>5</v>
      </c>
      <c r="H101" s="38">
        <f t="shared" si="18"/>
        <v>60</v>
      </c>
      <c r="J101" s="38" t="s">
        <v>161</v>
      </c>
      <c r="K101" s="38">
        <f t="shared" ref="K101:L101" si="20">K95-K100</f>
        <v>175.62</v>
      </c>
      <c r="L101" s="38">
        <f t="shared" si="20"/>
        <v>120.8</v>
      </c>
      <c r="M101" s="40"/>
    </row>
    <row r="102" spans="1:27" ht="12.75" x14ac:dyDescent="0.2">
      <c r="A102" s="38">
        <v>2</v>
      </c>
      <c r="B102" s="41">
        <v>10</v>
      </c>
      <c r="C102" s="38">
        <f t="shared" si="17"/>
        <v>20</v>
      </c>
      <c r="E102" s="40"/>
      <c r="F102" s="38">
        <v>10</v>
      </c>
      <c r="G102" s="41">
        <v>10</v>
      </c>
      <c r="H102" s="38">
        <f t="shared" si="18"/>
        <v>100</v>
      </c>
      <c r="M102" s="40"/>
    </row>
    <row r="103" spans="1:27" ht="12.75" x14ac:dyDescent="0.2">
      <c r="A103" s="38"/>
      <c r="B103" s="41"/>
      <c r="E103" s="40"/>
      <c r="F103" s="38">
        <v>10</v>
      </c>
      <c r="G103" s="41">
        <v>20</v>
      </c>
      <c r="H103" s="38">
        <f t="shared" si="18"/>
        <v>200</v>
      </c>
      <c r="M103" s="40"/>
    </row>
    <row r="104" spans="1:27" ht="12.75" x14ac:dyDescent="0.2">
      <c r="B104" s="38" t="s">
        <v>156</v>
      </c>
      <c r="E104" s="40"/>
      <c r="F104" s="38">
        <v>2</v>
      </c>
      <c r="G104" s="41">
        <v>50</v>
      </c>
      <c r="H104" s="38">
        <f t="shared" si="18"/>
        <v>100</v>
      </c>
      <c r="M104" s="40"/>
    </row>
    <row r="105" spans="1:27" ht="12.75" x14ac:dyDescent="0.2">
      <c r="B105" s="38" t="s">
        <v>141</v>
      </c>
      <c r="C105" s="38">
        <f>SUM(C95:C104)</f>
        <v>115.1</v>
      </c>
      <c r="E105" s="40"/>
      <c r="G105" s="38" t="s">
        <v>137</v>
      </c>
      <c r="H105" s="38">
        <f>SUM(H95:H104)</f>
        <v>514.9</v>
      </c>
      <c r="M105" s="40"/>
    </row>
    <row r="106" spans="1:27" ht="12.75" x14ac:dyDescent="0.2">
      <c r="B106" s="38" t="s">
        <v>157</v>
      </c>
      <c r="E106" s="40"/>
      <c r="G106" s="38" t="s">
        <v>158</v>
      </c>
      <c r="H106" s="38">
        <f>H105-C105</f>
        <v>399.79999999999995</v>
      </c>
      <c r="M106" s="40"/>
    </row>
    <row r="107" spans="1:27" ht="12.75" x14ac:dyDescent="0.2">
      <c r="E107" s="40"/>
      <c r="G107" s="38" t="s">
        <v>142</v>
      </c>
      <c r="H107" s="38">
        <v>248.4</v>
      </c>
      <c r="M107" s="40"/>
    </row>
    <row r="108" spans="1:27" ht="12.75" x14ac:dyDescent="0.2">
      <c r="E108" s="40"/>
      <c r="G108" s="38" t="s">
        <v>163</v>
      </c>
      <c r="H108" s="38">
        <v>115.5</v>
      </c>
      <c r="M108" s="40"/>
    </row>
    <row r="109" spans="1:27" ht="12.75" x14ac:dyDescent="0.2">
      <c r="E109" s="40"/>
      <c r="G109" s="38" t="s">
        <v>160</v>
      </c>
      <c r="H109" s="38">
        <f>H106-H107</f>
        <v>151.39999999999995</v>
      </c>
      <c r="M109" s="40"/>
    </row>
    <row r="110" spans="1:27" ht="12.75" x14ac:dyDescent="0.2">
      <c r="A110" s="43"/>
      <c r="B110" s="43"/>
      <c r="C110" s="43"/>
      <c r="D110" s="43"/>
      <c r="E110" s="40"/>
      <c r="F110" s="43"/>
      <c r="G110" s="43"/>
      <c r="H110" s="43"/>
      <c r="I110" s="43"/>
      <c r="J110" s="43"/>
      <c r="K110" s="43"/>
      <c r="L110" s="43"/>
      <c r="M110" s="40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</row>
    <row r="111" spans="1:27" ht="12.75" x14ac:dyDescent="0.2">
      <c r="A111" s="38" t="s">
        <v>135</v>
      </c>
      <c r="B111" s="39">
        <v>45542</v>
      </c>
      <c r="E111" s="40"/>
      <c r="F111" s="38" t="s">
        <v>136</v>
      </c>
      <c r="G111" s="39">
        <v>45542</v>
      </c>
      <c r="M111" s="40"/>
      <c r="N111" s="38" t="s">
        <v>169</v>
      </c>
      <c r="O111" s="38">
        <v>37.53</v>
      </c>
    </row>
    <row r="112" spans="1:27" ht="12.75" x14ac:dyDescent="0.2">
      <c r="A112" s="38" t="s">
        <v>139</v>
      </c>
      <c r="B112" s="38" t="s">
        <v>140</v>
      </c>
      <c r="C112" s="38" t="s">
        <v>141</v>
      </c>
      <c r="E112" s="40"/>
      <c r="F112" s="38" t="s">
        <v>139</v>
      </c>
      <c r="G112" s="38" t="s">
        <v>140</v>
      </c>
      <c r="H112" s="38" t="s">
        <v>141</v>
      </c>
      <c r="J112" s="38" t="s">
        <v>137</v>
      </c>
      <c r="K112" s="38">
        <v>271.39999999999998</v>
      </c>
      <c r="M112" s="40"/>
    </row>
    <row r="113" spans="1:27" ht="12.75" x14ac:dyDescent="0.2">
      <c r="A113" s="38">
        <v>58</v>
      </c>
      <c r="B113" s="41">
        <v>0.05</v>
      </c>
      <c r="C113" s="38">
        <f t="shared" ref="C113:C120" si="21">A113*B113</f>
        <v>2.9000000000000004</v>
      </c>
      <c r="D113" s="38" t="s">
        <v>167</v>
      </c>
      <c r="E113" s="40"/>
      <c r="F113" s="38">
        <v>60</v>
      </c>
      <c r="G113" s="38">
        <v>0.05</v>
      </c>
      <c r="H113" s="38">
        <f t="shared" ref="H113:H122" si="22">F113*G113</f>
        <v>3</v>
      </c>
      <c r="J113" s="38" t="s">
        <v>142</v>
      </c>
      <c r="K113" s="38">
        <v>174.3</v>
      </c>
      <c r="L113" s="38">
        <v>269</v>
      </c>
      <c r="M113" s="40"/>
    </row>
    <row r="114" spans="1:27" ht="12.75" x14ac:dyDescent="0.2">
      <c r="A114" s="38">
        <v>18</v>
      </c>
      <c r="B114" s="41">
        <v>0.1</v>
      </c>
      <c r="C114" s="38">
        <f t="shared" si="21"/>
        <v>1.8</v>
      </c>
      <c r="D114" s="38" t="s">
        <v>167</v>
      </c>
      <c r="E114" s="40"/>
      <c r="F114" s="38">
        <v>22</v>
      </c>
      <c r="G114" s="41">
        <v>0.1</v>
      </c>
      <c r="H114" s="38">
        <f t="shared" si="22"/>
        <v>2.2000000000000002</v>
      </c>
      <c r="J114" s="38" t="s">
        <v>163</v>
      </c>
      <c r="K114" s="38">
        <v>97.1</v>
      </c>
      <c r="M114" s="40"/>
    </row>
    <row r="115" spans="1:27" ht="12.75" x14ac:dyDescent="0.2">
      <c r="A115" s="38">
        <v>12</v>
      </c>
      <c r="B115" s="41">
        <v>0.2</v>
      </c>
      <c r="C115" s="38">
        <f t="shared" si="21"/>
        <v>2.4000000000000004</v>
      </c>
      <c r="D115" s="38" t="s">
        <v>167</v>
      </c>
      <c r="E115" s="40"/>
      <c r="F115" s="38">
        <v>25</v>
      </c>
      <c r="G115" s="41">
        <v>0.2</v>
      </c>
      <c r="H115" s="38">
        <f t="shared" si="22"/>
        <v>5</v>
      </c>
      <c r="J115" s="38" t="s">
        <v>146</v>
      </c>
      <c r="M115" s="40"/>
    </row>
    <row r="116" spans="1:27" ht="12.75" x14ac:dyDescent="0.2">
      <c r="A116" s="38">
        <v>18</v>
      </c>
      <c r="B116" s="41">
        <v>0.5</v>
      </c>
      <c r="C116" s="38">
        <f t="shared" si="21"/>
        <v>9</v>
      </c>
      <c r="D116" s="38" t="s">
        <v>167</v>
      </c>
      <c r="E116" s="40"/>
      <c r="F116" s="38">
        <v>13</v>
      </c>
      <c r="G116" s="41">
        <v>0.5</v>
      </c>
      <c r="H116" s="38">
        <f t="shared" si="22"/>
        <v>6.5</v>
      </c>
      <c r="J116" s="38" t="s">
        <v>144</v>
      </c>
      <c r="M116" s="40"/>
    </row>
    <row r="117" spans="1:27" ht="12.75" x14ac:dyDescent="0.2">
      <c r="A117" s="38">
        <v>20</v>
      </c>
      <c r="B117" s="41">
        <v>1</v>
      </c>
      <c r="C117" s="38">
        <f t="shared" si="21"/>
        <v>20</v>
      </c>
      <c r="D117" s="38" t="s">
        <v>167</v>
      </c>
      <c r="E117" s="40"/>
      <c r="F117" s="38">
        <v>16</v>
      </c>
      <c r="G117" s="41">
        <v>1</v>
      </c>
      <c r="H117" s="38">
        <f t="shared" si="22"/>
        <v>16</v>
      </c>
      <c r="J117" s="42"/>
      <c r="M117" s="40"/>
    </row>
    <row r="118" spans="1:27" ht="12.75" x14ac:dyDescent="0.2">
      <c r="A118" s="38">
        <v>16</v>
      </c>
      <c r="B118" s="41">
        <v>2</v>
      </c>
      <c r="C118" s="38">
        <f t="shared" si="21"/>
        <v>32</v>
      </c>
      <c r="D118" s="38" t="s">
        <v>167</v>
      </c>
      <c r="E118" s="40"/>
      <c r="F118" s="38">
        <v>12</v>
      </c>
      <c r="G118" s="41">
        <v>2</v>
      </c>
      <c r="H118" s="38">
        <f t="shared" si="22"/>
        <v>24</v>
      </c>
      <c r="J118" s="38" t="s">
        <v>149</v>
      </c>
      <c r="K118" s="38">
        <f>SUM(K113,K114)*0.2</f>
        <v>54.28</v>
      </c>
      <c r="L118" s="38">
        <v>50</v>
      </c>
      <c r="M118" s="40"/>
    </row>
    <row r="119" spans="1:27" ht="12.75" x14ac:dyDescent="0.2">
      <c r="A119" s="38">
        <v>5</v>
      </c>
      <c r="B119" s="41">
        <v>5</v>
      </c>
      <c r="C119" s="38">
        <f t="shared" si="21"/>
        <v>25</v>
      </c>
      <c r="E119" s="40"/>
      <c r="F119" s="38">
        <v>14</v>
      </c>
      <c r="G119" s="41">
        <v>5</v>
      </c>
      <c r="H119" s="38">
        <f t="shared" si="22"/>
        <v>70</v>
      </c>
      <c r="J119" s="38" t="s">
        <v>161</v>
      </c>
      <c r="K119" s="38">
        <f t="shared" ref="K119:L119" si="23">K113-K118</f>
        <v>120.02000000000001</v>
      </c>
      <c r="L119" s="38">
        <f t="shared" si="23"/>
        <v>219</v>
      </c>
      <c r="M119" s="40"/>
    </row>
    <row r="120" spans="1:27" ht="12.75" x14ac:dyDescent="0.2">
      <c r="A120" s="38">
        <v>2</v>
      </c>
      <c r="B120" s="41">
        <v>10</v>
      </c>
      <c r="C120" s="38">
        <f t="shared" si="21"/>
        <v>20</v>
      </c>
      <c r="E120" s="40"/>
      <c r="F120" s="38">
        <v>7</v>
      </c>
      <c r="G120" s="41">
        <v>10</v>
      </c>
      <c r="H120" s="38">
        <f t="shared" si="22"/>
        <v>70</v>
      </c>
      <c r="M120" s="40"/>
    </row>
    <row r="121" spans="1:27" ht="12.75" x14ac:dyDescent="0.2">
      <c r="A121" s="38"/>
      <c r="B121" s="41"/>
      <c r="E121" s="40"/>
      <c r="F121" s="38">
        <v>3</v>
      </c>
      <c r="G121" s="41">
        <v>20</v>
      </c>
      <c r="H121" s="38">
        <f t="shared" si="22"/>
        <v>60</v>
      </c>
      <c r="M121" s="40"/>
    </row>
    <row r="122" spans="1:27" ht="12.75" x14ac:dyDescent="0.2">
      <c r="B122" s="38" t="s">
        <v>156</v>
      </c>
      <c r="E122" s="40"/>
      <c r="F122" s="38">
        <v>6</v>
      </c>
      <c r="G122" s="41">
        <v>50</v>
      </c>
      <c r="H122" s="38">
        <f t="shared" si="22"/>
        <v>300</v>
      </c>
      <c r="M122" s="40"/>
    </row>
    <row r="123" spans="1:27" ht="12.75" x14ac:dyDescent="0.2">
      <c r="B123" s="38" t="s">
        <v>141</v>
      </c>
      <c r="C123" s="38">
        <f>SUM(C113:C122)</f>
        <v>113.1</v>
      </c>
      <c r="E123" s="40"/>
      <c r="G123" s="38" t="s">
        <v>137</v>
      </c>
      <c r="H123" s="38">
        <f>SUM(H113:H122)</f>
        <v>556.70000000000005</v>
      </c>
      <c r="M123" s="40"/>
    </row>
    <row r="124" spans="1:27" ht="12.75" x14ac:dyDescent="0.2">
      <c r="B124" s="38" t="s">
        <v>157</v>
      </c>
      <c r="E124" s="40"/>
      <c r="G124" s="38" t="s">
        <v>158</v>
      </c>
      <c r="H124" s="38">
        <f>H123-C123</f>
        <v>443.6</v>
      </c>
      <c r="M124" s="40"/>
    </row>
    <row r="125" spans="1:27" ht="12.75" x14ac:dyDescent="0.2">
      <c r="E125" s="40"/>
      <c r="G125" s="38" t="s">
        <v>142</v>
      </c>
      <c r="H125" s="38">
        <v>174.3</v>
      </c>
      <c r="M125" s="40"/>
    </row>
    <row r="126" spans="1:27" ht="12.75" x14ac:dyDescent="0.2">
      <c r="E126" s="40"/>
      <c r="G126" s="38" t="s">
        <v>163</v>
      </c>
      <c r="H126" s="38">
        <v>97.1</v>
      </c>
      <c r="M126" s="40"/>
    </row>
    <row r="127" spans="1:27" ht="12.75" x14ac:dyDescent="0.2">
      <c r="E127" s="40"/>
      <c r="G127" s="38" t="s">
        <v>160</v>
      </c>
      <c r="H127" s="38">
        <f>H124-H125</f>
        <v>269.3</v>
      </c>
      <c r="M127" s="40"/>
    </row>
    <row r="128" spans="1:27" ht="12.75" x14ac:dyDescent="0.2">
      <c r="A128" s="43"/>
      <c r="B128" s="43"/>
      <c r="C128" s="43"/>
      <c r="D128" s="43"/>
      <c r="E128" s="40"/>
      <c r="F128" s="43"/>
      <c r="G128" s="43"/>
      <c r="H128" s="43"/>
      <c r="I128" s="43"/>
      <c r="J128" s="43"/>
      <c r="K128" s="43"/>
      <c r="L128" s="43"/>
      <c r="M128" s="40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</row>
    <row r="129" spans="1:15" ht="12.75" x14ac:dyDescent="0.2">
      <c r="A129" s="38" t="s">
        <v>135</v>
      </c>
      <c r="B129" s="39">
        <v>45543</v>
      </c>
      <c r="E129" s="40"/>
      <c r="F129" s="38" t="s">
        <v>136</v>
      </c>
      <c r="G129" s="39">
        <v>45543</v>
      </c>
      <c r="M129" s="40"/>
    </row>
    <row r="130" spans="1:15" ht="12.75" x14ac:dyDescent="0.2">
      <c r="A130" s="38" t="s">
        <v>139</v>
      </c>
      <c r="B130" s="38" t="s">
        <v>140</v>
      </c>
      <c r="C130" s="38" t="s">
        <v>141</v>
      </c>
      <c r="E130" s="40"/>
      <c r="F130" s="38" t="s">
        <v>139</v>
      </c>
      <c r="G130" s="38" t="s">
        <v>140</v>
      </c>
      <c r="H130" s="38" t="s">
        <v>141</v>
      </c>
      <c r="J130" s="38" t="s">
        <v>137</v>
      </c>
      <c r="M130" s="40"/>
    </row>
    <row r="131" spans="1:15" ht="12.75" x14ac:dyDescent="0.2">
      <c r="A131" s="38">
        <v>60</v>
      </c>
      <c r="B131" s="41">
        <v>0.05</v>
      </c>
      <c r="C131" s="38">
        <f t="shared" ref="C131:C138" si="24">A131*B131</f>
        <v>3</v>
      </c>
      <c r="D131" s="38" t="s">
        <v>167</v>
      </c>
      <c r="E131" s="40"/>
      <c r="F131" s="38">
        <v>62</v>
      </c>
      <c r="G131" s="38">
        <v>0.05</v>
      </c>
      <c r="H131" s="38">
        <f t="shared" ref="H131:H140" si="25">F131*G131</f>
        <v>3.1</v>
      </c>
      <c r="J131" s="38" t="s">
        <v>142</v>
      </c>
      <c r="K131" s="38">
        <v>69</v>
      </c>
      <c r="L131" s="38">
        <v>121</v>
      </c>
      <c r="M131" s="40"/>
    </row>
    <row r="132" spans="1:15" ht="12.75" x14ac:dyDescent="0.2">
      <c r="A132" s="38">
        <v>22</v>
      </c>
      <c r="B132" s="41">
        <v>0.1</v>
      </c>
      <c r="C132" s="38">
        <f t="shared" si="24"/>
        <v>2.2000000000000002</v>
      </c>
      <c r="D132" s="38" t="s">
        <v>167</v>
      </c>
      <c r="E132" s="40"/>
      <c r="F132" s="38">
        <v>20</v>
      </c>
      <c r="G132" s="41">
        <v>0.1</v>
      </c>
      <c r="H132" s="38">
        <f t="shared" si="25"/>
        <v>2</v>
      </c>
      <c r="J132" s="38" t="s">
        <v>163</v>
      </c>
      <c r="K132" s="38">
        <v>0</v>
      </c>
      <c r="M132" s="40"/>
    </row>
    <row r="133" spans="1:15" ht="12.75" x14ac:dyDescent="0.2">
      <c r="A133" s="38">
        <v>25</v>
      </c>
      <c r="B133" s="41">
        <v>0.2</v>
      </c>
      <c r="C133" s="38">
        <f t="shared" si="24"/>
        <v>5</v>
      </c>
      <c r="D133" s="38" t="s">
        <v>167</v>
      </c>
      <c r="E133" s="40"/>
      <c r="F133" s="38">
        <v>12</v>
      </c>
      <c r="G133" s="41">
        <v>0.2</v>
      </c>
      <c r="H133" s="38">
        <f t="shared" si="25"/>
        <v>2.4000000000000004</v>
      </c>
      <c r="J133" s="38" t="s">
        <v>146</v>
      </c>
      <c r="M133" s="40"/>
      <c r="O133" s="47"/>
    </row>
    <row r="134" spans="1:15" ht="12.75" x14ac:dyDescent="0.2">
      <c r="A134" s="38">
        <v>14</v>
      </c>
      <c r="B134" s="41">
        <v>0.5</v>
      </c>
      <c r="C134" s="38">
        <f t="shared" si="24"/>
        <v>7</v>
      </c>
      <c r="D134" s="38" t="s">
        <v>167</v>
      </c>
      <c r="E134" s="40"/>
      <c r="F134" s="38">
        <v>8</v>
      </c>
      <c r="G134" s="41">
        <v>0.5</v>
      </c>
      <c r="H134" s="38">
        <f t="shared" si="25"/>
        <v>4</v>
      </c>
      <c r="J134" s="38" t="s">
        <v>144</v>
      </c>
      <c r="M134" s="40"/>
    </row>
    <row r="135" spans="1:15" ht="12.75" x14ac:dyDescent="0.2">
      <c r="A135" s="38">
        <v>16</v>
      </c>
      <c r="B135" s="41">
        <v>1</v>
      </c>
      <c r="C135" s="38">
        <f t="shared" si="24"/>
        <v>16</v>
      </c>
      <c r="D135" s="38" t="s">
        <v>167</v>
      </c>
      <c r="E135" s="40"/>
      <c r="F135" s="38">
        <v>20</v>
      </c>
      <c r="G135" s="41">
        <v>1</v>
      </c>
      <c r="H135" s="38">
        <f t="shared" si="25"/>
        <v>20</v>
      </c>
      <c r="J135" s="42"/>
      <c r="M135" s="40"/>
    </row>
    <row r="136" spans="1:15" ht="12.75" x14ac:dyDescent="0.2">
      <c r="A136" s="38">
        <v>15</v>
      </c>
      <c r="B136" s="41">
        <v>2</v>
      </c>
      <c r="C136" s="38">
        <f t="shared" si="24"/>
        <v>30</v>
      </c>
      <c r="D136" s="38" t="s">
        <v>167</v>
      </c>
      <c r="E136" s="40"/>
      <c r="F136" s="38">
        <v>16</v>
      </c>
      <c r="G136" s="41">
        <v>2</v>
      </c>
      <c r="H136" s="38">
        <f t="shared" si="25"/>
        <v>32</v>
      </c>
      <c r="J136" s="38" t="s">
        <v>149</v>
      </c>
      <c r="K136" s="38">
        <f>SUM(K131,K132)*0.2</f>
        <v>13.8</v>
      </c>
      <c r="L136" s="38">
        <v>20</v>
      </c>
      <c r="M136" s="40"/>
    </row>
    <row r="137" spans="1:15" ht="12.75" x14ac:dyDescent="0.2">
      <c r="A137" s="38">
        <v>5</v>
      </c>
      <c r="B137" s="41">
        <v>5</v>
      </c>
      <c r="C137" s="38">
        <f t="shared" si="24"/>
        <v>25</v>
      </c>
      <c r="D137" s="38" t="s">
        <v>167</v>
      </c>
      <c r="E137" s="40"/>
      <c r="F137" s="38">
        <v>9</v>
      </c>
      <c r="G137" s="41">
        <v>5</v>
      </c>
      <c r="H137" s="38">
        <f t="shared" si="25"/>
        <v>45</v>
      </c>
      <c r="J137" s="38" t="s">
        <v>161</v>
      </c>
      <c r="K137" s="38">
        <f t="shared" ref="K137:L137" si="26">K131-K136</f>
        <v>55.2</v>
      </c>
      <c r="L137" s="38">
        <f t="shared" si="26"/>
        <v>101</v>
      </c>
      <c r="M137" s="40"/>
    </row>
    <row r="138" spans="1:15" ht="12.75" x14ac:dyDescent="0.2">
      <c r="A138" s="38">
        <v>2</v>
      </c>
      <c r="B138" s="41">
        <v>10</v>
      </c>
      <c r="C138" s="38">
        <f t="shared" si="24"/>
        <v>20</v>
      </c>
      <c r="D138" s="38" t="s">
        <v>167</v>
      </c>
      <c r="E138" s="40"/>
      <c r="F138" s="38">
        <v>7</v>
      </c>
      <c r="G138" s="41">
        <v>10</v>
      </c>
      <c r="H138" s="38">
        <f t="shared" si="25"/>
        <v>70</v>
      </c>
      <c r="M138" s="40"/>
    </row>
    <row r="139" spans="1:15" ht="12.75" x14ac:dyDescent="0.2">
      <c r="A139" s="38"/>
      <c r="B139" s="41"/>
      <c r="E139" s="40"/>
      <c r="F139" s="38">
        <v>1</v>
      </c>
      <c r="G139" s="41">
        <v>20</v>
      </c>
      <c r="H139" s="38">
        <f t="shared" si="25"/>
        <v>20</v>
      </c>
      <c r="M139" s="40"/>
    </row>
    <row r="140" spans="1:15" ht="12.75" x14ac:dyDescent="0.2">
      <c r="B140" s="38" t="s">
        <v>156</v>
      </c>
      <c r="E140" s="40"/>
      <c r="F140" s="38">
        <v>2</v>
      </c>
      <c r="G140" s="41">
        <v>50</v>
      </c>
      <c r="H140" s="38">
        <f t="shared" si="25"/>
        <v>100</v>
      </c>
      <c r="M140" s="40"/>
    </row>
    <row r="141" spans="1:15" ht="12.75" x14ac:dyDescent="0.2">
      <c r="B141" s="38" t="s">
        <v>141</v>
      </c>
      <c r="C141" s="38">
        <f>SUM(C131:C140)</f>
        <v>108.2</v>
      </c>
      <c r="E141" s="40"/>
      <c r="G141" s="38" t="s">
        <v>137</v>
      </c>
      <c r="H141" s="38">
        <f>SUM(H131:H140)</f>
        <v>298.5</v>
      </c>
      <c r="M141" s="40"/>
    </row>
    <row r="142" spans="1:15" ht="12.75" x14ac:dyDescent="0.2">
      <c r="B142" s="38" t="s">
        <v>157</v>
      </c>
      <c r="E142" s="40"/>
      <c r="G142" s="38" t="s">
        <v>158</v>
      </c>
      <c r="H142" s="38">
        <f>H141-C141</f>
        <v>190.3</v>
      </c>
      <c r="M142" s="40"/>
    </row>
    <row r="143" spans="1:15" ht="12.75" x14ac:dyDescent="0.2">
      <c r="E143" s="40"/>
      <c r="G143" s="38" t="s">
        <v>142</v>
      </c>
      <c r="H143" s="38">
        <v>69</v>
      </c>
      <c r="M143" s="40"/>
    </row>
    <row r="144" spans="1:15" ht="12.75" x14ac:dyDescent="0.2">
      <c r="E144" s="40"/>
      <c r="G144" s="38" t="s">
        <v>163</v>
      </c>
      <c r="H144" s="38"/>
      <c r="M144" s="40"/>
    </row>
    <row r="145" spans="1:27" ht="12.75" x14ac:dyDescent="0.2">
      <c r="E145" s="40"/>
      <c r="G145" s="38" t="s">
        <v>160</v>
      </c>
      <c r="H145" s="38">
        <f>H142-H143</f>
        <v>121.30000000000001</v>
      </c>
      <c r="M145" s="40"/>
    </row>
    <row r="146" spans="1:27" ht="12.75" x14ac:dyDescent="0.2">
      <c r="E146" s="40"/>
      <c r="M146" s="40"/>
    </row>
    <row r="147" spans="1:27" ht="12.75" x14ac:dyDescent="0.2">
      <c r="A147" s="43"/>
      <c r="B147" s="43"/>
      <c r="C147" s="43"/>
      <c r="D147" s="43"/>
      <c r="E147" s="40"/>
      <c r="F147" s="43"/>
      <c r="G147" s="43"/>
      <c r="H147" s="43"/>
      <c r="I147" s="43"/>
      <c r="J147" s="43"/>
      <c r="K147" s="43"/>
      <c r="L147" s="43"/>
      <c r="M147" s="40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  <c r="Z147" s="43"/>
      <c r="AA147" s="43"/>
    </row>
    <row r="148" spans="1:27" ht="12.75" x14ac:dyDescent="0.2">
      <c r="A148" s="38" t="s">
        <v>135</v>
      </c>
      <c r="B148" s="39">
        <v>45544</v>
      </c>
      <c r="E148" s="40"/>
      <c r="F148" s="38" t="s">
        <v>136</v>
      </c>
      <c r="G148" s="39">
        <v>45544</v>
      </c>
      <c r="M148" s="40"/>
      <c r="N148" s="38" t="s">
        <v>169</v>
      </c>
      <c r="O148" s="47">
        <v>125.72</v>
      </c>
    </row>
    <row r="149" spans="1:27" ht="12.75" x14ac:dyDescent="0.2">
      <c r="A149" s="38" t="s">
        <v>139</v>
      </c>
      <c r="B149" s="38" t="s">
        <v>140</v>
      </c>
      <c r="C149" s="38" t="s">
        <v>141</v>
      </c>
      <c r="E149" s="40"/>
      <c r="F149" s="38" t="s">
        <v>139</v>
      </c>
      <c r="G149" s="38" t="s">
        <v>140</v>
      </c>
      <c r="H149" s="38" t="s">
        <v>141</v>
      </c>
      <c r="J149" s="38" t="s">
        <v>137</v>
      </c>
      <c r="K149" s="38">
        <v>247</v>
      </c>
      <c r="M149" s="40"/>
      <c r="N149" s="38" t="s">
        <v>169</v>
      </c>
      <c r="O149" s="47">
        <v>12.37</v>
      </c>
    </row>
    <row r="150" spans="1:27" ht="12.75" x14ac:dyDescent="0.2">
      <c r="A150" s="38">
        <v>62</v>
      </c>
      <c r="B150" s="41">
        <v>0.05</v>
      </c>
      <c r="C150" s="38">
        <f t="shared" ref="C150:C157" si="27">A150*B150</f>
        <v>3.1</v>
      </c>
      <c r="E150" s="40"/>
      <c r="F150" s="38">
        <v>64</v>
      </c>
      <c r="G150" s="38">
        <v>0.05</v>
      </c>
      <c r="H150" s="38">
        <f t="shared" ref="H150:H159" si="28">F150*G150</f>
        <v>3.2</v>
      </c>
      <c r="J150" s="38" t="s">
        <v>142</v>
      </c>
      <c r="K150" s="38">
        <v>196.3</v>
      </c>
      <c r="L150" s="38">
        <v>182</v>
      </c>
      <c r="M150" s="40"/>
      <c r="O150" s="47"/>
    </row>
    <row r="151" spans="1:27" ht="12.75" x14ac:dyDescent="0.2">
      <c r="A151" s="38">
        <v>20</v>
      </c>
      <c r="B151" s="41">
        <v>0.1</v>
      </c>
      <c r="C151" s="38">
        <f t="shared" si="27"/>
        <v>2</v>
      </c>
      <c r="E151" s="40"/>
      <c r="F151" s="38">
        <v>35</v>
      </c>
      <c r="G151" s="41">
        <v>0.1</v>
      </c>
      <c r="H151" s="38">
        <f t="shared" si="28"/>
        <v>3.5</v>
      </c>
      <c r="J151" s="38" t="s">
        <v>163</v>
      </c>
      <c r="K151" s="38">
        <v>50.7</v>
      </c>
      <c r="M151" s="40"/>
      <c r="O151" s="47"/>
    </row>
    <row r="152" spans="1:27" ht="12.75" x14ac:dyDescent="0.2">
      <c r="A152" s="38">
        <v>12</v>
      </c>
      <c r="B152" s="41">
        <v>0.2</v>
      </c>
      <c r="C152" s="38">
        <f t="shared" si="27"/>
        <v>2.4000000000000004</v>
      </c>
      <c r="E152" s="40"/>
      <c r="F152" s="38">
        <v>7</v>
      </c>
      <c r="G152" s="41">
        <v>0.2</v>
      </c>
      <c r="H152" s="38">
        <f t="shared" si="28"/>
        <v>1.4000000000000001</v>
      </c>
      <c r="J152" s="38" t="s">
        <v>146</v>
      </c>
      <c r="M152" s="40"/>
      <c r="O152" s="41"/>
    </row>
    <row r="153" spans="1:27" ht="12.75" x14ac:dyDescent="0.2">
      <c r="A153" s="38">
        <v>8</v>
      </c>
      <c r="B153" s="41">
        <v>0.5</v>
      </c>
      <c r="C153" s="38">
        <f t="shared" si="27"/>
        <v>4</v>
      </c>
      <c r="E153" s="40"/>
      <c r="F153" s="38">
        <v>12</v>
      </c>
      <c r="G153" s="41">
        <v>0.5</v>
      </c>
      <c r="H153" s="38">
        <f t="shared" si="28"/>
        <v>6</v>
      </c>
      <c r="J153" s="38" t="s">
        <v>144</v>
      </c>
      <c r="M153" s="40"/>
      <c r="O153" s="41"/>
    </row>
    <row r="154" spans="1:27" ht="12.75" x14ac:dyDescent="0.2">
      <c r="A154" s="38">
        <v>20</v>
      </c>
      <c r="B154" s="41">
        <v>1</v>
      </c>
      <c r="C154" s="38">
        <f t="shared" si="27"/>
        <v>20</v>
      </c>
      <c r="E154" s="40"/>
      <c r="F154" s="38">
        <v>18</v>
      </c>
      <c r="G154" s="41">
        <v>1</v>
      </c>
      <c r="H154" s="38">
        <f t="shared" si="28"/>
        <v>18</v>
      </c>
      <c r="J154" s="42"/>
      <c r="M154" s="40"/>
      <c r="O154" s="41"/>
    </row>
    <row r="155" spans="1:27" ht="12.75" x14ac:dyDescent="0.2">
      <c r="A155" s="38">
        <v>16</v>
      </c>
      <c r="B155" s="41">
        <v>2</v>
      </c>
      <c r="C155" s="38">
        <f t="shared" si="27"/>
        <v>32</v>
      </c>
      <c r="E155" s="40"/>
      <c r="F155" s="38">
        <v>10</v>
      </c>
      <c r="G155" s="41">
        <v>2</v>
      </c>
      <c r="H155" s="38">
        <f t="shared" si="28"/>
        <v>20</v>
      </c>
      <c r="J155" s="38" t="s">
        <v>149</v>
      </c>
      <c r="K155" s="38">
        <f t="shared" ref="K155:L155" si="29">SUM(K150,K151)*0.2</f>
        <v>49.400000000000006</v>
      </c>
      <c r="L155" s="38">
        <f t="shared" si="29"/>
        <v>36.4</v>
      </c>
      <c r="M155" s="40"/>
    </row>
    <row r="156" spans="1:27" ht="12.75" x14ac:dyDescent="0.2">
      <c r="A156" s="38">
        <v>4</v>
      </c>
      <c r="B156" s="41">
        <v>5</v>
      </c>
      <c r="C156" s="38">
        <f t="shared" si="27"/>
        <v>20</v>
      </c>
      <c r="E156" s="40"/>
      <c r="F156" s="38">
        <v>22</v>
      </c>
      <c r="G156" s="41">
        <v>5</v>
      </c>
      <c r="H156" s="38">
        <f t="shared" si="28"/>
        <v>110</v>
      </c>
      <c r="J156" s="38" t="s">
        <v>161</v>
      </c>
      <c r="K156" s="38">
        <f t="shared" ref="K156:L156" si="30">K150-K155</f>
        <v>146.9</v>
      </c>
      <c r="L156" s="38">
        <f t="shared" si="30"/>
        <v>145.6</v>
      </c>
      <c r="M156" s="40"/>
    </row>
    <row r="157" spans="1:27" ht="12.75" x14ac:dyDescent="0.2">
      <c r="A157" s="38">
        <v>2</v>
      </c>
      <c r="B157" s="41">
        <v>10</v>
      </c>
      <c r="C157" s="38">
        <f t="shared" si="27"/>
        <v>20</v>
      </c>
      <c r="E157" s="40"/>
      <c r="F157" s="38">
        <v>8</v>
      </c>
      <c r="G157" s="41">
        <v>10</v>
      </c>
      <c r="H157" s="38">
        <f t="shared" si="28"/>
        <v>80</v>
      </c>
      <c r="M157" s="40"/>
    </row>
    <row r="158" spans="1:27" ht="12.75" x14ac:dyDescent="0.2">
      <c r="B158" s="41"/>
      <c r="E158" s="40"/>
      <c r="F158" s="38">
        <v>2</v>
      </c>
      <c r="G158" s="41">
        <v>20</v>
      </c>
      <c r="H158" s="38">
        <f t="shared" si="28"/>
        <v>40</v>
      </c>
      <c r="M158" s="40"/>
    </row>
    <row r="159" spans="1:27" ht="12.75" x14ac:dyDescent="0.2">
      <c r="B159" s="38" t="s">
        <v>156</v>
      </c>
      <c r="E159" s="40"/>
      <c r="F159" s="38">
        <v>4</v>
      </c>
      <c r="G159" s="41">
        <v>50</v>
      </c>
      <c r="H159" s="38">
        <f t="shared" si="28"/>
        <v>200</v>
      </c>
      <c r="M159" s="40"/>
    </row>
    <row r="160" spans="1:27" ht="12.75" x14ac:dyDescent="0.2">
      <c r="B160" s="38" t="s">
        <v>141</v>
      </c>
      <c r="C160" s="38">
        <f>SUM(C150:C159)</f>
        <v>103.5</v>
      </c>
      <c r="E160" s="40"/>
      <c r="G160" s="38" t="s">
        <v>137</v>
      </c>
      <c r="H160" s="38">
        <f>SUM(H150:H159)</f>
        <v>482.1</v>
      </c>
      <c r="M160" s="40"/>
    </row>
    <row r="161" spans="1:27" ht="12.75" x14ac:dyDescent="0.2">
      <c r="B161" s="38" t="s">
        <v>157</v>
      </c>
      <c r="E161" s="40"/>
      <c r="G161" s="38" t="s">
        <v>158</v>
      </c>
      <c r="H161" s="38">
        <f>H160-C160</f>
        <v>378.6</v>
      </c>
      <c r="M161" s="40"/>
    </row>
    <row r="162" spans="1:27" ht="12.75" x14ac:dyDescent="0.2">
      <c r="E162" s="40"/>
      <c r="G162" s="38" t="s">
        <v>142</v>
      </c>
      <c r="H162" s="38">
        <v>196.3</v>
      </c>
      <c r="M162" s="40"/>
    </row>
    <row r="163" spans="1:27" ht="12.75" x14ac:dyDescent="0.2">
      <c r="E163" s="40"/>
      <c r="G163" s="38" t="s">
        <v>163</v>
      </c>
      <c r="H163" s="38">
        <v>50.7</v>
      </c>
      <c r="M163" s="40"/>
    </row>
    <row r="164" spans="1:27" ht="12.75" x14ac:dyDescent="0.2">
      <c r="E164" s="40"/>
      <c r="G164" s="38" t="s">
        <v>160</v>
      </c>
      <c r="H164" s="38">
        <f>H161-H162</f>
        <v>182.3</v>
      </c>
      <c r="M164" s="40"/>
    </row>
    <row r="165" spans="1:27" ht="12.75" x14ac:dyDescent="0.2">
      <c r="E165" s="40"/>
      <c r="M165" s="40"/>
    </row>
    <row r="166" spans="1:27" ht="12.75" x14ac:dyDescent="0.2">
      <c r="A166" s="43"/>
      <c r="B166" s="43"/>
      <c r="C166" s="43"/>
      <c r="D166" s="43"/>
      <c r="E166" s="40"/>
      <c r="F166" s="43"/>
      <c r="G166" s="43"/>
      <c r="H166" s="43"/>
      <c r="I166" s="43"/>
      <c r="J166" s="43"/>
      <c r="K166" s="43"/>
      <c r="L166" s="43"/>
      <c r="M166" s="40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</row>
    <row r="167" spans="1:27" ht="12.75" x14ac:dyDescent="0.2">
      <c r="A167" s="38" t="s">
        <v>135</v>
      </c>
      <c r="B167" s="39">
        <v>45545</v>
      </c>
      <c r="E167" s="40"/>
      <c r="F167" s="38" t="s">
        <v>136</v>
      </c>
      <c r="G167" s="39">
        <v>45545</v>
      </c>
      <c r="M167" s="40"/>
    </row>
    <row r="168" spans="1:27" ht="12.75" x14ac:dyDescent="0.2">
      <c r="A168" s="38" t="s">
        <v>139</v>
      </c>
      <c r="B168" s="38" t="s">
        <v>140</v>
      </c>
      <c r="C168" s="38" t="s">
        <v>141</v>
      </c>
      <c r="E168" s="40"/>
      <c r="F168" s="38" t="s">
        <v>139</v>
      </c>
      <c r="G168" s="38" t="s">
        <v>140</v>
      </c>
      <c r="H168" s="38" t="s">
        <v>141</v>
      </c>
      <c r="J168" s="38" t="s">
        <v>137</v>
      </c>
      <c r="K168" s="38">
        <v>207</v>
      </c>
      <c r="M168" s="40"/>
      <c r="O168" s="41"/>
    </row>
    <row r="169" spans="1:27" ht="12.75" x14ac:dyDescent="0.2">
      <c r="A169" s="38">
        <v>64</v>
      </c>
      <c r="B169" s="41">
        <v>0.05</v>
      </c>
      <c r="C169" s="38">
        <f t="shared" ref="C169:C176" si="31">A169*B169</f>
        <v>3.2</v>
      </c>
      <c r="E169" s="40"/>
      <c r="F169" s="38">
        <v>67</v>
      </c>
      <c r="G169" s="38">
        <v>0.05</v>
      </c>
      <c r="H169" s="38">
        <f t="shared" ref="H169:H178" si="32">F169*G169</f>
        <v>3.35</v>
      </c>
      <c r="J169" s="38" t="s">
        <v>142</v>
      </c>
      <c r="K169" s="38">
        <v>85</v>
      </c>
      <c r="L169" s="38">
        <v>215.25</v>
      </c>
      <c r="M169" s="40"/>
      <c r="O169" s="41"/>
    </row>
    <row r="170" spans="1:27" ht="12.75" x14ac:dyDescent="0.2">
      <c r="A170" s="38">
        <v>35</v>
      </c>
      <c r="B170" s="41">
        <v>0.1</v>
      </c>
      <c r="C170" s="38">
        <f t="shared" si="31"/>
        <v>3.5</v>
      </c>
      <c r="E170" s="40"/>
      <c r="F170" s="38">
        <v>21</v>
      </c>
      <c r="G170" s="41">
        <v>0.1</v>
      </c>
      <c r="H170" s="38">
        <f t="shared" si="32"/>
        <v>2.1</v>
      </c>
      <c r="J170" s="38" t="s">
        <v>163</v>
      </c>
      <c r="K170" s="38">
        <v>122</v>
      </c>
      <c r="M170" s="40"/>
      <c r="O170" s="41"/>
    </row>
    <row r="171" spans="1:27" ht="12.75" x14ac:dyDescent="0.2">
      <c r="A171" s="38">
        <v>7</v>
      </c>
      <c r="B171" s="41">
        <v>0.2</v>
      </c>
      <c r="C171" s="38">
        <f t="shared" si="31"/>
        <v>1.4000000000000001</v>
      </c>
      <c r="E171" s="40"/>
      <c r="F171" s="38">
        <v>17</v>
      </c>
      <c r="G171" s="41">
        <v>0.2</v>
      </c>
      <c r="H171" s="38">
        <f t="shared" si="32"/>
        <v>3.4000000000000004</v>
      </c>
      <c r="J171" s="38" t="s">
        <v>146</v>
      </c>
      <c r="M171" s="40"/>
      <c r="O171" s="41"/>
    </row>
    <row r="172" spans="1:27" ht="12.75" x14ac:dyDescent="0.2">
      <c r="A172" s="38">
        <v>12</v>
      </c>
      <c r="B172" s="41">
        <v>0.5</v>
      </c>
      <c r="C172" s="38">
        <f t="shared" si="31"/>
        <v>6</v>
      </c>
      <c r="E172" s="40"/>
      <c r="F172" s="38">
        <v>21</v>
      </c>
      <c r="G172" s="41">
        <v>0.5</v>
      </c>
      <c r="H172" s="38">
        <f t="shared" si="32"/>
        <v>10.5</v>
      </c>
      <c r="J172" s="38" t="s">
        <v>144</v>
      </c>
      <c r="M172" s="40"/>
    </row>
    <row r="173" spans="1:27" ht="12.75" x14ac:dyDescent="0.2">
      <c r="A173" s="38">
        <v>18</v>
      </c>
      <c r="B173" s="41">
        <v>1</v>
      </c>
      <c r="C173" s="38">
        <f t="shared" si="31"/>
        <v>18</v>
      </c>
      <c r="E173" s="40"/>
      <c r="F173" s="38">
        <v>26</v>
      </c>
      <c r="G173" s="41">
        <v>1</v>
      </c>
      <c r="H173" s="38">
        <f t="shared" si="32"/>
        <v>26</v>
      </c>
      <c r="J173" s="42"/>
      <c r="M173" s="40"/>
    </row>
    <row r="174" spans="1:27" ht="12.75" x14ac:dyDescent="0.2">
      <c r="A174" s="38">
        <v>10</v>
      </c>
      <c r="B174" s="41">
        <v>2</v>
      </c>
      <c r="C174" s="38">
        <f t="shared" si="31"/>
        <v>20</v>
      </c>
      <c r="E174" s="40"/>
      <c r="F174" s="38">
        <v>21</v>
      </c>
      <c r="G174" s="41">
        <v>2</v>
      </c>
      <c r="H174" s="38">
        <f t="shared" si="32"/>
        <v>42</v>
      </c>
      <c r="J174" s="38" t="s">
        <v>149</v>
      </c>
      <c r="K174" s="38">
        <v>60</v>
      </c>
      <c r="L174" s="38">
        <f>SUM(L169,L170)*0.2</f>
        <v>43.050000000000004</v>
      </c>
      <c r="M174" s="40"/>
    </row>
    <row r="175" spans="1:27" ht="12.75" x14ac:dyDescent="0.2">
      <c r="A175" s="38">
        <v>6</v>
      </c>
      <c r="B175" s="41">
        <v>5</v>
      </c>
      <c r="C175" s="38">
        <f t="shared" si="31"/>
        <v>30</v>
      </c>
      <c r="E175" s="40"/>
      <c r="F175" s="38">
        <v>17</v>
      </c>
      <c r="G175" s="41">
        <v>5</v>
      </c>
      <c r="H175" s="38">
        <f t="shared" si="32"/>
        <v>85</v>
      </c>
      <c r="J175" s="38" t="s">
        <v>161</v>
      </c>
      <c r="K175" s="38">
        <f>K169-K174</f>
        <v>25</v>
      </c>
      <c r="L175" s="38">
        <f>L169-L174-3</f>
        <v>169.2</v>
      </c>
      <c r="M175" s="40"/>
    </row>
    <row r="176" spans="1:27" ht="12.75" x14ac:dyDescent="0.2">
      <c r="A176" s="38">
        <v>2</v>
      </c>
      <c r="B176" s="41">
        <v>10</v>
      </c>
      <c r="C176" s="38">
        <f t="shared" si="31"/>
        <v>20</v>
      </c>
      <c r="E176" s="40"/>
      <c r="F176" s="38">
        <v>2</v>
      </c>
      <c r="G176" s="41">
        <v>10</v>
      </c>
      <c r="H176" s="38">
        <f t="shared" si="32"/>
        <v>20</v>
      </c>
      <c r="M176" s="40"/>
    </row>
    <row r="177" spans="1:27" ht="12.75" x14ac:dyDescent="0.2">
      <c r="B177" s="41"/>
      <c r="E177" s="40"/>
      <c r="F177" s="38">
        <v>8</v>
      </c>
      <c r="G177" s="41">
        <v>20</v>
      </c>
      <c r="H177" s="38">
        <f t="shared" si="32"/>
        <v>160</v>
      </c>
      <c r="M177" s="40"/>
    </row>
    <row r="178" spans="1:27" ht="12.75" x14ac:dyDescent="0.2">
      <c r="B178" s="38" t="s">
        <v>156</v>
      </c>
      <c r="C178" s="38">
        <v>-3</v>
      </c>
      <c r="E178" s="40"/>
      <c r="F178" s="38">
        <v>1</v>
      </c>
      <c r="G178" s="41">
        <v>50</v>
      </c>
      <c r="H178" s="38">
        <f t="shared" si="32"/>
        <v>50</v>
      </c>
      <c r="M178" s="40"/>
    </row>
    <row r="179" spans="1:27" ht="12.75" x14ac:dyDescent="0.2">
      <c r="B179" s="38" t="s">
        <v>141</v>
      </c>
      <c r="C179" s="38">
        <f>SUM(C169:C178)</f>
        <v>99.1</v>
      </c>
      <c r="E179" s="40"/>
      <c r="G179" s="38" t="s">
        <v>137</v>
      </c>
      <c r="H179" s="38">
        <f>SUM(H169:H178)</f>
        <v>402.35</v>
      </c>
      <c r="M179" s="40"/>
    </row>
    <row r="180" spans="1:27" ht="12.75" x14ac:dyDescent="0.2">
      <c r="B180" s="38" t="s">
        <v>157</v>
      </c>
      <c r="E180" s="40"/>
      <c r="G180" s="38" t="s">
        <v>158</v>
      </c>
      <c r="H180" s="38">
        <f>H179-C179</f>
        <v>303.25</v>
      </c>
      <c r="M180" s="40"/>
    </row>
    <row r="181" spans="1:27" ht="12.75" x14ac:dyDescent="0.2">
      <c r="E181" s="40"/>
      <c r="G181" s="38" t="s">
        <v>142</v>
      </c>
      <c r="H181" s="38">
        <v>85</v>
      </c>
      <c r="M181" s="40"/>
    </row>
    <row r="182" spans="1:27" ht="12.75" x14ac:dyDescent="0.2">
      <c r="E182" s="40"/>
      <c r="G182" s="38" t="s">
        <v>163</v>
      </c>
      <c r="H182" s="38">
        <v>122</v>
      </c>
      <c r="M182" s="40"/>
    </row>
    <row r="183" spans="1:27" ht="12.75" x14ac:dyDescent="0.2">
      <c r="E183" s="40"/>
      <c r="G183" s="38" t="s">
        <v>160</v>
      </c>
      <c r="H183" s="38">
        <f>H180-H181</f>
        <v>218.25</v>
      </c>
      <c r="M183" s="40"/>
    </row>
    <row r="184" spans="1:27" ht="12.75" x14ac:dyDescent="0.2">
      <c r="E184" s="40"/>
      <c r="M184" s="40"/>
    </row>
    <row r="185" spans="1:27" ht="12.75" x14ac:dyDescent="0.2">
      <c r="A185" s="43"/>
      <c r="B185" s="43"/>
      <c r="C185" s="43"/>
      <c r="D185" s="43"/>
      <c r="E185" s="40"/>
      <c r="F185" s="43"/>
      <c r="G185" s="43"/>
      <c r="H185" s="43"/>
      <c r="I185" s="43"/>
      <c r="J185" s="43"/>
      <c r="K185" s="43"/>
      <c r="L185" s="43"/>
      <c r="M185" s="40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</row>
    <row r="186" spans="1:27" ht="12.75" x14ac:dyDescent="0.2">
      <c r="A186" s="38" t="s">
        <v>135</v>
      </c>
      <c r="B186" s="39">
        <v>45546</v>
      </c>
      <c r="E186" s="40"/>
      <c r="F186" s="38" t="s">
        <v>136</v>
      </c>
      <c r="G186" s="39">
        <v>45546</v>
      </c>
      <c r="M186" s="40"/>
      <c r="N186" s="38" t="s">
        <v>169</v>
      </c>
      <c r="O186" s="38">
        <v>14.39</v>
      </c>
    </row>
    <row r="187" spans="1:27" ht="12.75" x14ac:dyDescent="0.2">
      <c r="A187" s="38" t="s">
        <v>139</v>
      </c>
      <c r="B187" s="38" t="s">
        <v>140</v>
      </c>
      <c r="C187" s="38" t="s">
        <v>141</v>
      </c>
      <c r="E187" s="40"/>
      <c r="F187" s="38" t="s">
        <v>139</v>
      </c>
      <c r="G187" s="38" t="s">
        <v>140</v>
      </c>
      <c r="H187" s="38" t="s">
        <v>141</v>
      </c>
      <c r="J187" s="38" t="s">
        <v>137</v>
      </c>
      <c r="K187" s="38">
        <v>129.6</v>
      </c>
      <c r="M187" s="40"/>
      <c r="O187" s="41"/>
    </row>
    <row r="188" spans="1:27" ht="12.75" x14ac:dyDescent="0.2">
      <c r="A188" s="38">
        <v>67</v>
      </c>
      <c r="B188" s="41">
        <v>0.05</v>
      </c>
      <c r="C188" s="38">
        <f t="shared" ref="C188:C195" si="33">A188*B188</f>
        <v>3.35</v>
      </c>
      <c r="E188" s="40"/>
      <c r="F188" s="38">
        <v>63</v>
      </c>
      <c r="G188" s="38">
        <v>0.05</v>
      </c>
      <c r="H188" s="38">
        <f t="shared" ref="H188:H197" si="34">F188*G188</f>
        <v>3.1500000000000004</v>
      </c>
      <c r="J188" s="38" t="s">
        <v>142</v>
      </c>
      <c r="K188" s="38">
        <v>92.4</v>
      </c>
      <c r="M188" s="40"/>
      <c r="O188" s="41"/>
    </row>
    <row r="189" spans="1:27" ht="12.75" x14ac:dyDescent="0.2">
      <c r="A189" s="38">
        <v>21</v>
      </c>
      <c r="B189" s="41">
        <v>0.1</v>
      </c>
      <c r="C189" s="38">
        <f t="shared" si="33"/>
        <v>2.1</v>
      </c>
      <c r="E189" s="40"/>
      <c r="F189" s="38">
        <v>32</v>
      </c>
      <c r="G189" s="41">
        <v>0.1</v>
      </c>
      <c r="H189" s="38">
        <f t="shared" si="34"/>
        <v>3.2</v>
      </c>
      <c r="J189" s="38" t="s">
        <v>163</v>
      </c>
      <c r="K189" s="38">
        <v>37.200000000000003</v>
      </c>
      <c r="M189" s="40"/>
      <c r="O189" s="41"/>
    </row>
    <row r="190" spans="1:27" ht="12.75" x14ac:dyDescent="0.2">
      <c r="A190" s="38">
        <v>17</v>
      </c>
      <c r="B190" s="41">
        <v>0.2</v>
      </c>
      <c r="C190" s="38">
        <f t="shared" si="33"/>
        <v>3.4000000000000004</v>
      </c>
      <c r="E190" s="40"/>
      <c r="F190" s="38">
        <v>8</v>
      </c>
      <c r="G190" s="41">
        <v>0.2</v>
      </c>
      <c r="H190" s="38">
        <f t="shared" si="34"/>
        <v>1.6</v>
      </c>
      <c r="J190" s="38" t="s">
        <v>146</v>
      </c>
      <c r="M190" s="40"/>
      <c r="O190" s="41"/>
    </row>
    <row r="191" spans="1:27" ht="12.75" x14ac:dyDescent="0.2">
      <c r="A191" s="38">
        <v>21</v>
      </c>
      <c r="B191" s="41">
        <v>0.5</v>
      </c>
      <c r="C191" s="38">
        <f t="shared" si="33"/>
        <v>10.5</v>
      </c>
      <c r="E191" s="40"/>
      <c r="F191" s="38">
        <v>20</v>
      </c>
      <c r="G191" s="41">
        <v>0.5</v>
      </c>
      <c r="H191" s="38">
        <f t="shared" si="34"/>
        <v>10</v>
      </c>
      <c r="J191" s="38" t="s">
        <v>144</v>
      </c>
      <c r="M191" s="40"/>
    </row>
    <row r="192" spans="1:27" ht="12.75" x14ac:dyDescent="0.2">
      <c r="A192" s="38">
        <v>20</v>
      </c>
      <c r="B192" s="41">
        <v>1</v>
      </c>
      <c r="C192" s="38">
        <f t="shared" si="33"/>
        <v>20</v>
      </c>
      <c r="E192" s="40"/>
      <c r="F192" s="38">
        <v>16</v>
      </c>
      <c r="G192" s="41">
        <v>1</v>
      </c>
      <c r="H192" s="38">
        <f t="shared" si="34"/>
        <v>16</v>
      </c>
      <c r="J192" s="42"/>
      <c r="M192" s="40"/>
    </row>
    <row r="193" spans="1:27" ht="12.75" x14ac:dyDescent="0.2">
      <c r="A193" s="38">
        <v>12</v>
      </c>
      <c r="B193" s="41">
        <v>2</v>
      </c>
      <c r="C193" s="38">
        <f t="shared" si="33"/>
        <v>24</v>
      </c>
      <c r="E193" s="40"/>
      <c r="F193" s="38">
        <v>15</v>
      </c>
      <c r="G193" s="41">
        <v>2</v>
      </c>
      <c r="H193" s="38">
        <f t="shared" si="34"/>
        <v>30</v>
      </c>
      <c r="J193" s="38" t="s">
        <v>149</v>
      </c>
      <c r="K193" s="38">
        <f t="shared" ref="K193:L193" si="35">SUM(K188,K189)*0.2</f>
        <v>25.920000000000005</v>
      </c>
      <c r="L193" s="38">
        <f t="shared" si="35"/>
        <v>0</v>
      </c>
      <c r="M193" s="40"/>
    </row>
    <row r="194" spans="1:27" ht="12.75" x14ac:dyDescent="0.2">
      <c r="A194" s="38">
        <v>4</v>
      </c>
      <c r="B194" s="41">
        <v>5</v>
      </c>
      <c r="C194" s="38">
        <f t="shared" si="33"/>
        <v>20</v>
      </c>
      <c r="E194" s="40"/>
      <c r="F194" s="38">
        <v>19</v>
      </c>
      <c r="G194" s="41">
        <v>5</v>
      </c>
      <c r="H194" s="38">
        <f t="shared" si="34"/>
        <v>95</v>
      </c>
      <c r="J194" s="38" t="s">
        <v>161</v>
      </c>
      <c r="K194" s="38">
        <f t="shared" ref="K194:L194" si="36">K188-K193</f>
        <v>66.48</v>
      </c>
      <c r="L194" s="38">
        <f t="shared" si="36"/>
        <v>0</v>
      </c>
      <c r="M194" s="40"/>
    </row>
    <row r="195" spans="1:27" ht="12.75" x14ac:dyDescent="0.2">
      <c r="A195" s="38">
        <v>2</v>
      </c>
      <c r="B195" s="41">
        <v>10</v>
      </c>
      <c r="C195" s="38">
        <f t="shared" si="33"/>
        <v>20</v>
      </c>
      <c r="E195" s="40"/>
      <c r="F195" s="38">
        <v>6</v>
      </c>
      <c r="G195" s="41">
        <v>10</v>
      </c>
      <c r="H195" s="38">
        <f t="shared" si="34"/>
        <v>60</v>
      </c>
      <c r="M195" s="40"/>
    </row>
    <row r="196" spans="1:27" ht="12.75" x14ac:dyDescent="0.2">
      <c r="B196" s="41"/>
      <c r="E196" s="40"/>
      <c r="F196" s="38">
        <v>5</v>
      </c>
      <c r="G196" s="41">
        <v>20</v>
      </c>
      <c r="H196" s="38">
        <f t="shared" si="34"/>
        <v>100</v>
      </c>
      <c r="M196" s="40"/>
    </row>
    <row r="197" spans="1:27" ht="12.75" x14ac:dyDescent="0.2">
      <c r="B197" s="38" t="s">
        <v>156</v>
      </c>
      <c r="E197" s="40"/>
      <c r="F197" s="38">
        <v>1</v>
      </c>
      <c r="G197" s="41">
        <v>50</v>
      </c>
      <c r="H197" s="38">
        <f t="shared" si="34"/>
        <v>50</v>
      </c>
      <c r="M197" s="40"/>
    </row>
    <row r="198" spans="1:27" ht="12.75" x14ac:dyDescent="0.2">
      <c r="B198" s="38" t="s">
        <v>141</v>
      </c>
      <c r="C198" s="38">
        <f>SUM(C188:C197)</f>
        <v>103.35</v>
      </c>
      <c r="E198" s="40"/>
      <c r="G198" s="38" t="s">
        <v>137</v>
      </c>
      <c r="H198" s="38">
        <f>SUM(H188:H197)</f>
        <v>368.95</v>
      </c>
      <c r="M198" s="40"/>
    </row>
    <row r="199" spans="1:27" ht="12.75" x14ac:dyDescent="0.2">
      <c r="B199" s="38" t="s">
        <v>157</v>
      </c>
      <c r="E199" s="40"/>
      <c r="G199" s="38" t="s">
        <v>158</v>
      </c>
      <c r="H199" s="38">
        <f>H198-C198</f>
        <v>265.60000000000002</v>
      </c>
      <c r="M199" s="40"/>
    </row>
    <row r="200" spans="1:27" ht="12.75" x14ac:dyDescent="0.2">
      <c r="E200" s="40"/>
      <c r="G200" s="38" t="s">
        <v>142</v>
      </c>
      <c r="H200" s="38">
        <v>92.4</v>
      </c>
      <c r="M200" s="40"/>
    </row>
    <row r="201" spans="1:27" ht="12.75" x14ac:dyDescent="0.2">
      <c r="E201" s="40"/>
      <c r="G201" s="38" t="s">
        <v>163</v>
      </c>
      <c r="H201" s="38">
        <v>37.200000000000003</v>
      </c>
      <c r="M201" s="40"/>
    </row>
    <row r="202" spans="1:27" ht="12.75" x14ac:dyDescent="0.2">
      <c r="E202" s="40"/>
      <c r="G202" s="38" t="s">
        <v>160</v>
      </c>
      <c r="H202" s="38">
        <f>H199-H200</f>
        <v>173.20000000000002</v>
      </c>
      <c r="M202" s="40"/>
    </row>
    <row r="203" spans="1:27" ht="12.75" x14ac:dyDescent="0.2">
      <c r="A203" s="43"/>
      <c r="B203" s="43"/>
      <c r="C203" s="43"/>
      <c r="D203" s="43"/>
      <c r="E203" s="40"/>
      <c r="F203" s="43"/>
      <c r="G203" s="43"/>
      <c r="H203" s="43"/>
      <c r="I203" s="43"/>
      <c r="J203" s="43"/>
      <c r="K203" s="43"/>
      <c r="L203" s="43"/>
      <c r="M203" s="40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</row>
    <row r="204" spans="1:27" ht="12.75" x14ac:dyDescent="0.2">
      <c r="A204" s="38" t="s">
        <v>135</v>
      </c>
      <c r="B204" s="39">
        <v>45547</v>
      </c>
      <c r="E204" s="40"/>
      <c r="F204" s="38" t="s">
        <v>136</v>
      </c>
      <c r="G204" s="39">
        <v>45547</v>
      </c>
      <c r="N204" s="38" t="s">
        <v>169</v>
      </c>
      <c r="O204" s="38">
        <v>16.739999999999998</v>
      </c>
    </row>
    <row r="205" spans="1:27" ht="12.75" x14ac:dyDescent="0.2">
      <c r="A205" s="38" t="s">
        <v>139</v>
      </c>
      <c r="B205" s="38" t="s">
        <v>140</v>
      </c>
      <c r="C205" s="38" t="s">
        <v>141</v>
      </c>
      <c r="E205" s="40"/>
      <c r="F205" s="38" t="s">
        <v>139</v>
      </c>
      <c r="G205" s="38" t="s">
        <v>140</v>
      </c>
      <c r="H205" s="38" t="s">
        <v>141</v>
      </c>
      <c r="J205" s="38" t="s">
        <v>137</v>
      </c>
      <c r="K205" s="38">
        <v>145.4</v>
      </c>
    </row>
    <row r="206" spans="1:27" ht="12.75" x14ac:dyDescent="0.2">
      <c r="A206" s="38">
        <v>63</v>
      </c>
      <c r="B206" s="41">
        <v>0.05</v>
      </c>
      <c r="C206" s="38">
        <f t="shared" ref="C206:C213" si="37">A206*B206</f>
        <v>3.1500000000000004</v>
      </c>
      <c r="E206" s="40"/>
      <c r="F206" s="38">
        <v>71</v>
      </c>
      <c r="G206" s="38">
        <v>0.05</v>
      </c>
      <c r="H206" s="38">
        <f t="shared" ref="H206:H215" si="38">F206*G206</f>
        <v>3.5500000000000003</v>
      </c>
      <c r="J206" s="38" t="s">
        <v>142</v>
      </c>
      <c r="K206" s="38">
        <v>88.9</v>
      </c>
      <c r="L206" s="38">
        <v>172</v>
      </c>
    </row>
    <row r="207" spans="1:27" ht="12.75" x14ac:dyDescent="0.2">
      <c r="A207" s="38">
        <v>32</v>
      </c>
      <c r="B207" s="41">
        <v>0.1</v>
      </c>
      <c r="C207" s="38">
        <f t="shared" si="37"/>
        <v>3.2</v>
      </c>
      <c r="D207" s="38" t="s">
        <v>167</v>
      </c>
      <c r="E207" s="40"/>
      <c r="F207" s="38">
        <v>48</v>
      </c>
      <c r="G207" s="41">
        <v>0.1</v>
      </c>
      <c r="H207" s="38">
        <f t="shared" si="38"/>
        <v>4.8000000000000007</v>
      </c>
      <c r="J207" s="38" t="s">
        <v>163</v>
      </c>
      <c r="K207" s="38">
        <v>56.5</v>
      </c>
    </row>
    <row r="208" spans="1:27" ht="12.75" x14ac:dyDescent="0.2">
      <c r="A208" s="38">
        <v>48</v>
      </c>
      <c r="B208" s="41">
        <v>0.2</v>
      </c>
      <c r="C208" s="38">
        <f t="shared" si="37"/>
        <v>9.6000000000000014</v>
      </c>
      <c r="D208" s="38" t="s">
        <v>167</v>
      </c>
      <c r="E208" s="40"/>
      <c r="F208" s="38">
        <v>71</v>
      </c>
      <c r="G208" s="41">
        <v>0.2</v>
      </c>
      <c r="H208" s="38">
        <f t="shared" si="38"/>
        <v>14.200000000000001</v>
      </c>
      <c r="J208" s="38" t="s">
        <v>146</v>
      </c>
    </row>
    <row r="209" spans="1:27" ht="12.75" x14ac:dyDescent="0.2">
      <c r="A209" s="38">
        <v>20</v>
      </c>
      <c r="B209" s="41">
        <v>0.5</v>
      </c>
      <c r="C209" s="38">
        <f t="shared" si="37"/>
        <v>10</v>
      </c>
      <c r="D209" s="38" t="s">
        <v>167</v>
      </c>
      <c r="E209" s="40"/>
      <c r="F209" s="38">
        <v>41</v>
      </c>
      <c r="G209" s="41">
        <v>0.5</v>
      </c>
      <c r="H209" s="38">
        <f t="shared" si="38"/>
        <v>20.5</v>
      </c>
      <c r="J209" s="38" t="s">
        <v>144</v>
      </c>
    </row>
    <row r="210" spans="1:27" ht="12.75" x14ac:dyDescent="0.2">
      <c r="A210" s="38">
        <v>16</v>
      </c>
      <c r="B210" s="41">
        <v>1</v>
      </c>
      <c r="C210" s="38">
        <f t="shared" si="37"/>
        <v>16</v>
      </c>
      <c r="D210" s="38" t="s">
        <v>167</v>
      </c>
      <c r="E210" s="40"/>
      <c r="F210" s="38">
        <v>28</v>
      </c>
      <c r="G210" s="41">
        <v>1</v>
      </c>
      <c r="H210" s="38">
        <f t="shared" si="38"/>
        <v>28</v>
      </c>
      <c r="J210" s="42"/>
    </row>
    <row r="211" spans="1:27" ht="12.75" x14ac:dyDescent="0.2">
      <c r="A211" s="38">
        <v>11</v>
      </c>
      <c r="B211" s="41">
        <v>2</v>
      </c>
      <c r="C211" s="38">
        <f t="shared" si="37"/>
        <v>22</v>
      </c>
      <c r="D211" s="38" t="s">
        <v>167</v>
      </c>
      <c r="E211" s="40"/>
      <c r="F211" s="38">
        <v>22</v>
      </c>
      <c r="G211" s="41">
        <v>2</v>
      </c>
      <c r="H211" s="38">
        <f t="shared" si="38"/>
        <v>44</v>
      </c>
      <c r="J211" s="38" t="s">
        <v>149</v>
      </c>
      <c r="K211" s="38">
        <f t="shared" ref="K211:L211" si="39">SUM(K206,K207)*0.2</f>
        <v>29.080000000000002</v>
      </c>
      <c r="L211" s="38">
        <f t="shared" si="39"/>
        <v>34.4</v>
      </c>
    </row>
    <row r="212" spans="1:27" ht="12.75" x14ac:dyDescent="0.2">
      <c r="A212" s="38">
        <v>4</v>
      </c>
      <c r="B212" s="41">
        <v>5</v>
      </c>
      <c r="C212" s="38">
        <f t="shared" si="37"/>
        <v>20</v>
      </c>
      <c r="E212" s="40"/>
      <c r="F212" s="38">
        <v>8</v>
      </c>
      <c r="G212" s="41">
        <v>5</v>
      </c>
      <c r="H212" s="38">
        <f t="shared" si="38"/>
        <v>40</v>
      </c>
      <c r="J212" s="38" t="s">
        <v>161</v>
      </c>
      <c r="K212" s="38">
        <f t="shared" ref="K212:L212" si="40">K206-K211</f>
        <v>59.820000000000007</v>
      </c>
      <c r="L212" s="38">
        <f t="shared" si="40"/>
        <v>137.6</v>
      </c>
    </row>
    <row r="213" spans="1:27" ht="12.75" x14ac:dyDescent="0.2">
      <c r="A213" s="38">
        <v>2</v>
      </c>
      <c r="B213" s="41">
        <v>10</v>
      </c>
      <c r="C213" s="38">
        <f t="shared" si="37"/>
        <v>20</v>
      </c>
      <c r="E213" s="40"/>
      <c r="F213" s="38">
        <v>12</v>
      </c>
      <c r="G213" s="41">
        <v>10</v>
      </c>
      <c r="H213" s="38">
        <f t="shared" si="38"/>
        <v>120</v>
      </c>
    </row>
    <row r="214" spans="1:27" ht="12.75" x14ac:dyDescent="0.2">
      <c r="B214" s="41"/>
      <c r="E214" s="40"/>
      <c r="F214" s="38">
        <v>2</v>
      </c>
      <c r="G214" s="41">
        <v>20</v>
      </c>
      <c r="H214" s="38">
        <f t="shared" si="38"/>
        <v>40</v>
      </c>
    </row>
    <row r="215" spans="1:27" ht="12.75" x14ac:dyDescent="0.2">
      <c r="B215" s="38" t="s">
        <v>156</v>
      </c>
      <c r="E215" s="40"/>
      <c r="F215" s="38">
        <v>1</v>
      </c>
      <c r="G215" s="41">
        <v>50</v>
      </c>
      <c r="H215" s="38">
        <f t="shared" si="38"/>
        <v>50</v>
      </c>
    </row>
    <row r="216" spans="1:27" ht="12.75" x14ac:dyDescent="0.2">
      <c r="B216" s="38" t="s">
        <v>141</v>
      </c>
      <c r="C216" s="38">
        <f>SUM(C206:C215)</f>
        <v>103.95</v>
      </c>
      <c r="E216" s="40"/>
      <c r="G216" s="38" t="s">
        <v>137</v>
      </c>
      <c r="H216" s="38">
        <f>SUM(H206:H215)</f>
        <v>365.05</v>
      </c>
    </row>
    <row r="217" spans="1:27" ht="12.75" x14ac:dyDescent="0.2">
      <c r="B217" s="38" t="s">
        <v>157</v>
      </c>
      <c r="E217" s="40"/>
      <c r="G217" s="38" t="s">
        <v>158</v>
      </c>
      <c r="H217" s="38">
        <f>H216-C216</f>
        <v>261.10000000000002</v>
      </c>
    </row>
    <row r="218" spans="1:27" ht="12.75" x14ac:dyDescent="0.2">
      <c r="E218" s="40"/>
      <c r="G218" s="38" t="s">
        <v>142</v>
      </c>
      <c r="H218" s="38">
        <v>88.9</v>
      </c>
    </row>
    <row r="219" spans="1:27" ht="12.75" x14ac:dyDescent="0.2">
      <c r="E219" s="40"/>
      <c r="G219" s="38" t="s">
        <v>163</v>
      </c>
      <c r="H219" s="38">
        <v>56.5</v>
      </c>
    </row>
    <row r="220" spans="1:27" ht="12.75" x14ac:dyDescent="0.2">
      <c r="E220" s="40"/>
      <c r="G220" s="38" t="s">
        <v>160</v>
      </c>
      <c r="H220" s="38">
        <f>H217-H218</f>
        <v>172.20000000000002</v>
      </c>
    </row>
    <row r="221" spans="1:27" ht="12.75" x14ac:dyDescent="0.2">
      <c r="A221" s="43"/>
      <c r="B221" s="43"/>
      <c r="C221" s="43"/>
      <c r="D221" s="43"/>
      <c r="E221" s="40"/>
      <c r="F221" s="43"/>
      <c r="G221" s="43"/>
      <c r="H221" s="43"/>
      <c r="I221" s="43"/>
      <c r="J221" s="43"/>
      <c r="K221" s="43"/>
      <c r="L221" s="43"/>
      <c r="M221" s="48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</row>
    <row r="222" spans="1:27" ht="12.75" x14ac:dyDescent="0.2">
      <c r="A222" s="38" t="s">
        <v>135</v>
      </c>
      <c r="B222" s="39">
        <v>45548</v>
      </c>
      <c r="E222" s="40"/>
      <c r="F222" s="38" t="s">
        <v>136</v>
      </c>
      <c r="G222" s="39">
        <v>45548</v>
      </c>
      <c r="M222" s="48"/>
      <c r="N222" s="38" t="s">
        <v>169</v>
      </c>
      <c r="O222" s="38">
        <v>14</v>
      </c>
    </row>
    <row r="223" spans="1:27" ht="12.75" x14ac:dyDescent="0.2">
      <c r="A223" s="38" t="s">
        <v>139</v>
      </c>
      <c r="B223" s="38" t="s">
        <v>140</v>
      </c>
      <c r="C223" s="38" t="s">
        <v>141</v>
      </c>
      <c r="E223" s="40"/>
      <c r="F223" s="38" t="s">
        <v>139</v>
      </c>
      <c r="G223" s="38" t="s">
        <v>140</v>
      </c>
      <c r="H223" s="38" t="s">
        <v>141</v>
      </c>
      <c r="J223" s="38" t="s">
        <v>137</v>
      </c>
      <c r="M223" s="48"/>
    </row>
    <row r="224" spans="1:27" ht="12.75" x14ac:dyDescent="0.2">
      <c r="A224" s="38">
        <v>71</v>
      </c>
      <c r="B224" s="41">
        <v>0.05</v>
      </c>
      <c r="C224" s="38">
        <f t="shared" ref="C224:C231" si="41">A224*B224</f>
        <v>3.5500000000000003</v>
      </c>
      <c r="E224" s="40"/>
      <c r="F224" s="38">
        <v>72</v>
      </c>
      <c r="G224" s="38">
        <v>0.05</v>
      </c>
      <c r="H224" s="38">
        <f t="shared" ref="H224:H233" si="42">F224*G224</f>
        <v>3.6</v>
      </c>
      <c r="J224" s="38" t="s">
        <v>142</v>
      </c>
      <c r="K224" s="38">
        <v>172</v>
      </c>
      <c r="M224" s="48"/>
    </row>
    <row r="225" spans="1:27" ht="12.75" x14ac:dyDescent="0.2">
      <c r="A225" s="38">
        <v>48</v>
      </c>
      <c r="B225" s="41">
        <v>0.1</v>
      </c>
      <c r="C225" s="38">
        <f t="shared" si="41"/>
        <v>4.8000000000000007</v>
      </c>
      <c r="E225" s="40"/>
      <c r="F225" s="38">
        <v>50</v>
      </c>
      <c r="G225" s="41">
        <v>0.1</v>
      </c>
      <c r="H225" s="38">
        <f t="shared" si="42"/>
        <v>5</v>
      </c>
      <c r="J225" s="38" t="s">
        <v>163</v>
      </c>
      <c r="K225" s="38">
        <v>91.6</v>
      </c>
      <c r="M225" s="48"/>
    </row>
    <row r="226" spans="1:27" ht="12.75" x14ac:dyDescent="0.2">
      <c r="A226" s="38">
        <v>71</v>
      </c>
      <c r="B226" s="41">
        <v>0.2</v>
      </c>
      <c r="C226" s="38">
        <f t="shared" si="41"/>
        <v>14.200000000000001</v>
      </c>
      <c r="E226" s="40"/>
      <c r="F226" s="38">
        <v>50</v>
      </c>
      <c r="G226" s="41">
        <v>0.2</v>
      </c>
      <c r="H226" s="38">
        <f t="shared" si="42"/>
        <v>10</v>
      </c>
      <c r="J226" s="38" t="s">
        <v>146</v>
      </c>
      <c r="M226" s="48"/>
    </row>
    <row r="227" spans="1:27" ht="12.75" x14ac:dyDescent="0.2">
      <c r="A227" s="38">
        <v>20</v>
      </c>
      <c r="B227" s="41">
        <v>0.5</v>
      </c>
      <c r="C227" s="38">
        <f t="shared" si="41"/>
        <v>10</v>
      </c>
      <c r="E227" s="40"/>
      <c r="F227" s="38">
        <v>35</v>
      </c>
      <c r="G227" s="41">
        <v>0.5</v>
      </c>
      <c r="H227" s="38">
        <f t="shared" si="42"/>
        <v>17.5</v>
      </c>
      <c r="J227" s="38" t="s">
        <v>144</v>
      </c>
      <c r="M227" s="48"/>
    </row>
    <row r="228" spans="1:27" ht="12.75" x14ac:dyDescent="0.2">
      <c r="A228" s="38">
        <v>16</v>
      </c>
      <c r="B228" s="41">
        <v>1</v>
      </c>
      <c r="C228" s="38">
        <f t="shared" si="41"/>
        <v>16</v>
      </c>
      <c r="E228" s="40"/>
      <c r="F228" s="38">
        <v>7</v>
      </c>
      <c r="G228" s="41">
        <v>1</v>
      </c>
      <c r="H228" s="38">
        <f t="shared" si="42"/>
        <v>7</v>
      </c>
      <c r="J228" s="42"/>
      <c r="M228" s="48"/>
    </row>
    <row r="229" spans="1:27" ht="12.75" x14ac:dyDescent="0.2">
      <c r="A229" s="38">
        <v>10</v>
      </c>
      <c r="B229" s="41">
        <v>2</v>
      </c>
      <c r="C229" s="38">
        <f t="shared" si="41"/>
        <v>20</v>
      </c>
      <c r="E229" s="40"/>
      <c r="F229" s="38">
        <v>12</v>
      </c>
      <c r="G229" s="41">
        <v>2</v>
      </c>
      <c r="H229" s="38">
        <f t="shared" si="42"/>
        <v>24</v>
      </c>
      <c r="J229" s="38" t="s">
        <v>149</v>
      </c>
      <c r="K229" s="38">
        <f>SUM(K224,K225)*0.3</f>
        <v>79.08</v>
      </c>
      <c r="L229" s="38">
        <f>SUM(L224,L225)*0.2</f>
        <v>0</v>
      </c>
      <c r="M229" s="48"/>
    </row>
    <row r="230" spans="1:27" ht="12.75" x14ac:dyDescent="0.2">
      <c r="A230" s="38">
        <v>4</v>
      </c>
      <c r="B230" s="41">
        <v>5</v>
      </c>
      <c r="C230" s="38">
        <f t="shared" si="41"/>
        <v>20</v>
      </c>
      <c r="E230" s="40"/>
      <c r="F230" s="38">
        <v>5</v>
      </c>
      <c r="G230" s="41">
        <v>5</v>
      </c>
      <c r="H230" s="38">
        <f t="shared" si="42"/>
        <v>25</v>
      </c>
      <c r="J230" s="38" t="s">
        <v>161</v>
      </c>
      <c r="K230" s="38">
        <f t="shared" ref="K230:L230" si="43">K224-K229</f>
        <v>92.92</v>
      </c>
      <c r="L230" s="38">
        <f t="shared" si="43"/>
        <v>0</v>
      </c>
      <c r="M230" s="48"/>
    </row>
    <row r="231" spans="1:27" ht="12.75" x14ac:dyDescent="0.2">
      <c r="A231" s="38">
        <v>2</v>
      </c>
      <c r="B231" s="41">
        <v>10</v>
      </c>
      <c r="C231" s="38">
        <f t="shared" si="41"/>
        <v>20</v>
      </c>
      <c r="E231" s="40"/>
      <c r="F231" s="38">
        <v>0</v>
      </c>
      <c r="G231" s="41">
        <v>10</v>
      </c>
      <c r="H231" s="38">
        <f t="shared" si="42"/>
        <v>0</v>
      </c>
      <c r="M231" s="48"/>
    </row>
    <row r="232" spans="1:27" ht="12.75" x14ac:dyDescent="0.2">
      <c r="B232" s="41"/>
      <c r="E232" s="40"/>
      <c r="F232" s="38">
        <v>7</v>
      </c>
      <c r="G232" s="41">
        <v>20</v>
      </c>
      <c r="H232" s="38">
        <f t="shared" si="42"/>
        <v>140</v>
      </c>
      <c r="M232" s="48"/>
    </row>
    <row r="233" spans="1:27" ht="12.75" x14ac:dyDescent="0.2">
      <c r="B233" s="38" t="s">
        <v>156</v>
      </c>
      <c r="E233" s="40"/>
      <c r="F233" s="38">
        <v>5</v>
      </c>
      <c r="G233" s="41">
        <v>50</v>
      </c>
      <c r="H233" s="38">
        <f t="shared" si="42"/>
        <v>250</v>
      </c>
      <c r="M233" s="48"/>
    </row>
    <row r="234" spans="1:27" ht="12.75" x14ac:dyDescent="0.2">
      <c r="B234" s="38" t="s">
        <v>141</v>
      </c>
      <c r="C234" s="38">
        <f>SUM(C224:C233)</f>
        <v>108.55000000000001</v>
      </c>
      <c r="E234" s="40"/>
      <c r="G234" s="38" t="s">
        <v>137</v>
      </c>
      <c r="H234" s="38">
        <f>SUM(H224:H233)</f>
        <v>482.1</v>
      </c>
      <c r="M234" s="48"/>
    </row>
    <row r="235" spans="1:27" ht="12.75" x14ac:dyDescent="0.2">
      <c r="B235" s="38" t="s">
        <v>157</v>
      </c>
      <c r="E235" s="40"/>
      <c r="G235" s="38" t="s">
        <v>158</v>
      </c>
      <c r="H235" s="38">
        <f>H234-C234</f>
        <v>373.55</v>
      </c>
      <c r="M235" s="48"/>
    </row>
    <row r="236" spans="1:27" ht="12.75" x14ac:dyDescent="0.2">
      <c r="E236" s="40"/>
      <c r="G236" s="38" t="s">
        <v>142</v>
      </c>
      <c r="H236" s="38">
        <v>172.5</v>
      </c>
      <c r="M236" s="48"/>
    </row>
    <row r="237" spans="1:27" ht="12.75" x14ac:dyDescent="0.2">
      <c r="E237" s="40"/>
      <c r="G237" s="38" t="s">
        <v>163</v>
      </c>
      <c r="H237" s="38">
        <v>91.6</v>
      </c>
      <c r="M237" s="48"/>
    </row>
    <row r="238" spans="1:27" ht="12.75" x14ac:dyDescent="0.2">
      <c r="E238" s="40"/>
      <c r="G238" s="38" t="s">
        <v>160</v>
      </c>
      <c r="H238" s="38">
        <f>H235-H236</f>
        <v>201.05</v>
      </c>
      <c r="M238" s="48"/>
    </row>
    <row r="239" spans="1:27" ht="12.75" x14ac:dyDescent="0.2">
      <c r="A239" s="43"/>
      <c r="B239" s="43"/>
      <c r="C239" s="43"/>
      <c r="D239" s="43"/>
      <c r="E239" s="40"/>
      <c r="F239" s="43"/>
      <c r="G239" s="43"/>
      <c r="H239" s="43"/>
      <c r="I239" s="43"/>
      <c r="J239" s="43"/>
      <c r="K239" s="43"/>
      <c r="L239" s="43"/>
      <c r="M239" s="48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</row>
    <row r="240" spans="1:27" ht="12.75" x14ac:dyDescent="0.2">
      <c r="A240" s="38" t="s">
        <v>135</v>
      </c>
      <c r="B240" s="39">
        <v>45549</v>
      </c>
      <c r="E240" s="40"/>
      <c r="F240" s="38" t="s">
        <v>136</v>
      </c>
      <c r="G240" s="39">
        <v>45549</v>
      </c>
      <c r="M240" s="49"/>
      <c r="N240" s="38" t="s">
        <v>169</v>
      </c>
      <c r="O240" s="38">
        <v>24.49</v>
      </c>
    </row>
    <row r="241" spans="1:13" ht="12.75" x14ac:dyDescent="0.2">
      <c r="A241" s="38" t="s">
        <v>139</v>
      </c>
      <c r="B241" s="38" t="s">
        <v>140</v>
      </c>
      <c r="C241" s="38" t="s">
        <v>141</v>
      </c>
      <c r="E241" s="40"/>
      <c r="F241" s="38" t="s">
        <v>139</v>
      </c>
      <c r="G241" s="38" t="s">
        <v>140</v>
      </c>
      <c r="H241" s="38" t="s">
        <v>141</v>
      </c>
      <c r="J241" s="38" t="s">
        <v>137</v>
      </c>
      <c r="M241" s="48"/>
    </row>
    <row r="242" spans="1:13" ht="12.75" x14ac:dyDescent="0.2">
      <c r="A242" s="38">
        <v>72</v>
      </c>
      <c r="B242" s="41">
        <v>0.05</v>
      </c>
      <c r="C242" s="38">
        <f t="shared" ref="C242:C249" si="44">A242*B242</f>
        <v>3.6</v>
      </c>
      <c r="E242" s="40"/>
      <c r="F242" s="38">
        <v>72</v>
      </c>
      <c r="G242" s="38">
        <v>0.05</v>
      </c>
      <c r="H242" s="38">
        <f t="shared" ref="H242:H251" si="45">F242*G242</f>
        <v>3.6</v>
      </c>
      <c r="J242" s="38" t="s">
        <v>142</v>
      </c>
      <c r="K242" s="38">
        <v>146.6</v>
      </c>
      <c r="L242" s="38">
        <v>166.4</v>
      </c>
      <c r="M242" s="48"/>
    </row>
    <row r="243" spans="1:13" ht="12.75" x14ac:dyDescent="0.2">
      <c r="A243" s="38">
        <v>50</v>
      </c>
      <c r="B243" s="41">
        <v>0.1</v>
      </c>
      <c r="C243" s="38">
        <f t="shared" si="44"/>
        <v>5</v>
      </c>
      <c r="E243" s="40"/>
      <c r="F243" s="38">
        <v>69</v>
      </c>
      <c r="G243" s="41">
        <v>0.1</v>
      </c>
      <c r="H243" s="38">
        <f t="shared" si="45"/>
        <v>6.9</v>
      </c>
      <c r="J243" s="38" t="s">
        <v>163</v>
      </c>
      <c r="K243" s="38">
        <v>53.7</v>
      </c>
      <c r="M243" s="48"/>
    </row>
    <row r="244" spans="1:13" ht="12.75" x14ac:dyDescent="0.2">
      <c r="A244" s="38">
        <v>50</v>
      </c>
      <c r="B244" s="41">
        <v>0.2</v>
      </c>
      <c r="C244" s="38">
        <f t="shared" si="44"/>
        <v>10</v>
      </c>
      <c r="E244" s="40"/>
      <c r="F244" s="38">
        <v>43</v>
      </c>
      <c r="G244" s="41">
        <v>0.2</v>
      </c>
      <c r="H244" s="38">
        <f t="shared" si="45"/>
        <v>8.6</v>
      </c>
      <c r="J244" s="38" t="s">
        <v>146</v>
      </c>
      <c r="M244" s="48"/>
    </row>
    <row r="245" spans="1:13" ht="12.75" x14ac:dyDescent="0.2">
      <c r="A245" s="38">
        <v>35</v>
      </c>
      <c r="B245" s="41">
        <v>0.5</v>
      </c>
      <c r="C245" s="38">
        <f t="shared" si="44"/>
        <v>17.5</v>
      </c>
      <c r="E245" s="40"/>
      <c r="F245" s="38">
        <v>30</v>
      </c>
      <c r="G245" s="41">
        <v>0.5</v>
      </c>
      <c r="H245" s="38">
        <f t="shared" si="45"/>
        <v>15</v>
      </c>
      <c r="J245" s="38" t="s">
        <v>144</v>
      </c>
      <c r="M245" s="48"/>
    </row>
    <row r="246" spans="1:13" ht="12.75" x14ac:dyDescent="0.2">
      <c r="A246" s="38">
        <v>7</v>
      </c>
      <c r="B246" s="41">
        <v>1</v>
      </c>
      <c r="C246" s="38">
        <f t="shared" si="44"/>
        <v>7</v>
      </c>
      <c r="E246" s="40"/>
      <c r="F246" s="38">
        <v>19</v>
      </c>
      <c r="G246" s="41">
        <v>1</v>
      </c>
      <c r="H246" s="38">
        <f t="shared" si="45"/>
        <v>19</v>
      </c>
      <c r="J246" s="42"/>
      <c r="M246" s="48"/>
    </row>
    <row r="247" spans="1:13" ht="12.75" x14ac:dyDescent="0.2">
      <c r="A247" s="38">
        <v>12</v>
      </c>
      <c r="B247" s="41">
        <v>2</v>
      </c>
      <c r="C247" s="38">
        <f t="shared" si="44"/>
        <v>24</v>
      </c>
      <c r="E247" s="40"/>
      <c r="F247" s="38">
        <v>1</v>
      </c>
      <c r="G247" s="41">
        <v>2</v>
      </c>
      <c r="H247" s="38">
        <f t="shared" si="45"/>
        <v>2</v>
      </c>
      <c r="J247" s="38" t="s">
        <v>149</v>
      </c>
      <c r="K247" s="38">
        <f>SUM(K242,K243)*0.3</f>
        <v>60.09</v>
      </c>
      <c r="L247" s="38">
        <v>30</v>
      </c>
      <c r="M247" s="48"/>
    </row>
    <row r="248" spans="1:13" ht="12.75" x14ac:dyDescent="0.2">
      <c r="A248" s="38">
        <v>4</v>
      </c>
      <c r="B248" s="41">
        <v>5</v>
      </c>
      <c r="C248" s="38">
        <f t="shared" si="44"/>
        <v>20</v>
      </c>
      <c r="E248" s="40"/>
      <c r="F248" s="38">
        <v>7</v>
      </c>
      <c r="G248" s="41">
        <v>5</v>
      </c>
      <c r="H248" s="38">
        <f t="shared" si="45"/>
        <v>35</v>
      </c>
      <c r="J248" s="38" t="s">
        <v>161</v>
      </c>
      <c r="K248" s="38">
        <f t="shared" ref="K248:L248" si="46">K242-K247</f>
        <v>86.509999999999991</v>
      </c>
      <c r="L248" s="38">
        <f t="shared" si="46"/>
        <v>136.4</v>
      </c>
      <c r="M248" s="48"/>
    </row>
    <row r="249" spans="1:13" ht="12.75" x14ac:dyDescent="0.2">
      <c r="A249" s="38">
        <v>2</v>
      </c>
      <c r="B249" s="41">
        <v>10</v>
      </c>
      <c r="C249" s="38">
        <f t="shared" si="44"/>
        <v>20</v>
      </c>
      <c r="E249" s="40"/>
      <c r="F249" s="38">
        <v>13</v>
      </c>
      <c r="G249" s="41">
        <v>10</v>
      </c>
      <c r="H249" s="38">
        <f t="shared" si="45"/>
        <v>130</v>
      </c>
      <c r="M249" s="48"/>
    </row>
    <row r="250" spans="1:13" ht="12.75" x14ac:dyDescent="0.2">
      <c r="B250" s="41"/>
      <c r="E250" s="40"/>
      <c r="F250" s="38">
        <v>0</v>
      </c>
      <c r="G250" s="41">
        <v>20</v>
      </c>
      <c r="H250" s="38">
        <f t="shared" si="45"/>
        <v>0</v>
      </c>
      <c r="M250" s="48"/>
    </row>
    <row r="251" spans="1:13" ht="12.75" x14ac:dyDescent="0.2">
      <c r="B251" s="38" t="s">
        <v>156</v>
      </c>
      <c r="E251" s="40"/>
      <c r="F251" s="38">
        <v>4</v>
      </c>
      <c r="G251" s="41">
        <v>50</v>
      </c>
      <c r="H251" s="38">
        <f t="shared" si="45"/>
        <v>200</v>
      </c>
      <c r="M251" s="48"/>
    </row>
    <row r="252" spans="1:13" ht="12.75" x14ac:dyDescent="0.2">
      <c r="B252" s="38" t="s">
        <v>141</v>
      </c>
      <c r="C252" s="38">
        <f>SUM(C242:C251)</f>
        <v>107.1</v>
      </c>
      <c r="E252" s="40"/>
      <c r="G252" s="38" t="s">
        <v>137</v>
      </c>
      <c r="H252" s="38">
        <f>SUM(H242:H251)</f>
        <v>420.1</v>
      </c>
      <c r="M252" s="48"/>
    </row>
    <row r="253" spans="1:13" ht="12.75" x14ac:dyDescent="0.2">
      <c r="B253" s="38" t="s">
        <v>157</v>
      </c>
      <c r="E253" s="40"/>
      <c r="G253" s="38" t="s">
        <v>158</v>
      </c>
      <c r="H253" s="38">
        <f>H252-C252</f>
        <v>313</v>
      </c>
      <c r="M253" s="48"/>
    </row>
    <row r="254" spans="1:13" ht="12.75" x14ac:dyDescent="0.2">
      <c r="E254" s="40"/>
      <c r="G254" s="38" t="s">
        <v>142</v>
      </c>
      <c r="H254" s="38">
        <v>146.6</v>
      </c>
      <c r="M254" s="48"/>
    </row>
    <row r="255" spans="1:13" ht="12.75" x14ac:dyDescent="0.2">
      <c r="E255" s="40"/>
      <c r="G255" s="38" t="s">
        <v>163</v>
      </c>
      <c r="H255" s="38">
        <v>53.7</v>
      </c>
      <c r="M255" s="48"/>
    </row>
    <row r="256" spans="1:13" ht="12.75" x14ac:dyDescent="0.2">
      <c r="E256" s="40"/>
      <c r="G256" s="38" t="s">
        <v>160</v>
      </c>
      <c r="H256" s="38">
        <f>H253-H254</f>
        <v>166.4</v>
      </c>
      <c r="M256" s="48"/>
    </row>
    <row r="257" spans="1:27" ht="12.75" x14ac:dyDescent="0.2">
      <c r="A257" s="43"/>
      <c r="B257" s="43"/>
      <c r="C257" s="43"/>
      <c r="D257" s="43"/>
      <c r="E257" s="40"/>
      <c r="F257" s="43"/>
      <c r="G257" s="43"/>
      <c r="H257" s="43"/>
      <c r="I257" s="43"/>
      <c r="J257" s="43"/>
      <c r="K257" s="43"/>
      <c r="L257" s="43"/>
      <c r="M257" s="48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</row>
    <row r="258" spans="1:27" ht="12.75" x14ac:dyDescent="0.2">
      <c r="A258" s="38" t="s">
        <v>135</v>
      </c>
      <c r="B258" s="39">
        <v>45550</v>
      </c>
      <c r="E258" s="40"/>
      <c r="F258" s="38" t="s">
        <v>136</v>
      </c>
      <c r="G258" s="39">
        <v>45550</v>
      </c>
      <c r="M258" s="48"/>
      <c r="N258" s="38" t="s">
        <v>184</v>
      </c>
      <c r="O258" s="38">
        <v>100</v>
      </c>
    </row>
    <row r="259" spans="1:27" ht="12.75" x14ac:dyDescent="0.2">
      <c r="A259" s="38" t="s">
        <v>139</v>
      </c>
      <c r="B259" s="38" t="s">
        <v>140</v>
      </c>
      <c r="C259" s="38" t="s">
        <v>141</v>
      </c>
      <c r="F259" s="38" t="s">
        <v>139</v>
      </c>
      <c r="G259" s="38" t="s">
        <v>140</v>
      </c>
      <c r="H259" s="38" t="s">
        <v>141</v>
      </c>
      <c r="J259" s="38" t="s">
        <v>137</v>
      </c>
      <c r="M259" s="49"/>
    </row>
    <row r="260" spans="1:27" ht="12.75" x14ac:dyDescent="0.2">
      <c r="A260" s="38">
        <v>72</v>
      </c>
      <c r="B260" s="41">
        <v>0.05</v>
      </c>
      <c r="C260" s="38">
        <f t="shared" ref="C260:C267" si="47">A260*B260</f>
        <v>3.6</v>
      </c>
      <c r="E260" s="40"/>
      <c r="F260" s="38">
        <v>72</v>
      </c>
      <c r="G260" s="38">
        <v>0.05</v>
      </c>
      <c r="H260" s="38">
        <f t="shared" ref="H260:H269" si="48">F260*G260</f>
        <v>3.6</v>
      </c>
      <c r="J260" s="38" t="s">
        <v>142</v>
      </c>
      <c r="K260" s="38">
        <v>46.6</v>
      </c>
      <c r="M260" s="40"/>
    </row>
    <row r="261" spans="1:27" ht="12.75" x14ac:dyDescent="0.2">
      <c r="A261" s="38">
        <v>69</v>
      </c>
      <c r="B261" s="41">
        <v>0.1</v>
      </c>
      <c r="C261" s="38">
        <f t="shared" si="47"/>
        <v>6.9</v>
      </c>
      <c r="E261" s="40"/>
      <c r="F261" s="38">
        <v>62</v>
      </c>
      <c r="G261" s="41">
        <v>0.1</v>
      </c>
      <c r="H261" s="38">
        <f t="shared" si="48"/>
        <v>6.2</v>
      </c>
      <c r="J261" s="38" t="s">
        <v>163</v>
      </c>
      <c r="K261" s="38">
        <v>32.6</v>
      </c>
      <c r="M261" s="40"/>
    </row>
    <row r="262" spans="1:27" ht="12.75" x14ac:dyDescent="0.2">
      <c r="A262" s="38">
        <v>43</v>
      </c>
      <c r="B262" s="41">
        <v>0.2</v>
      </c>
      <c r="C262" s="38">
        <f t="shared" si="47"/>
        <v>8.6</v>
      </c>
      <c r="E262" s="40"/>
      <c r="F262" s="38">
        <v>33</v>
      </c>
      <c r="G262" s="41">
        <v>0.2</v>
      </c>
      <c r="H262" s="38">
        <f t="shared" si="48"/>
        <v>6.6000000000000005</v>
      </c>
      <c r="J262" s="38" t="s">
        <v>146</v>
      </c>
      <c r="M262" s="40"/>
    </row>
    <row r="263" spans="1:27" ht="12.75" x14ac:dyDescent="0.2">
      <c r="A263" s="38">
        <v>30</v>
      </c>
      <c r="B263" s="41">
        <v>0.5</v>
      </c>
      <c r="C263" s="38">
        <f t="shared" si="47"/>
        <v>15</v>
      </c>
      <c r="E263" s="40"/>
      <c r="F263" s="38">
        <v>23</v>
      </c>
      <c r="G263" s="41">
        <v>0.5</v>
      </c>
      <c r="H263" s="38">
        <f t="shared" si="48"/>
        <v>11.5</v>
      </c>
      <c r="J263" s="38" t="s">
        <v>144</v>
      </c>
      <c r="M263" s="40"/>
    </row>
    <row r="264" spans="1:27" ht="12.75" x14ac:dyDescent="0.2">
      <c r="A264" s="38">
        <v>19</v>
      </c>
      <c r="B264" s="41">
        <v>1</v>
      </c>
      <c r="C264" s="38">
        <f t="shared" si="47"/>
        <v>19</v>
      </c>
      <c r="E264" s="40"/>
      <c r="F264" s="38">
        <v>14</v>
      </c>
      <c r="G264" s="41">
        <v>1</v>
      </c>
      <c r="H264" s="38">
        <f t="shared" si="48"/>
        <v>14</v>
      </c>
      <c r="J264" s="42"/>
      <c r="M264" s="40"/>
    </row>
    <row r="265" spans="1:27" ht="12.75" x14ac:dyDescent="0.2">
      <c r="A265" s="38">
        <v>11</v>
      </c>
      <c r="B265" s="41">
        <v>2</v>
      </c>
      <c r="C265" s="38">
        <f t="shared" si="47"/>
        <v>22</v>
      </c>
      <c r="E265" s="40"/>
      <c r="F265" s="38">
        <v>14</v>
      </c>
      <c r="G265" s="41">
        <v>2</v>
      </c>
      <c r="H265" s="38">
        <f t="shared" si="48"/>
        <v>28</v>
      </c>
      <c r="J265" s="38" t="s">
        <v>149</v>
      </c>
      <c r="K265" s="38">
        <f t="shared" ref="K265:L265" si="49">SUM(K260,K261)*0.2</f>
        <v>15.840000000000002</v>
      </c>
      <c r="L265" s="38">
        <f t="shared" si="49"/>
        <v>0</v>
      </c>
      <c r="M265" s="40"/>
    </row>
    <row r="266" spans="1:27" ht="12.75" x14ac:dyDescent="0.2">
      <c r="A266" s="38">
        <v>4</v>
      </c>
      <c r="B266" s="41">
        <v>5</v>
      </c>
      <c r="C266" s="38">
        <f t="shared" si="47"/>
        <v>20</v>
      </c>
      <c r="E266" s="40"/>
      <c r="F266" s="38">
        <v>2</v>
      </c>
      <c r="G266" s="41">
        <v>5</v>
      </c>
      <c r="H266" s="38">
        <f t="shared" si="48"/>
        <v>10</v>
      </c>
      <c r="J266" s="38" t="s">
        <v>161</v>
      </c>
      <c r="K266" s="38">
        <f t="shared" ref="K266:L266" si="50">K260-K265</f>
        <v>30.759999999999998</v>
      </c>
      <c r="L266" s="38">
        <f t="shared" si="50"/>
        <v>0</v>
      </c>
      <c r="M266" s="40"/>
    </row>
    <row r="267" spans="1:27" ht="12.75" x14ac:dyDescent="0.2">
      <c r="A267" s="38">
        <v>2</v>
      </c>
      <c r="B267" s="41">
        <v>10</v>
      </c>
      <c r="C267" s="38">
        <f t="shared" si="47"/>
        <v>20</v>
      </c>
      <c r="E267" s="40"/>
      <c r="F267" s="38">
        <v>4</v>
      </c>
      <c r="G267" s="41">
        <v>10</v>
      </c>
      <c r="H267" s="38">
        <f t="shared" si="48"/>
        <v>40</v>
      </c>
      <c r="M267" s="40"/>
    </row>
    <row r="268" spans="1:27" ht="12.75" x14ac:dyDescent="0.2">
      <c r="B268" s="41"/>
      <c r="E268" s="40"/>
      <c r="F268" s="38">
        <v>3</v>
      </c>
      <c r="G268" s="41">
        <v>20</v>
      </c>
      <c r="H268" s="38">
        <f t="shared" si="48"/>
        <v>60</v>
      </c>
      <c r="M268" s="40"/>
    </row>
    <row r="269" spans="1:27" ht="12.75" x14ac:dyDescent="0.2">
      <c r="B269" s="38" t="s">
        <v>156</v>
      </c>
      <c r="E269" s="40"/>
      <c r="F269" s="38">
        <v>1</v>
      </c>
      <c r="G269" s="41">
        <v>50</v>
      </c>
      <c r="H269" s="38">
        <f t="shared" si="48"/>
        <v>50</v>
      </c>
      <c r="M269" s="40"/>
    </row>
    <row r="270" spans="1:27" ht="12.75" x14ac:dyDescent="0.2">
      <c r="B270" s="38" t="s">
        <v>141</v>
      </c>
      <c r="C270" s="38">
        <f>SUM(C260:C269)</f>
        <v>115.1</v>
      </c>
      <c r="E270" s="40"/>
      <c r="G270" s="38" t="s">
        <v>137</v>
      </c>
      <c r="H270" s="38">
        <f>SUM(H260:H269)</f>
        <v>229.9</v>
      </c>
      <c r="M270" s="40"/>
    </row>
    <row r="271" spans="1:27" ht="12.75" x14ac:dyDescent="0.2">
      <c r="B271" s="38" t="s">
        <v>157</v>
      </c>
      <c r="E271" s="40"/>
      <c r="G271" s="38" t="s">
        <v>158</v>
      </c>
      <c r="H271" s="38">
        <f>H270-C270</f>
        <v>114.80000000000001</v>
      </c>
      <c r="M271" s="40"/>
    </row>
    <row r="272" spans="1:27" ht="12.75" x14ac:dyDescent="0.2">
      <c r="E272" s="40"/>
      <c r="G272" s="38" t="s">
        <v>142</v>
      </c>
      <c r="H272" s="38">
        <v>46.6</v>
      </c>
      <c r="M272" s="40"/>
    </row>
    <row r="273" spans="1:27" ht="12.75" x14ac:dyDescent="0.2">
      <c r="E273" s="40"/>
      <c r="G273" s="38" t="s">
        <v>163</v>
      </c>
      <c r="H273" s="38">
        <v>32.6</v>
      </c>
      <c r="M273" s="40"/>
    </row>
    <row r="274" spans="1:27" ht="12.75" x14ac:dyDescent="0.2">
      <c r="E274" s="40"/>
      <c r="G274" s="38" t="s">
        <v>160</v>
      </c>
      <c r="H274" s="38">
        <f>H271-H272</f>
        <v>68.200000000000017</v>
      </c>
      <c r="J274" s="38">
        <v>147</v>
      </c>
      <c r="M274" s="40"/>
    </row>
    <row r="275" spans="1:27" ht="12.75" x14ac:dyDescent="0.2">
      <c r="A275" s="43"/>
      <c r="B275" s="43"/>
      <c r="C275" s="43"/>
      <c r="D275" s="43"/>
      <c r="E275" s="40"/>
      <c r="F275" s="43"/>
      <c r="G275" s="43"/>
      <c r="H275" s="43"/>
      <c r="I275" s="43"/>
      <c r="J275" s="43"/>
      <c r="K275" s="43"/>
      <c r="L275" s="43"/>
      <c r="M275" s="48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</row>
    <row r="276" spans="1:27" ht="12.75" x14ac:dyDescent="0.2">
      <c r="A276" s="38" t="s">
        <v>135</v>
      </c>
      <c r="B276" s="39">
        <v>45551</v>
      </c>
      <c r="E276" s="40"/>
      <c r="F276" s="38" t="s">
        <v>136</v>
      </c>
      <c r="G276" s="39">
        <v>45551</v>
      </c>
      <c r="M276" s="40"/>
    </row>
    <row r="277" spans="1:27" ht="12.75" x14ac:dyDescent="0.2">
      <c r="A277" s="38" t="s">
        <v>139</v>
      </c>
      <c r="B277" s="38" t="s">
        <v>140</v>
      </c>
      <c r="C277" s="38" t="s">
        <v>141</v>
      </c>
      <c r="E277" s="40"/>
      <c r="F277" s="38" t="s">
        <v>139</v>
      </c>
      <c r="G277" s="38" t="s">
        <v>140</v>
      </c>
      <c r="H277" s="38" t="s">
        <v>141</v>
      </c>
      <c r="J277" s="38" t="s">
        <v>137</v>
      </c>
      <c r="K277" s="38">
        <v>226.5</v>
      </c>
      <c r="M277" s="40"/>
    </row>
    <row r="278" spans="1:27" ht="12.75" x14ac:dyDescent="0.2">
      <c r="A278" s="38">
        <v>72</v>
      </c>
      <c r="B278" s="41">
        <v>0.05</v>
      </c>
      <c r="C278" s="38">
        <f t="shared" ref="C278:C285" si="51">A278*B278</f>
        <v>3.6</v>
      </c>
      <c r="E278" s="40"/>
      <c r="F278" s="38">
        <v>72</v>
      </c>
      <c r="G278" s="38">
        <v>0.05</v>
      </c>
      <c r="H278" s="38">
        <f t="shared" ref="H278:H287" si="52">F278*G278</f>
        <v>3.6</v>
      </c>
      <c r="J278" s="38" t="s">
        <v>142</v>
      </c>
      <c r="K278" s="38">
        <v>185.2</v>
      </c>
      <c r="L278" s="38">
        <v>205</v>
      </c>
      <c r="M278" s="40"/>
    </row>
    <row r="279" spans="1:27" ht="12.75" x14ac:dyDescent="0.2">
      <c r="A279" s="38">
        <v>62</v>
      </c>
      <c r="B279" s="41">
        <v>0.1</v>
      </c>
      <c r="C279" s="38">
        <f t="shared" si="51"/>
        <v>6.2</v>
      </c>
      <c r="E279" s="40"/>
      <c r="F279" s="38">
        <v>66</v>
      </c>
      <c r="G279" s="41">
        <v>0.1</v>
      </c>
      <c r="H279" s="38">
        <f t="shared" si="52"/>
        <v>6.6000000000000005</v>
      </c>
      <c r="J279" s="38" t="s">
        <v>163</v>
      </c>
      <c r="K279" s="38">
        <v>41.3</v>
      </c>
      <c r="M279" s="40"/>
    </row>
    <row r="280" spans="1:27" ht="12.75" x14ac:dyDescent="0.2">
      <c r="A280" s="38">
        <v>33</v>
      </c>
      <c r="B280" s="41">
        <v>0.2</v>
      </c>
      <c r="C280" s="38">
        <f t="shared" si="51"/>
        <v>6.6000000000000005</v>
      </c>
      <c r="E280" s="40"/>
      <c r="F280" s="38">
        <v>26</v>
      </c>
      <c r="G280" s="41">
        <v>0.2</v>
      </c>
      <c r="H280" s="38">
        <f t="shared" si="52"/>
        <v>5.2</v>
      </c>
      <c r="J280" s="38" t="s">
        <v>146</v>
      </c>
      <c r="M280" s="40"/>
    </row>
    <row r="281" spans="1:27" ht="12.75" x14ac:dyDescent="0.2">
      <c r="A281" s="38">
        <v>23</v>
      </c>
      <c r="B281" s="41">
        <v>0.5</v>
      </c>
      <c r="C281" s="38">
        <f t="shared" si="51"/>
        <v>11.5</v>
      </c>
      <c r="E281" s="40"/>
      <c r="F281" s="38">
        <v>9</v>
      </c>
      <c r="G281" s="41">
        <v>0.5</v>
      </c>
      <c r="H281" s="38">
        <f t="shared" si="52"/>
        <v>4.5</v>
      </c>
      <c r="J281" s="38" t="s">
        <v>144</v>
      </c>
      <c r="M281" s="40"/>
    </row>
    <row r="282" spans="1:27" ht="12.75" x14ac:dyDescent="0.2">
      <c r="A282" s="38">
        <v>14</v>
      </c>
      <c r="B282" s="41">
        <v>1</v>
      </c>
      <c r="C282" s="38">
        <f t="shared" si="51"/>
        <v>14</v>
      </c>
      <c r="E282" s="40"/>
      <c r="F282" s="38">
        <v>20</v>
      </c>
      <c r="G282" s="41">
        <v>1</v>
      </c>
      <c r="H282" s="38">
        <f t="shared" si="52"/>
        <v>20</v>
      </c>
      <c r="J282" s="42"/>
      <c r="M282" s="40"/>
    </row>
    <row r="283" spans="1:27" ht="12.75" x14ac:dyDescent="0.2">
      <c r="A283" s="38">
        <v>10</v>
      </c>
      <c r="B283" s="41">
        <v>2</v>
      </c>
      <c r="C283" s="38">
        <f t="shared" si="51"/>
        <v>20</v>
      </c>
      <c r="E283" s="40"/>
      <c r="F283" s="38">
        <v>9</v>
      </c>
      <c r="G283" s="41">
        <v>2</v>
      </c>
      <c r="H283" s="38">
        <f t="shared" si="52"/>
        <v>18</v>
      </c>
      <c r="J283" s="38" t="s">
        <v>149</v>
      </c>
      <c r="K283" s="38">
        <f>SUM(K278,K279)*0.3</f>
        <v>67.95</v>
      </c>
      <c r="L283" s="38">
        <f>SUM(L278,L279)*0.2</f>
        <v>41</v>
      </c>
      <c r="M283" s="40"/>
    </row>
    <row r="284" spans="1:27" ht="12.75" x14ac:dyDescent="0.2">
      <c r="A284" s="38">
        <v>4</v>
      </c>
      <c r="B284" s="41">
        <v>5</v>
      </c>
      <c r="C284" s="38">
        <f t="shared" si="51"/>
        <v>20</v>
      </c>
      <c r="E284" s="40"/>
      <c r="F284" s="38">
        <v>13</v>
      </c>
      <c r="G284" s="41">
        <v>5</v>
      </c>
      <c r="H284" s="38">
        <f t="shared" si="52"/>
        <v>65</v>
      </c>
      <c r="J284" s="38" t="s">
        <v>161</v>
      </c>
      <c r="K284" s="38">
        <f t="shared" ref="K284:L284" si="53">K278-K283</f>
        <v>117.24999999999999</v>
      </c>
      <c r="L284" s="38">
        <f t="shared" si="53"/>
        <v>164</v>
      </c>
      <c r="M284" s="40"/>
    </row>
    <row r="285" spans="1:27" ht="12.75" x14ac:dyDescent="0.2">
      <c r="A285" s="38">
        <v>2</v>
      </c>
      <c r="B285" s="41">
        <v>10</v>
      </c>
      <c r="C285" s="38">
        <f t="shared" si="51"/>
        <v>20</v>
      </c>
      <c r="E285" s="40"/>
      <c r="F285" s="38">
        <v>6</v>
      </c>
      <c r="G285" s="41">
        <v>10</v>
      </c>
      <c r="H285" s="38">
        <f t="shared" si="52"/>
        <v>60</v>
      </c>
      <c r="M285" s="40"/>
    </row>
    <row r="286" spans="1:27" ht="12.75" x14ac:dyDescent="0.2">
      <c r="B286" s="41"/>
      <c r="E286" s="40"/>
      <c r="F286" s="38">
        <v>8</v>
      </c>
      <c r="G286" s="41">
        <v>20</v>
      </c>
      <c r="H286" s="38">
        <f t="shared" si="52"/>
        <v>160</v>
      </c>
      <c r="M286" s="40"/>
    </row>
    <row r="287" spans="1:27" ht="12.75" x14ac:dyDescent="0.2">
      <c r="B287" s="38" t="s">
        <v>156</v>
      </c>
      <c r="E287" s="40"/>
      <c r="F287" s="38">
        <v>3</v>
      </c>
      <c r="G287" s="41">
        <v>50</v>
      </c>
      <c r="H287" s="38">
        <f t="shared" si="52"/>
        <v>150</v>
      </c>
      <c r="M287" s="40"/>
    </row>
    <row r="288" spans="1:27" ht="12.75" x14ac:dyDescent="0.2">
      <c r="B288" s="38" t="s">
        <v>141</v>
      </c>
      <c r="C288" s="38">
        <f>SUM(C278:C287)</f>
        <v>101.9</v>
      </c>
      <c r="E288" s="40"/>
      <c r="G288" s="38" t="s">
        <v>137</v>
      </c>
      <c r="H288" s="38">
        <f>SUM(H278:H287)</f>
        <v>492.9</v>
      </c>
      <c r="M288" s="40"/>
    </row>
    <row r="289" spans="1:27" ht="12.75" x14ac:dyDescent="0.2">
      <c r="B289" s="38" t="s">
        <v>157</v>
      </c>
      <c r="E289" s="40"/>
      <c r="G289" s="38" t="s">
        <v>158</v>
      </c>
      <c r="H289" s="38">
        <f>H288-C288</f>
        <v>391</v>
      </c>
      <c r="M289" s="40"/>
    </row>
    <row r="290" spans="1:27" ht="12.75" x14ac:dyDescent="0.2">
      <c r="E290" s="40"/>
      <c r="G290" s="38" t="s">
        <v>142</v>
      </c>
      <c r="H290" s="38">
        <v>185.2</v>
      </c>
      <c r="M290" s="40"/>
    </row>
    <row r="291" spans="1:27" ht="12.75" x14ac:dyDescent="0.2">
      <c r="E291" s="40"/>
      <c r="G291" s="38" t="s">
        <v>163</v>
      </c>
      <c r="H291" s="38">
        <v>41.3</v>
      </c>
      <c r="M291" s="40"/>
    </row>
    <row r="292" spans="1:27" ht="12.75" x14ac:dyDescent="0.2">
      <c r="E292" s="40"/>
      <c r="G292" s="38" t="s">
        <v>160</v>
      </c>
      <c r="H292" s="38">
        <f>H289-H290</f>
        <v>205.8</v>
      </c>
      <c r="M292" s="40"/>
    </row>
    <row r="293" spans="1:27" ht="12.75" x14ac:dyDescent="0.2">
      <c r="A293" s="43"/>
      <c r="B293" s="43"/>
      <c r="C293" s="43"/>
      <c r="D293" s="43"/>
      <c r="E293" s="40"/>
      <c r="F293" s="43"/>
      <c r="G293" s="43"/>
      <c r="H293" s="43"/>
      <c r="I293" s="43"/>
      <c r="J293" s="43"/>
      <c r="K293" s="43"/>
      <c r="L293" s="43"/>
      <c r="M293" s="48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</row>
    <row r="294" spans="1:27" ht="12.75" x14ac:dyDescent="0.2">
      <c r="A294" s="38" t="s">
        <v>135</v>
      </c>
      <c r="B294" s="39">
        <v>45552</v>
      </c>
      <c r="E294" s="40"/>
      <c r="F294" s="38" t="s">
        <v>136</v>
      </c>
      <c r="G294" s="39">
        <v>45552</v>
      </c>
      <c r="M294" s="40"/>
    </row>
    <row r="295" spans="1:27" ht="12.75" x14ac:dyDescent="0.2">
      <c r="A295" s="38" t="s">
        <v>139</v>
      </c>
      <c r="B295" s="38" t="s">
        <v>140</v>
      </c>
      <c r="C295" s="38" t="s">
        <v>141</v>
      </c>
      <c r="E295" s="40"/>
      <c r="F295" s="38" t="s">
        <v>139</v>
      </c>
      <c r="G295" s="38" t="s">
        <v>140</v>
      </c>
      <c r="H295" s="38" t="s">
        <v>141</v>
      </c>
      <c r="J295" s="38" t="s">
        <v>137</v>
      </c>
      <c r="M295" s="40"/>
    </row>
    <row r="296" spans="1:27" ht="12.75" x14ac:dyDescent="0.2">
      <c r="A296" s="38">
        <v>72</v>
      </c>
      <c r="B296" s="41">
        <v>0.05</v>
      </c>
      <c r="C296" s="38">
        <f t="shared" ref="C296:C303" si="54">A296*B296</f>
        <v>3.6</v>
      </c>
      <c r="E296" s="40"/>
      <c r="F296" s="38">
        <v>65</v>
      </c>
      <c r="G296" s="38">
        <v>0.05</v>
      </c>
      <c r="H296" s="38">
        <f t="shared" ref="H296:H305" si="55">F296*G296</f>
        <v>3.25</v>
      </c>
      <c r="J296" s="38" t="s">
        <v>142</v>
      </c>
      <c r="K296" s="38">
        <v>126.1</v>
      </c>
      <c r="M296" s="40"/>
    </row>
    <row r="297" spans="1:27" ht="12.75" x14ac:dyDescent="0.2">
      <c r="A297" s="38">
        <v>66</v>
      </c>
      <c r="B297" s="41">
        <v>0.1</v>
      </c>
      <c r="C297" s="38">
        <f t="shared" si="54"/>
        <v>6.6000000000000005</v>
      </c>
      <c r="D297" s="38" t="s">
        <v>167</v>
      </c>
      <c r="E297" s="40"/>
      <c r="F297" s="38">
        <v>64</v>
      </c>
      <c r="G297" s="41">
        <v>0.1</v>
      </c>
      <c r="H297" s="38">
        <f t="shared" si="55"/>
        <v>6.4</v>
      </c>
      <c r="J297" s="38" t="s">
        <v>163</v>
      </c>
      <c r="K297" s="38">
        <v>106.65</v>
      </c>
      <c r="M297" s="40"/>
    </row>
    <row r="298" spans="1:27" ht="12.75" x14ac:dyDescent="0.2">
      <c r="A298" s="38">
        <v>26</v>
      </c>
      <c r="B298" s="41">
        <v>0.2</v>
      </c>
      <c r="C298" s="38">
        <f t="shared" si="54"/>
        <v>5.2</v>
      </c>
      <c r="D298" s="38" t="s">
        <v>167</v>
      </c>
      <c r="E298" s="40"/>
      <c r="F298" s="38">
        <v>15</v>
      </c>
      <c r="G298" s="41">
        <v>0.2</v>
      </c>
      <c r="H298" s="38">
        <f t="shared" si="55"/>
        <v>3</v>
      </c>
      <c r="J298" s="38" t="s">
        <v>146</v>
      </c>
      <c r="K298" s="50"/>
      <c r="M298" s="40"/>
    </row>
    <row r="299" spans="1:27" ht="12.75" x14ac:dyDescent="0.2">
      <c r="A299" s="38">
        <v>19</v>
      </c>
      <c r="B299" s="41">
        <v>0.5</v>
      </c>
      <c r="C299" s="38">
        <f t="shared" si="54"/>
        <v>9.5</v>
      </c>
      <c r="D299" s="38" t="s">
        <v>167</v>
      </c>
      <c r="E299" s="40"/>
      <c r="F299" s="38">
        <v>28</v>
      </c>
      <c r="G299" s="41">
        <v>0.5</v>
      </c>
      <c r="H299" s="38">
        <f t="shared" si="55"/>
        <v>14</v>
      </c>
      <c r="J299" s="38" t="s">
        <v>144</v>
      </c>
      <c r="M299" s="40"/>
    </row>
    <row r="300" spans="1:27" ht="12.75" x14ac:dyDescent="0.2">
      <c r="A300" s="38">
        <v>20</v>
      </c>
      <c r="B300" s="41">
        <v>1</v>
      </c>
      <c r="C300" s="38">
        <f t="shared" si="54"/>
        <v>20</v>
      </c>
      <c r="D300" s="38" t="s">
        <v>167</v>
      </c>
      <c r="E300" s="40"/>
      <c r="F300" s="38">
        <v>33</v>
      </c>
      <c r="G300" s="41">
        <v>1</v>
      </c>
      <c r="H300" s="38">
        <f t="shared" si="55"/>
        <v>33</v>
      </c>
      <c r="J300" s="42"/>
      <c r="M300" s="40"/>
      <c r="P300" s="41"/>
    </row>
    <row r="301" spans="1:27" ht="12.75" x14ac:dyDescent="0.2">
      <c r="A301" s="38">
        <v>9</v>
      </c>
      <c r="B301" s="41">
        <v>2</v>
      </c>
      <c r="C301" s="38">
        <f t="shared" si="54"/>
        <v>18</v>
      </c>
      <c r="D301" s="38" t="s">
        <v>167</v>
      </c>
      <c r="E301" s="40"/>
      <c r="F301" s="38">
        <v>10</v>
      </c>
      <c r="G301" s="41">
        <v>2</v>
      </c>
      <c r="H301" s="38">
        <f t="shared" si="55"/>
        <v>20</v>
      </c>
      <c r="J301" s="38" t="s">
        <v>149</v>
      </c>
      <c r="K301" s="41">
        <f>SUM(K296,K297)*0.3</f>
        <v>69.825000000000003</v>
      </c>
      <c r="L301" s="38">
        <f>SUM(L296,L297)*0.2</f>
        <v>0</v>
      </c>
      <c r="M301" s="40"/>
      <c r="P301" s="41"/>
    </row>
    <row r="302" spans="1:27" ht="12.75" x14ac:dyDescent="0.2">
      <c r="A302" s="38">
        <v>4</v>
      </c>
      <c r="B302" s="41">
        <v>5</v>
      </c>
      <c r="C302" s="38">
        <f t="shared" si="54"/>
        <v>20</v>
      </c>
      <c r="E302" s="40"/>
      <c r="F302" s="38">
        <v>2</v>
      </c>
      <c r="G302" s="41">
        <v>5</v>
      </c>
      <c r="H302" s="38">
        <f t="shared" si="55"/>
        <v>10</v>
      </c>
      <c r="J302" s="38" t="s">
        <v>161</v>
      </c>
      <c r="K302" s="41">
        <f t="shared" ref="K302:L302" si="56">K296-K301</f>
        <v>56.274999999999991</v>
      </c>
      <c r="L302" s="38">
        <f t="shared" si="56"/>
        <v>0</v>
      </c>
      <c r="M302" s="40"/>
      <c r="P302" s="41"/>
    </row>
    <row r="303" spans="1:27" ht="12.75" x14ac:dyDescent="0.2">
      <c r="A303" s="38">
        <v>2</v>
      </c>
      <c r="B303" s="41">
        <v>10</v>
      </c>
      <c r="C303" s="38">
        <f t="shared" si="54"/>
        <v>20</v>
      </c>
      <c r="E303" s="40"/>
      <c r="F303" s="38">
        <v>5</v>
      </c>
      <c r="G303" s="41">
        <v>10</v>
      </c>
      <c r="H303" s="38">
        <f t="shared" si="55"/>
        <v>50</v>
      </c>
      <c r="K303" s="41"/>
      <c r="M303" s="40"/>
    </row>
    <row r="304" spans="1:27" ht="12.75" x14ac:dyDescent="0.2">
      <c r="B304" s="41"/>
      <c r="E304" s="40"/>
      <c r="F304" s="38">
        <v>10</v>
      </c>
      <c r="G304" s="41">
        <v>20</v>
      </c>
      <c r="H304" s="38">
        <f t="shared" si="55"/>
        <v>200</v>
      </c>
      <c r="M304" s="40"/>
    </row>
    <row r="305" spans="1:27" ht="12.75" x14ac:dyDescent="0.2">
      <c r="B305" s="38" t="s">
        <v>156</v>
      </c>
      <c r="E305" s="40"/>
      <c r="F305" s="38">
        <v>3</v>
      </c>
      <c r="G305" s="41">
        <v>50</v>
      </c>
      <c r="H305" s="38">
        <f t="shared" si="55"/>
        <v>150</v>
      </c>
      <c r="M305" s="40"/>
    </row>
    <row r="306" spans="1:27" ht="12.75" x14ac:dyDescent="0.2">
      <c r="B306" s="38" t="s">
        <v>141</v>
      </c>
      <c r="C306" s="38">
        <f>SUM(C296:C305)</f>
        <v>102.9</v>
      </c>
      <c r="E306" s="40"/>
      <c r="G306" s="38" t="s">
        <v>137</v>
      </c>
      <c r="H306" s="38">
        <f>SUM(H296:H305)</f>
        <v>489.65</v>
      </c>
      <c r="M306" s="40"/>
    </row>
    <row r="307" spans="1:27" ht="12.75" x14ac:dyDescent="0.2">
      <c r="B307" s="38" t="s">
        <v>157</v>
      </c>
      <c r="E307" s="40"/>
      <c r="G307" s="38" t="s">
        <v>158</v>
      </c>
      <c r="H307" s="38">
        <f>H306-C306</f>
        <v>386.75</v>
      </c>
      <c r="M307" s="40"/>
    </row>
    <row r="308" spans="1:27" ht="12.75" x14ac:dyDescent="0.2">
      <c r="E308" s="40"/>
      <c r="G308" s="38" t="s">
        <v>142</v>
      </c>
      <c r="H308" s="38">
        <v>126.1</v>
      </c>
      <c r="M308" s="40"/>
    </row>
    <row r="309" spans="1:27" ht="12.75" x14ac:dyDescent="0.2">
      <c r="E309" s="40"/>
      <c r="G309" s="38" t="s">
        <v>163</v>
      </c>
      <c r="H309" s="38">
        <v>106.65</v>
      </c>
      <c r="I309" s="38">
        <v>-0.85</v>
      </c>
      <c r="M309" s="40"/>
    </row>
    <row r="310" spans="1:27" ht="12.75" x14ac:dyDescent="0.2">
      <c r="E310" s="40"/>
      <c r="G310" s="38" t="s">
        <v>160</v>
      </c>
      <c r="H310" s="38">
        <f>H307-H308</f>
        <v>260.64999999999998</v>
      </c>
      <c r="M310" s="40"/>
    </row>
    <row r="311" spans="1:27" ht="12.75" x14ac:dyDescent="0.2">
      <c r="A311" s="43"/>
      <c r="B311" s="43"/>
      <c r="C311" s="43"/>
      <c r="D311" s="43"/>
      <c r="E311" s="40"/>
      <c r="F311" s="43"/>
      <c r="G311" s="43"/>
      <c r="H311" s="43"/>
      <c r="I311" s="43"/>
      <c r="J311" s="43"/>
      <c r="K311" s="43"/>
      <c r="L311" s="43"/>
      <c r="M311" s="48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</row>
    <row r="312" spans="1:27" ht="12.75" x14ac:dyDescent="0.2">
      <c r="A312" s="38" t="s">
        <v>135</v>
      </c>
      <c r="B312" s="39">
        <v>45553</v>
      </c>
      <c r="E312" s="40"/>
      <c r="F312" s="38" t="s">
        <v>136</v>
      </c>
      <c r="G312" s="39">
        <v>45553</v>
      </c>
      <c r="M312" s="40"/>
    </row>
    <row r="313" spans="1:27" ht="12.75" x14ac:dyDescent="0.2">
      <c r="A313" s="38" t="s">
        <v>139</v>
      </c>
      <c r="B313" s="38" t="s">
        <v>140</v>
      </c>
      <c r="C313" s="38" t="s">
        <v>141</v>
      </c>
      <c r="E313" s="40"/>
      <c r="F313" s="38" t="s">
        <v>139</v>
      </c>
      <c r="G313" s="38" t="s">
        <v>140</v>
      </c>
      <c r="H313" s="38" t="s">
        <v>141</v>
      </c>
      <c r="J313" s="38" t="s">
        <v>137</v>
      </c>
      <c r="M313" s="40"/>
    </row>
    <row r="314" spans="1:27" ht="12.75" x14ac:dyDescent="0.2">
      <c r="A314" s="38">
        <v>65</v>
      </c>
      <c r="B314" s="41">
        <v>0.05</v>
      </c>
      <c r="C314" s="38">
        <f t="shared" ref="C314:C321" si="57">A314*B314</f>
        <v>3.25</v>
      </c>
      <c r="E314" s="40"/>
      <c r="F314" s="38">
        <v>65</v>
      </c>
      <c r="G314" s="38">
        <v>0.05</v>
      </c>
      <c r="H314" s="38">
        <f t="shared" ref="H314:H323" si="58">F314*G314</f>
        <v>3.25</v>
      </c>
      <c r="J314" s="38" t="s">
        <v>142</v>
      </c>
      <c r="K314" s="38">
        <v>188.6</v>
      </c>
      <c r="L314" s="38">
        <v>195.6</v>
      </c>
      <c r="M314" s="40"/>
    </row>
    <row r="315" spans="1:27" ht="12.75" x14ac:dyDescent="0.2">
      <c r="A315" s="38">
        <v>64</v>
      </c>
      <c r="B315" s="41">
        <v>0.1</v>
      </c>
      <c r="C315" s="38">
        <f t="shared" si="57"/>
        <v>6.4</v>
      </c>
      <c r="E315" s="40"/>
      <c r="F315" s="38">
        <v>68</v>
      </c>
      <c r="G315" s="41">
        <v>0.1</v>
      </c>
      <c r="H315" s="38">
        <f t="shared" si="58"/>
        <v>6.8000000000000007</v>
      </c>
      <c r="J315" s="38" t="s">
        <v>163</v>
      </c>
      <c r="K315" s="38">
        <v>105.2</v>
      </c>
      <c r="M315" s="40"/>
    </row>
    <row r="316" spans="1:27" ht="12.75" x14ac:dyDescent="0.2">
      <c r="A316" s="38">
        <v>15</v>
      </c>
      <c r="B316" s="41">
        <v>0.2</v>
      </c>
      <c r="C316" s="38">
        <f t="shared" si="57"/>
        <v>3</v>
      </c>
      <c r="E316" s="40"/>
      <c r="F316" s="38">
        <v>14</v>
      </c>
      <c r="G316" s="41">
        <v>0.2</v>
      </c>
      <c r="H316" s="38">
        <f t="shared" si="58"/>
        <v>2.8000000000000003</v>
      </c>
      <c r="J316" s="38" t="s">
        <v>146</v>
      </c>
      <c r="K316" s="50"/>
      <c r="M316" s="40"/>
    </row>
    <row r="317" spans="1:27" ht="12.75" x14ac:dyDescent="0.2">
      <c r="A317" s="38">
        <v>28</v>
      </c>
      <c r="B317" s="41">
        <v>0.5</v>
      </c>
      <c r="C317" s="38">
        <f t="shared" si="57"/>
        <v>14</v>
      </c>
      <c r="E317" s="40"/>
      <c r="F317" s="38">
        <v>16</v>
      </c>
      <c r="G317" s="41">
        <v>0.5</v>
      </c>
      <c r="H317" s="38">
        <f t="shared" si="58"/>
        <v>8</v>
      </c>
      <c r="J317" s="38" t="s">
        <v>144</v>
      </c>
      <c r="M317" s="40"/>
    </row>
    <row r="318" spans="1:27" ht="12.75" x14ac:dyDescent="0.2">
      <c r="A318" s="38">
        <v>15</v>
      </c>
      <c r="B318" s="41">
        <v>1</v>
      </c>
      <c r="C318" s="38">
        <f t="shared" si="57"/>
        <v>15</v>
      </c>
      <c r="E318" s="40"/>
      <c r="F318" s="38">
        <v>13</v>
      </c>
      <c r="G318" s="41">
        <v>1</v>
      </c>
      <c r="H318" s="38">
        <f t="shared" si="58"/>
        <v>13</v>
      </c>
      <c r="J318" s="42"/>
      <c r="M318" s="40"/>
    </row>
    <row r="319" spans="1:27" ht="12.75" x14ac:dyDescent="0.2">
      <c r="A319" s="38">
        <v>14</v>
      </c>
      <c r="B319" s="41">
        <v>2</v>
      </c>
      <c r="C319" s="38">
        <f t="shared" si="57"/>
        <v>28</v>
      </c>
      <c r="E319" s="40"/>
      <c r="F319" s="38">
        <v>10</v>
      </c>
      <c r="G319" s="41">
        <v>2</v>
      </c>
      <c r="H319" s="38">
        <f t="shared" si="58"/>
        <v>20</v>
      </c>
      <c r="J319" s="38" t="s">
        <v>149</v>
      </c>
      <c r="K319" s="38">
        <f>SUM(K314,K315)*0.3</f>
        <v>88.14</v>
      </c>
      <c r="L319" s="38">
        <f>SUM(L314,L315)*0.2</f>
        <v>39.120000000000005</v>
      </c>
      <c r="M319" s="40"/>
    </row>
    <row r="320" spans="1:27" ht="12.75" x14ac:dyDescent="0.2">
      <c r="A320" s="38">
        <v>4</v>
      </c>
      <c r="B320" s="41">
        <v>5</v>
      </c>
      <c r="C320" s="38">
        <f t="shared" si="57"/>
        <v>20</v>
      </c>
      <c r="E320" s="40"/>
      <c r="F320" s="38">
        <v>12</v>
      </c>
      <c r="G320" s="41">
        <v>5</v>
      </c>
      <c r="H320" s="38">
        <f t="shared" si="58"/>
        <v>60</v>
      </c>
      <c r="J320" s="38" t="s">
        <v>161</v>
      </c>
      <c r="K320" s="38">
        <f t="shared" ref="K320:L320" si="59">K314-K319</f>
        <v>100.46</v>
      </c>
      <c r="L320" s="38">
        <f t="shared" si="59"/>
        <v>156.47999999999999</v>
      </c>
      <c r="M320" s="40"/>
    </row>
    <row r="321" spans="1:27" ht="12.75" x14ac:dyDescent="0.2">
      <c r="A321" s="38">
        <v>2</v>
      </c>
      <c r="B321" s="41">
        <v>10</v>
      </c>
      <c r="C321" s="38">
        <f t="shared" si="57"/>
        <v>20</v>
      </c>
      <c r="E321" s="40"/>
      <c r="F321" s="38">
        <v>7</v>
      </c>
      <c r="G321" s="41">
        <v>10</v>
      </c>
      <c r="H321" s="38">
        <f t="shared" si="58"/>
        <v>70</v>
      </c>
      <c r="M321" s="40"/>
    </row>
    <row r="322" spans="1:27" ht="12.75" x14ac:dyDescent="0.2">
      <c r="B322" s="41"/>
      <c r="E322" s="40"/>
      <c r="F322" s="38">
        <v>8</v>
      </c>
      <c r="G322" s="41">
        <v>20</v>
      </c>
      <c r="H322" s="38">
        <f t="shared" si="58"/>
        <v>160</v>
      </c>
      <c r="M322" s="40"/>
    </row>
    <row r="323" spans="1:27" ht="12.75" x14ac:dyDescent="0.2">
      <c r="B323" s="38" t="s">
        <v>156</v>
      </c>
      <c r="E323" s="40"/>
      <c r="F323" s="38">
        <v>3</v>
      </c>
      <c r="G323" s="41">
        <v>50</v>
      </c>
      <c r="H323" s="38">
        <f t="shared" si="58"/>
        <v>150</v>
      </c>
      <c r="M323" s="40"/>
    </row>
    <row r="324" spans="1:27" ht="12.75" x14ac:dyDescent="0.2">
      <c r="B324" s="38" t="s">
        <v>141</v>
      </c>
      <c r="C324" s="38">
        <f>SUM(C314:C323)</f>
        <v>109.65</v>
      </c>
      <c r="E324" s="40"/>
      <c r="G324" s="38" t="s">
        <v>137</v>
      </c>
      <c r="H324" s="38">
        <f>SUM(H314:H323)</f>
        <v>493.85</v>
      </c>
      <c r="M324" s="40"/>
    </row>
    <row r="325" spans="1:27" ht="12.75" x14ac:dyDescent="0.2">
      <c r="B325" s="38" t="s">
        <v>157</v>
      </c>
      <c r="E325" s="40"/>
      <c r="G325" s="38" t="s">
        <v>158</v>
      </c>
      <c r="H325" s="38">
        <f>H324-C324</f>
        <v>384.20000000000005</v>
      </c>
      <c r="M325" s="40"/>
    </row>
    <row r="326" spans="1:27" ht="12.75" x14ac:dyDescent="0.2">
      <c r="E326" s="40"/>
      <c r="G326" s="38" t="s">
        <v>142</v>
      </c>
      <c r="H326" s="38">
        <v>188.6</v>
      </c>
      <c r="M326" s="40"/>
    </row>
    <row r="327" spans="1:27" ht="12.75" x14ac:dyDescent="0.2">
      <c r="E327" s="40"/>
      <c r="G327" s="38" t="s">
        <v>163</v>
      </c>
      <c r="H327" s="38">
        <v>105.2</v>
      </c>
      <c r="M327" s="40"/>
    </row>
    <row r="328" spans="1:27" ht="12.75" x14ac:dyDescent="0.2">
      <c r="G328" s="38" t="s">
        <v>160</v>
      </c>
      <c r="H328" s="38">
        <f>H325-H326</f>
        <v>195.60000000000005</v>
      </c>
    </row>
    <row r="330" spans="1:27" ht="12.75" x14ac:dyDescent="0.2">
      <c r="A330" s="43"/>
      <c r="B330" s="43"/>
      <c r="C330" s="43"/>
      <c r="D330" s="43"/>
      <c r="E330" s="40"/>
      <c r="F330" s="43"/>
      <c r="G330" s="43"/>
      <c r="H330" s="43"/>
      <c r="I330" s="43"/>
      <c r="J330" s="43"/>
      <c r="K330" s="43"/>
      <c r="L330" s="43"/>
      <c r="M330" s="48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</row>
    <row r="331" spans="1:27" ht="12.75" x14ac:dyDescent="0.2">
      <c r="A331" s="38" t="s">
        <v>135</v>
      </c>
      <c r="B331" s="39">
        <v>45554</v>
      </c>
      <c r="E331" s="40"/>
      <c r="F331" s="38" t="s">
        <v>136</v>
      </c>
      <c r="G331" s="39">
        <v>45554</v>
      </c>
      <c r="M331" s="40"/>
    </row>
    <row r="332" spans="1:27" ht="12.75" x14ac:dyDescent="0.2">
      <c r="A332" s="38" t="s">
        <v>139</v>
      </c>
      <c r="B332" s="38" t="s">
        <v>140</v>
      </c>
      <c r="C332" s="38" t="s">
        <v>141</v>
      </c>
      <c r="E332" s="40"/>
      <c r="F332" s="38" t="s">
        <v>139</v>
      </c>
      <c r="G332" s="38" t="s">
        <v>140</v>
      </c>
      <c r="H332" s="38" t="s">
        <v>141</v>
      </c>
      <c r="J332" s="38" t="s">
        <v>137</v>
      </c>
      <c r="M332" s="40"/>
    </row>
    <row r="333" spans="1:27" ht="12.75" x14ac:dyDescent="0.2">
      <c r="A333" s="38">
        <v>65</v>
      </c>
      <c r="B333" s="41">
        <v>0.05</v>
      </c>
      <c r="C333" s="38">
        <f t="shared" ref="C333:C340" si="60">A333*B333</f>
        <v>3.25</v>
      </c>
      <c r="E333" s="40"/>
      <c r="F333" s="38">
        <v>36</v>
      </c>
      <c r="G333" s="38">
        <v>0.05</v>
      </c>
      <c r="H333" s="38">
        <f t="shared" ref="H333:H342" si="61">F333*G333</f>
        <v>1.8</v>
      </c>
      <c r="J333" s="38" t="s">
        <v>142</v>
      </c>
      <c r="K333" s="38">
        <v>141.5</v>
      </c>
      <c r="L333" s="38">
        <v>222</v>
      </c>
      <c r="M333" s="40"/>
    </row>
    <row r="334" spans="1:27" ht="12.75" x14ac:dyDescent="0.2">
      <c r="A334" s="38">
        <v>68</v>
      </c>
      <c r="B334" s="41">
        <v>0.1</v>
      </c>
      <c r="C334" s="38">
        <f t="shared" si="60"/>
        <v>6.8000000000000007</v>
      </c>
      <c r="D334" s="38" t="s">
        <v>167</v>
      </c>
      <c r="E334" s="40"/>
      <c r="F334" s="38">
        <v>73</v>
      </c>
      <c r="G334" s="41">
        <v>0.1</v>
      </c>
      <c r="H334" s="38">
        <f t="shared" si="61"/>
        <v>7.3000000000000007</v>
      </c>
      <c r="J334" s="38" t="s">
        <v>163</v>
      </c>
      <c r="K334" s="38">
        <v>77.7</v>
      </c>
      <c r="M334" s="40"/>
    </row>
    <row r="335" spans="1:27" ht="12.75" x14ac:dyDescent="0.2">
      <c r="A335" s="38">
        <v>24</v>
      </c>
      <c r="B335" s="41">
        <v>0.2</v>
      </c>
      <c r="C335" s="38">
        <f t="shared" si="60"/>
        <v>4.8000000000000007</v>
      </c>
      <c r="D335" s="38">
        <v>14</v>
      </c>
      <c r="E335" s="40"/>
      <c r="F335" s="38">
        <v>17</v>
      </c>
      <c r="G335" s="41">
        <v>0.2</v>
      </c>
      <c r="H335" s="38">
        <f t="shared" si="61"/>
        <v>3.4000000000000004</v>
      </c>
      <c r="J335" s="38" t="s">
        <v>146</v>
      </c>
      <c r="K335" s="50"/>
      <c r="M335" s="40"/>
    </row>
    <row r="336" spans="1:27" ht="12.75" x14ac:dyDescent="0.2">
      <c r="A336" s="38">
        <v>22</v>
      </c>
      <c r="B336" s="41">
        <v>0.5</v>
      </c>
      <c r="C336" s="38">
        <f t="shared" si="60"/>
        <v>11</v>
      </c>
      <c r="D336" s="38" t="s">
        <v>167</v>
      </c>
      <c r="E336" s="40"/>
      <c r="F336" s="38">
        <v>29</v>
      </c>
      <c r="G336" s="41">
        <v>0.5</v>
      </c>
      <c r="H336" s="38">
        <f t="shared" si="61"/>
        <v>14.5</v>
      </c>
      <c r="J336" s="38" t="s">
        <v>144</v>
      </c>
      <c r="M336" s="40"/>
    </row>
    <row r="337" spans="1:27" ht="12.75" x14ac:dyDescent="0.2">
      <c r="A337" s="38">
        <v>18</v>
      </c>
      <c r="B337" s="41">
        <v>1</v>
      </c>
      <c r="C337" s="38">
        <f t="shared" si="60"/>
        <v>18</v>
      </c>
      <c r="D337" s="38" t="s">
        <v>167</v>
      </c>
      <c r="E337" s="40"/>
      <c r="F337" s="38">
        <v>10</v>
      </c>
      <c r="G337" s="41">
        <v>1</v>
      </c>
      <c r="H337" s="38">
        <f t="shared" si="61"/>
        <v>10</v>
      </c>
      <c r="J337" s="42"/>
      <c r="M337" s="40"/>
    </row>
    <row r="338" spans="1:27" ht="12.75" x14ac:dyDescent="0.2">
      <c r="A338" s="38">
        <v>10</v>
      </c>
      <c r="B338" s="41">
        <v>2</v>
      </c>
      <c r="C338" s="38">
        <f t="shared" si="60"/>
        <v>20</v>
      </c>
      <c r="E338" s="40"/>
      <c r="F338" s="38">
        <v>13</v>
      </c>
      <c r="G338" s="41">
        <v>2</v>
      </c>
      <c r="H338" s="38">
        <f t="shared" si="61"/>
        <v>26</v>
      </c>
      <c r="J338" s="38" t="s">
        <v>149</v>
      </c>
      <c r="K338" s="38">
        <f>SUM(K333,K334)*0.3</f>
        <v>65.759999999999991</v>
      </c>
      <c r="L338" s="38">
        <f>SUM(L333,L334)*0.2</f>
        <v>44.400000000000006</v>
      </c>
      <c r="M338" s="40"/>
    </row>
    <row r="339" spans="1:27" ht="12.75" x14ac:dyDescent="0.2">
      <c r="A339" s="38">
        <v>4</v>
      </c>
      <c r="B339" s="41">
        <v>5</v>
      </c>
      <c r="C339" s="38">
        <f t="shared" si="60"/>
        <v>20</v>
      </c>
      <c r="E339" s="40"/>
      <c r="F339" s="38">
        <v>13</v>
      </c>
      <c r="G339" s="41">
        <v>5</v>
      </c>
      <c r="H339" s="38">
        <f t="shared" si="61"/>
        <v>65</v>
      </c>
      <c r="J339" s="38" t="s">
        <v>161</v>
      </c>
      <c r="K339" s="38">
        <f t="shared" ref="K339:L339" si="62">K333-K338</f>
        <v>75.740000000000009</v>
      </c>
      <c r="L339" s="38">
        <f t="shared" si="62"/>
        <v>177.6</v>
      </c>
      <c r="M339" s="40"/>
    </row>
    <row r="340" spans="1:27" ht="12.75" x14ac:dyDescent="0.2">
      <c r="A340" s="38">
        <v>2</v>
      </c>
      <c r="B340" s="41">
        <v>10</v>
      </c>
      <c r="C340" s="38">
        <f t="shared" si="60"/>
        <v>20</v>
      </c>
      <c r="E340" s="40"/>
      <c r="F340" s="38">
        <v>8</v>
      </c>
      <c r="G340" s="41">
        <v>10</v>
      </c>
      <c r="H340" s="38">
        <f t="shared" si="61"/>
        <v>80</v>
      </c>
      <c r="J340" s="38" t="s">
        <v>185</v>
      </c>
      <c r="K340" s="38">
        <v>-50</v>
      </c>
      <c r="M340" s="40"/>
    </row>
    <row r="341" spans="1:27" ht="12.75" x14ac:dyDescent="0.2">
      <c r="B341" s="41"/>
      <c r="E341" s="40"/>
      <c r="F341" s="38">
        <v>8</v>
      </c>
      <c r="G341" s="41">
        <v>20</v>
      </c>
      <c r="H341" s="38">
        <f t="shared" si="61"/>
        <v>160</v>
      </c>
      <c r="M341" s="40"/>
    </row>
    <row r="342" spans="1:27" ht="12.75" x14ac:dyDescent="0.2">
      <c r="B342" s="38" t="s">
        <v>156</v>
      </c>
      <c r="E342" s="40"/>
      <c r="F342" s="38">
        <v>2</v>
      </c>
      <c r="G342" s="41">
        <v>50</v>
      </c>
      <c r="H342" s="38">
        <f t="shared" si="61"/>
        <v>100</v>
      </c>
      <c r="M342" s="40"/>
    </row>
    <row r="343" spans="1:27" ht="12.75" x14ac:dyDescent="0.2">
      <c r="B343" s="38" t="s">
        <v>141</v>
      </c>
      <c r="C343" s="38">
        <f>SUM(C333:C342)</f>
        <v>103.85</v>
      </c>
      <c r="E343" s="40"/>
      <c r="G343" s="38" t="s">
        <v>137</v>
      </c>
      <c r="H343" s="38">
        <f>SUM(H333:H342)</f>
        <v>468</v>
      </c>
      <c r="M343" s="40"/>
    </row>
    <row r="344" spans="1:27" ht="12.75" x14ac:dyDescent="0.2">
      <c r="E344" s="40"/>
      <c r="G344" s="38" t="s">
        <v>158</v>
      </c>
      <c r="H344" s="38">
        <f>H343-C343</f>
        <v>364.15</v>
      </c>
      <c r="M344" s="40"/>
    </row>
    <row r="345" spans="1:27" ht="12.75" x14ac:dyDescent="0.2">
      <c r="E345" s="40"/>
      <c r="G345" s="38" t="s">
        <v>142</v>
      </c>
      <c r="H345" s="38">
        <v>141.5</v>
      </c>
      <c r="M345" s="40"/>
    </row>
    <row r="346" spans="1:27" ht="12.75" x14ac:dyDescent="0.2">
      <c r="E346" s="40"/>
      <c r="G346" s="38" t="s">
        <v>163</v>
      </c>
      <c r="H346" s="38">
        <v>77.7</v>
      </c>
      <c r="I346" s="38">
        <f>15.8+61.9</f>
        <v>77.7</v>
      </c>
      <c r="M346" s="40"/>
    </row>
    <row r="347" spans="1:27" ht="12.75" x14ac:dyDescent="0.2">
      <c r="E347" s="40"/>
      <c r="G347" s="38" t="s">
        <v>160</v>
      </c>
      <c r="H347" s="38">
        <f>H344-H345</f>
        <v>222.64999999999998</v>
      </c>
      <c r="M347" s="40"/>
    </row>
    <row r="348" spans="1:27" ht="12.75" x14ac:dyDescent="0.2">
      <c r="A348" s="43"/>
      <c r="B348" s="43"/>
      <c r="C348" s="43"/>
      <c r="D348" s="43"/>
      <c r="E348" s="40"/>
      <c r="F348" s="43"/>
      <c r="G348" s="43"/>
      <c r="H348" s="43"/>
      <c r="I348" s="43"/>
      <c r="J348" s="43"/>
      <c r="K348" s="43"/>
      <c r="L348" s="43"/>
      <c r="M348" s="48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</row>
    <row r="349" spans="1:27" ht="12.75" x14ac:dyDescent="0.2">
      <c r="A349" s="38" t="s">
        <v>135</v>
      </c>
      <c r="B349" s="39">
        <v>45555</v>
      </c>
      <c r="E349" s="40"/>
      <c r="F349" s="38" t="s">
        <v>136</v>
      </c>
      <c r="G349" s="39">
        <v>45555</v>
      </c>
      <c r="M349" s="40"/>
    </row>
    <row r="350" spans="1:27" ht="12.75" x14ac:dyDescent="0.2">
      <c r="A350" s="38" t="s">
        <v>139</v>
      </c>
      <c r="B350" s="38" t="s">
        <v>140</v>
      </c>
      <c r="C350" s="38" t="s">
        <v>141</v>
      </c>
      <c r="E350" s="40"/>
      <c r="F350" s="38" t="s">
        <v>139</v>
      </c>
      <c r="G350" s="38" t="s">
        <v>140</v>
      </c>
      <c r="H350" s="38" t="s">
        <v>141</v>
      </c>
      <c r="J350" s="38" t="s">
        <v>137</v>
      </c>
      <c r="M350" s="40"/>
    </row>
    <row r="351" spans="1:27" ht="12.75" x14ac:dyDescent="0.2">
      <c r="A351" s="38">
        <v>36</v>
      </c>
      <c r="B351" s="41">
        <v>0.05</v>
      </c>
      <c r="C351" s="38">
        <f t="shared" ref="C351:C358" si="63">A351*B351</f>
        <v>1.8</v>
      </c>
      <c r="E351" s="40"/>
      <c r="F351" s="38">
        <v>38</v>
      </c>
      <c r="G351" s="38">
        <v>0.05</v>
      </c>
      <c r="H351" s="38">
        <f t="shared" ref="H351:H360" si="64">F351*G351</f>
        <v>1.9000000000000001</v>
      </c>
      <c r="J351" s="38" t="s">
        <v>142</v>
      </c>
      <c r="K351" s="38">
        <v>226</v>
      </c>
      <c r="L351" s="38">
        <v>222</v>
      </c>
      <c r="M351" s="40"/>
    </row>
    <row r="352" spans="1:27" ht="12.75" x14ac:dyDescent="0.2">
      <c r="A352" s="38">
        <v>73</v>
      </c>
      <c r="B352" s="41">
        <v>0.1</v>
      </c>
      <c r="C352" s="38">
        <f t="shared" si="63"/>
        <v>7.3000000000000007</v>
      </c>
      <c r="E352" s="40"/>
      <c r="F352" s="38">
        <v>22</v>
      </c>
      <c r="G352" s="41">
        <v>0.1</v>
      </c>
      <c r="H352" s="38">
        <f t="shared" si="64"/>
        <v>2.2000000000000002</v>
      </c>
      <c r="J352" s="38" t="s">
        <v>163</v>
      </c>
      <c r="K352" s="38">
        <v>37</v>
      </c>
      <c r="M352" s="40"/>
    </row>
    <row r="353" spans="1:27" ht="12.75" x14ac:dyDescent="0.2">
      <c r="A353" s="38">
        <v>17</v>
      </c>
      <c r="B353" s="41">
        <v>0.2</v>
      </c>
      <c r="C353" s="38">
        <f t="shared" si="63"/>
        <v>3.4000000000000004</v>
      </c>
      <c r="E353" s="40"/>
      <c r="F353" s="38">
        <v>3</v>
      </c>
      <c r="G353" s="41">
        <v>0.2</v>
      </c>
      <c r="H353" s="38">
        <f t="shared" si="64"/>
        <v>0.60000000000000009</v>
      </c>
      <c r="J353" s="38" t="s">
        <v>146</v>
      </c>
      <c r="K353" s="50"/>
      <c r="M353" s="40"/>
    </row>
    <row r="354" spans="1:27" ht="12.75" x14ac:dyDescent="0.2">
      <c r="A354" s="38">
        <v>29</v>
      </c>
      <c r="B354" s="41">
        <v>0.5</v>
      </c>
      <c r="C354" s="38">
        <f t="shared" si="63"/>
        <v>14.5</v>
      </c>
      <c r="E354" s="40"/>
      <c r="F354" s="38">
        <v>13</v>
      </c>
      <c r="G354" s="41">
        <v>0.5</v>
      </c>
      <c r="H354" s="38">
        <f t="shared" si="64"/>
        <v>6.5</v>
      </c>
      <c r="J354" s="38" t="s">
        <v>144</v>
      </c>
      <c r="M354" s="40"/>
    </row>
    <row r="355" spans="1:27" ht="12.75" x14ac:dyDescent="0.2">
      <c r="A355" s="38">
        <v>10</v>
      </c>
      <c r="B355" s="41">
        <v>1</v>
      </c>
      <c r="C355" s="38">
        <f t="shared" si="63"/>
        <v>10</v>
      </c>
      <c r="E355" s="40"/>
      <c r="F355" s="38">
        <v>13</v>
      </c>
      <c r="G355" s="41">
        <v>1</v>
      </c>
      <c r="H355" s="38">
        <f t="shared" si="64"/>
        <v>13</v>
      </c>
      <c r="J355" s="42"/>
      <c r="M355" s="40"/>
    </row>
    <row r="356" spans="1:27" ht="12.75" x14ac:dyDescent="0.2">
      <c r="A356" s="38">
        <v>13</v>
      </c>
      <c r="B356" s="41">
        <v>2</v>
      </c>
      <c r="C356" s="38">
        <f t="shared" si="63"/>
        <v>26</v>
      </c>
      <c r="E356" s="40"/>
      <c r="F356" s="38">
        <v>14</v>
      </c>
      <c r="G356" s="41">
        <v>2</v>
      </c>
      <c r="H356" s="38">
        <f t="shared" si="64"/>
        <v>28</v>
      </c>
      <c r="J356" s="38" t="s">
        <v>149</v>
      </c>
      <c r="K356" s="38">
        <f>SUM(K351,K352)*0.3</f>
        <v>78.899999999999991</v>
      </c>
      <c r="L356" s="38">
        <f>SUM(L351,L352)*0.2</f>
        <v>44.400000000000006</v>
      </c>
      <c r="M356" s="40"/>
    </row>
    <row r="357" spans="1:27" ht="12.75" x14ac:dyDescent="0.2">
      <c r="A357" s="38">
        <v>4</v>
      </c>
      <c r="B357" s="41">
        <v>5</v>
      </c>
      <c r="C357" s="38">
        <f t="shared" si="63"/>
        <v>20</v>
      </c>
      <c r="E357" s="40"/>
      <c r="F357" s="38">
        <v>16</v>
      </c>
      <c r="G357" s="41">
        <v>5</v>
      </c>
      <c r="H357" s="38">
        <f t="shared" si="64"/>
        <v>80</v>
      </c>
      <c r="J357" s="38" t="s">
        <v>161</v>
      </c>
      <c r="K357" s="38">
        <f t="shared" ref="K357:L357" si="65">K351-K356</f>
        <v>147.10000000000002</v>
      </c>
      <c r="L357" s="38">
        <f t="shared" si="65"/>
        <v>177.6</v>
      </c>
      <c r="M357" s="40"/>
    </row>
    <row r="358" spans="1:27" ht="12.75" x14ac:dyDescent="0.2">
      <c r="A358" s="38">
        <v>2</v>
      </c>
      <c r="B358" s="41">
        <v>10</v>
      </c>
      <c r="C358" s="38">
        <f t="shared" si="63"/>
        <v>20</v>
      </c>
      <c r="E358" s="40"/>
      <c r="F358" s="38">
        <v>3</v>
      </c>
      <c r="G358" s="41">
        <v>10</v>
      </c>
      <c r="H358" s="38">
        <f t="shared" si="64"/>
        <v>30</v>
      </c>
      <c r="M358" s="40"/>
    </row>
    <row r="359" spans="1:27" ht="12.75" x14ac:dyDescent="0.2">
      <c r="B359" s="41"/>
      <c r="E359" s="40"/>
      <c r="F359" s="38">
        <v>7</v>
      </c>
      <c r="G359" s="41">
        <v>20</v>
      </c>
      <c r="H359" s="38">
        <f t="shared" si="64"/>
        <v>140</v>
      </c>
      <c r="M359" s="40"/>
    </row>
    <row r="360" spans="1:27" ht="12.75" x14ac:dyDescent="0.2">
      <c r="B360" s="38" t="s">
        <v>156</v>
      </c>
      <c r="E360" s="40"/>
      <c r="F360" s="38">
        <v>5</v>
      </c>
      <c r="G360" s="41">
        <v>50</v>
      </c>
      <c r="H360" s="38">
        <f t="shared" si="64"/>
        <v>250</v>
      </c>
      <c r="M360" s="40"/>
    </row>
    <row r="361" spans="1:27" ht="12.75" x14ac:dyDescent="0.2">
      <c r="B361" s="38" t="s">
        <v>141</v>
      </c>
      <c r="C361" s="38">
        <f>SUM(C351:C360)</f>
        <v>103</v>
      </c>
      <c r="E361" s="40"/>
      <c r="G361" s="38" t="s">
        <v>137</v>
      </c>
      <c r="H361" s="38">
        <f>SUM(H351:H360)</f>
        <v>552.20000000000005</v>
      </c>
      <c r="M361" s="40"/>
    </row>
    <row r="362" spans="1:27" ht="12.75" x14ac:dyDescent="0.2">
      <c r="E362" s="40"/>
      <c r="G362" s="38" t="s">
        <v>158</v>
      </c>
      <c r="H362" s="38">
        <f>H361-C361</f>
        <v>449.20000000000005</v>
      </c>
      <c r="M362" s="40"/>
    </row>
    <row r="363" spans="1:27" ht="12.75" x14ac:dyDescent="0.2">
      <c r="E363" s="40"/>
      <c r="G363" s="38" t="s">
        <v>142</v>
      </c>
      <c r="H363" s="38">
        <v>226.4</v>
      </c>
      <c r="M363" s="40"/>
    </row>
    <row r="364" spans="1:27" ht="12.75" x14ac:dyDescent="0.2">
      <c r="E364" s="40"/>
      <c r="G364" s="38" t="s">
        <v>163</v>
      </c>
      <c r="H364" s="38">
        <v>37.9</v>
      </c>
      <c r="M364" s="40"/>
    </row>
    <row r="365" spans="1:27" ht="12.75" x14ac:dyDescent="0.2">
      <c r="E365" s="40"/>
      <c r="G365" s="38" t="s">
        <v>160</v>
      </c>
      <c r="H365" s="38">
        <f>H362-H363</f>
        <v>222.80000000000004</v>
      </c>
      <c r="M365" s="40"/>
    </row>
    <row r="366" spans="1:27" ht="12.75" x14ac:dyDescent="0.2">
      <c r="A366" s="43"/>
      <c r="B366" s="43"/>
      <c r="C366" s="43"/>
      <c r="D366" s="43"/>
      <c r="E366" s="40"/>
      <c r="F366" s="43"/>
      <c r="G366" s="43"/>
      <c r="H366" s="43"/>
      <c r="I366" s="43"/>
      <c r="J366" s="43"/>
      <c r="K366" s="43"/>
      <c r="L366" s="43"/>
      <c r="M366" s="48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</row>
    <row r="367" spans="1:27" ht="12.75" x14ac:dyDescent="0.2">
      <c r="A367" s="38" t="s">
        <v>135</v>
      </c>
      <c r="B367" s="39">
        <v>45556</v>
      </c>
      <c r="E367" s="40"/>
      <c r="F367" s="38" t="s">
        <v>136</v>
      </c>
      <c r="G367" s="39">
        <v>45556</v>
      </c>
      <c r="M367" s="40"/>
      <c r="N367" s="38" t="s">
        <v>186</v>
      </c>
      <c r="O367" s="38">
        <v>-3</v>
      </c>
    </row>
    <row r="368" spans="1:27" ht="12.75" x14ac:dyDescent="0.2">
      <c r="A368" s="38" t="s">
        <v>139</v>
      </c>
      <c r="B368" s="38" t="s">
        <v>140</v>
      </c>
      <c r="C368" s="38" t="s">
        <v>141</v>
      </c>
      <c r="E368" s="40"/>
      <c r="F368" s="38" t="s">
        <v>139</v>
      </c>
      <c r="G368" s="38" t="s">
        <v>140</v>
      </c>
      <c r="H368" s="38" t="s">
        <v>141</v>
      </c>
      <c r="J368" s="38" t="s">
        <v>137</v>
      </c>
      <c r="M368" s="40"/>
    </row>
    <row r="369" spans="1:27" ht="12.75" x14ac:dyDescent="0.2">
      <c r="A369" s="38">
        <v>38</v>
      </c>
      <c r="B369" s="41">
        <v>0.05</v>
      </c>
      <c r="C369" s="38">
        <f t="shared" ref="C369:C376" si="66">A369*B369</f>
        <v>1.9000000000000001</v>
      </c>
      <c r="E369" s="40"/>
      <c r="F369" s="38">
        <v>39</v>
      </c>
      <c r="G369" s="38">
        <v>0.05</v>
      </c>
      <c r="H369" s="38">
        <f t="shared" ref="H369:H378" si="67">F369*G369</f>
        <v>1.9500000000000002</v>
      </c>
      <c r="J369" s="38" t="s">
        <v>142</v>
      </c>
      <c r="K369" s="38">
        <v>121.1</v>
      </c>
      <c r="L369" s="38">
        <v>174</v>
      </c>
      <c r="M369" s="40"/>
    </row>
    <row r="370" spans="1:27" ht="12.75" x14ac:dyDescent="0.2">
      <c r="A370" s="38">
        <v>22</v>
      </c>
      <c r="B370" s="41">
        <v>0.1</v>
      </c>
      <c r="C370" s="38">
        <f t="shared" si="66"/>
        <v>2.2000000000000002</v>
      </c>
      <c r="E370" s="40"/>
      <c r="F370" s="38">
        <v>25</v>
      </c>
      <c r="G370" s="41">
        <v>0.1</v>
      </c>
      <c r="H370" s="38">
        <f t="shared" si="67"/>
        <v>2.5</v>
      </c>
      <c r="J370" s="38" t="s">
        <v>163</v>
      </c>
      <c r="K370" s="38">
        <v>36.200000000000003</v>
      </c>
      <c r="M370" s="40"/>
    </row>
    <row r="371" spans="1:27" ht="12.75" x14ac:dyDescent="0.2">
      <c r="A371" s="38">
        <v>28</v>
      </c>
      <c r="B371" s="41">
        <v>0.2</v>
      </c>
      <c r="C371" s="38">
        <f t="shared" si="66"/>
        <v>5.6000000000000005</v>
      </c>
      <c r="E371" s="40"/>
      <c r="F371" s="38">
        <v>28</v>
      </c>
      <c r="G371" s="41">
        <v>0.2</v>
      </c>
      <c r="H371" s="38">
        <f t="shared" si="67"/>
        <v>5.6000000000000005</v>
      </c>
      <c r="J371" s="38" t="s">
        <v>146</v>
      </c>
      <c r="K371" s="50"/>
      <c r="M371" s="40"/>
    </row>
    <row r="372" spans="1:27" ht="12.75" x14ac:dyDescent="0.2">
      <c r="A372" s="38">
        <v>20</v>
      </c>
      <c r="B372" s="41">
        <v>0.5</v>
      </c>
      <c r="C372" s="38">
        <f t="shared" si="66"/>
        <v>10</v>
      </c>
      <c r="E372" s="40"/>
      <c r="F372" s="38">
        <v>21</v>
      </c>
      <c r="G372" s="41">
        <v>0.5</v>
      </c>
      <c r="H372" s="38">
        <f t="shared" si="67"/>
        <v>10.5</v>
      </c>
      <c r="J372" s="38" t="s">
        <v>144</v>
      </c>
      <c r="M372" s="40"/>
    </row>
    <row r="373" spans="1:27" ht="12.75" x14ac:dyDescent="0.2">
      <c r="A373" s="38">
        <v>16</v>
      </c>
      <c r="B373" s="41">
        <v>1</v>
      </c>
      <c r="C373" s="38">
        <f t="shared" si="66"/>
        <v>16</v>
      </c>
      <c r="E373" s="40"/>
      <c r="F373" s="38">
        <v>24</v>
      </c>
      <c r="G373" s="41">
        <v>1</v>
      </c>
      <c r="H373" s="38">
        <f t="shared" si="67"/>
        <v>24</v>
      </c>
      <c r="J373" s="42"/>
      <c r="M373" s="40"/>
    </row>
    <row r="374" spans="1:27" ht="12.75" x14ac:dyDescent="0.2">
      <c r="A374" s="38">
        <v>14</v>
      </c>
      <c r="B374" s="41">
        <v>2</v>
      </c>
      <c r="C374" s="38">
        <f t="shared" si="66"/>
        <v>28</v>
      </c>
      <c r="E374" s="40"/>
      <c r="F374" s="38">
        <v>10</v>
      </c>
      <c r="G374" s="41">
        <v>2</v>
      </c>
      <c r="H374" s="38">
        <f t="shared" si="67"/>
        <v>20</v>
      </c>
      <c r="J374" s="38" t="s">
        <v>149</v>
      </c>
      <c r="K374" s="38">
        <v>50</v>
      </c>
      <c r="L374" s="38">
        <v>35</v>
      </c>
      <c r="M374" s="40"/>
    </row>
    <row r="375" spans="1:27" ht="12.75" x14ac:dyDescent="0.2">
      <c r="A375" s="38">
        <v>4</v>
      </c>
      <c r="B375" s="41">
        <v>5</v>
      </c>
      <c r="C375" s="38">
        <f t="shared" si="66"/>
        <v>20</v>
      </c>
      <c r="E375" s="40"/>
      <c r="F375" s="38">
        <v>7</v>
      </c>
      <c r="G375" s="41">
        <v>5</v>
      </c>
      <c r="H375" s="38">
        <f t="shared" si="67"/>
        <v>35</v>
      </c>
      <c r="J375" s="38" t="s">
        <v>161</v>
      </c>
      <c r="K375" s="38">
        <f>K369-K374</f>
        <v>71.099999999999994</v>
      </c>
      <c r="L375" s="38">
        <v>136</v>
      </c>
      <c r="M375" s="40"/>
    </row>
    <row r="376" spans="1:27" ht="12.75" x14ac:dyDescent="0.2">
      <c r="A376" s="38">
        <v>2</v>
      </c>
      <c r="B376" s="41">
        <v>10</v>
      </c>
      <c r="C376" s="38">
        <f t="shared" si="66"/>
        <v>20</v>
      </c>
      <c r="E376" s="40"/>
      <c r="F376" s="38">
        <v>7</v>
      </c>
      <c r="G376" s="41">
        <v>10</v>
      </c>
      <c r="H376" s="38">
        <f t="shared" si="67"/>
        <v>70</v>
      </c>
      <c r="M376" s="40"/>
    </row>
    <row r="377" spans="1:27" ht="12.75" x14ac:dyDescent="0.2">
      <c r="B377" s="41"/>
      <c r="E377" s="40"/>
      <c r="F377" s="38">
        <v>2</v>
      </c>
      <c r="G377" s="41">
        <v>20</v>
      </c>
      <c r="H377" s="38">
        <f t="shared" si="67"/>
        <v>40</v>
      </c>
      <c r="M377" s="40"/>
    </row>
    <row r="378" spans="1:27" ht="12.75" x14ac:dyDescent="0.2">
      <c r="B378" s="38" t="s">
        <v>156</v>
      </c>
      <c r="E378" s="40"/>
      <c r="F378" s="38">
        <v>4</v>
      </c>
      <c r="G378" s="41">
        <v>50</v>
      </c>
      <c r="H378" s="38">
        <f t="shared" si="67"/>
        <v>200</v>
      </c>
      <c r="M378" s="40"/>
    </row>
    <row r="379" spans="1:27" ht="12.75" x14ac:dyDescent="0.2">
      <c r="B379" s="38" t="s">
        <v>141</v>
      </c>
      <c r="C379" s="38">
        <f>SUM(C369:C378)</f>
        <v>103.7</v>
      </c>
      <c r="E379" s="40"/>
      <c r="G379" s="38" t="s">
        <v>137</v>
      </c>
      <c r="H379" s="38">
        <f>SUM(H369:H378)</f>
        <v>409.55</v>
      </c>
      <c r="M379" s="40"/>
    </row>
    <row r="380" spans="1:27" ht="12.75" x14ac:dyDescent="0.2">
      <c r="E380" s="40"/>
      <c r="G380" s="38" t="s">
        <v>158</v>
      </c>
      <c r="H380" s="38">
        <f>H379-C379</f>
        <v>305.85000000000002</v>
      </c>
      <c r="M380" s="40"/>
    </row>
    <row r="381" spans="1:27" ht="12.75" x14ac:dyDescent="0.2">
      <c r="E381" s="40"/>
      <c r="G381" s="38" t="s">
        <v>142</v>
      </c>
      <c r="H381" s="38">
        <v>121.1</v>
      </c>
      <c r="M381" s="40"/>
    </row>
    <row r="382" spans="1:27" ht="12.75" x14ac:dyDescent="0.2">
      <c r="E382" s="40"/>
      <c r="G382" s="38" t="s">
        <v>163</v>
      </c>
      <c r="H382" s="38">
        <v>36.200000000000003</v>
      </c>
      <c r="I382" s="38">
        <v>2.2999999999999998</v>
      </c>
      <c r="M382" s="40"/>
    </row>
    <row r="383" spans="1:27" ht="12.75" x14ac:dyDescent="0.2">
      <c r="E383" s="40"/>
      <c r="G383" s="38" t="s">
        <v>160</v>
      </c>
      <c r="H383" s="38">
        <f>H380-H381</f>
        <v>184.75000000000003</v>
      </c>
      <c r="M383" s="40"/>
    </row>
    <row r="384" spans="1:27" ht="12.75" x14ac:dyDescent="0.2">
      <c r="A384" s="43"/>
      <c r="B384" s="43"/>
      <c r="C384" s="43"/>
      <c r="D384" s="43"/>
      <c r="E384" s="40"/>
      <c r="F384" s="43"/>
      <c r="G384" s="43"/>
      <c r="H384" s="43"/>
      <c r="I384" s="43"/>
      <c r="J384" s="43"/>
      <c r="K384" s="43"/>
      <c r="L384" s="43"/>
      <c r="M384" s="48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</row>
    <row r="385" spans="1:13" ht="12.75" x14ac:dyDescent="0.2">
      <c r="A385" s="38" t="s">
        <v>135</v>
      </c>
      <c r="B385" s="39">
        <v>45557</v>
      </c>
      <c r="E385" s="40"/>
      <c r="F385" s="38" t="s">
        <v>136</v>
      </c>
      <c r="G385" s="39">
        <v>45557</v>
      </c>
      <c r="M385" s="40"/>
    </row>
    <row r="386" spans="1:13" ht="12.75" x14ac:dyDescent="0.2">
      <c r="A386" s="38" t="s">
        <v>139</v>
      </c>
      <c r="B386" s="38" t="s">
        <v>140</v>
      </c>
      <c r="C386" s="38" t="s">
        <v>141</v>
      </c>
      <c r="E386" s="40"/>
      <c r="F386" s="38" t="s">
        <v>139</v>
      </c>
      <c r="G386" s="38" t="s">
        <v>140</v>
      </c>
      <c r="H386" s="38" t="s">
        <v>141</v>
      </c>
      <c r="J386" s="38" t="s">
        <v>137</v>
      </c>
      <c r="M386" s="40"/>
    </row>
    <row r="387" spans="1:13" ht="12.75" x14ac:dyDescent="0.2">
      <c r="A387" s="38">
        <v>39</v>
      </c>
      <c r="B387" s="41">
        <v>0.05</v>
      </c>
      <c r="C387" s="38">
        <f t="shared" ref="C387:C394" si="68">A387*B387</f>
        <v>1.9500000000000002</v>
      </c>
      <c r="E387" s="40"/>
      <c r="F387" s="38">
        <v>39</v>
      </c>
      <c r="G387" s="38">
        <v>0.05</v>
      </c>
      <c r="H387" s="38">
        <f t="shared" ref="H387:H396" si="69">F387*G387</f>
        <v>1.9500000000000002</v>
      </c>
      <c r="J387" s="38" t="s">
        <v>142</v>
      </c>
      <c r="K387" s="38">
        <v>59</v>
      </c>
      <c r="M387" s="40"/>
    </row>
    <row r="388" spans="1:13" ht="12.75" x14ac:dyDescent="0.2">
      <c r="A388" s="38">
        <v>25</v>
      </c>
      <c r="B388" s="41">
        <v>0.1</v>
      </c>
      <c r="C388" s="38">
        <f t="shared" si="68"/>
        <v>2.5</v>
      </c>
      <c r="E388" s="40"/>
      <c r="F388" s="38">
        <v>29</v>
      </c>
      <c r="G388" s="41">
        <v>0.1</v>
      </c>
      <c r="H388" s="38">
        <f t="shared" si="69"/>
        <v>2.9000000000000004</v>
      </c>
      <c r="J388" s="38" t="s">
        <v>163</v>
      </c>
      <c r="K388" s="38">
        <v>17.600000000000001</v>
      </c>
      <c r="M388" s="40"/>
    </row>
    <row r="389" spans="1:13" ht="12.75" x14ac:dyDescent="0.2">
      <c r="A389" s="38">
        <v>28</v>
      </c>
      <c r="B389" s="41">
        <v>0.2</v>
      </c>
      <c r="C389" s="38">
        <f t="shared" si="68"/>
        <v>5.6000000000000005</v>
      </c>
      <c r="E389" s="40"/>
      <c r="F389" s="38">
        <v>21</v>
      </c>
      <c r="G389" s="41">
        <v>0.2</v>
      </c>
      <c r="H389" s="38">
        <f t="shared" si="69"/>
        <v>4.2</v>
      </c>
      <c r="J389" s="38" t="s">
        <v>146</v>
      </c>
      <c r="K389" s="50"/>
      <c r="M389" s="40"/>
    </row>
    <row r="390" spans="1:13" ht="12.75" x14ac:dyDescent="0.2">
      <c r="A390" s="38">
        <v>21</v>
      </c>
      <c r="B390" s="41">
        <v>0.5</v>
      </c>
      <c r="C390" s="38">
        <f t="shared" si="68"/>
        <v>10.5</v>
      </c>
      <c r="E390" s="40"/>
      <c r="F390" s="38">
        <v>12</v>
      </c>
      <c r="G390" s="41">
        <v>0.5</v>
      </c>
      <c r="H390" s="38">
        <f t="shared" si="69"/>
        <v>6</v>
      </c>
      <c r="J390" s="38" t="s">
        <v>144</v>
      </c>
      <c r="M390" s="40"/>
    </row>
    <row r="391" spans="1:13" ht="12.75" x14ac:dyDescent="0.2">
      <c r="A391" s="38">
        <v>24</v>
      </c>
      <c r="B391" s="41">
        <v>1</v>
      </c>
      <c r="C391" s="38">
        <f t="shared" si="68"/>
        <v>24</v>
      </c>
      <c r="E391" s="40"/>
      <c r="F391" s="38">
        <v>22</v>
      </c>
      <c r="G391" s="41">
        <v>1</v>
      </c>
      <c r="H391" s="38">
        <f t="shared" si="69"/>
        <v>22</v>
      </c>
      <c r="J391" s="42"/>
      <c r="M391" s="40"/>
    </row>
    <row r="392" spans="1:13" ht="12.75" x14ac:dyDescent="0.2">
      <c r="A392" s="38">
        <v>10</v>
      </c>
      <c r="B392" s="41">
        <v>2</v>
      </c>
      <c r="C392" s="38">
        <f t="shared" si="68"/>
        <v>20</v>
      </c>
      <c r="E392" s="40"/>
      <c r="F392" s="38">
        <v>7</v>
      </c>
      <c r="G392" s="41">
        <v>2</v>
      </c>
      <c r="H392" s="38">
        <f t="shared" si="69"/>
        <v>14</v>
      </c>
      <c r="J392" s="38" t="s">
        <v>149</v>
      </c>
      <c r="K392" s="38">
        <f>SUM(K387,K388)*0.3</f>
        <v>22.979999999999997</v>
      </c>
      <c r="L392" s="38">
        <f>SUM(L387,L388)*0.2</f>
        <v>0</v>
      </c>
      <c r="M392" s="40"/>
    </row>
    <row r="393" spans="1:13" ht="12.75" x14ac:dyDescent="0.2">
      <c r="A393" s="38">
        <v>4</v>
      </c>
      <c r="B393" s="41">
        <v>5</v>
      </c>
      <c r="C393" s="38">
        <f t="shared" si="68"/>
        <v>20</v>
      </c>
      <c r="E393" s="40"/>
      <c r="F393" s="38">
        <v>8</v>
      </c>
      <c r="G393" s="41">
        <v>5</v>
      </c>
      <c r="H393" s="38">
        <f t="shared" si="69"/>
        <v>40</v>
      </c>
      <c r="J393" s="38" t="s">
        <v>161</v>
      </c>
      <c r="K393" s="38">
        <f t="shared" ref="K393:L393" si="70">K387-K392</f>
        <v>36.020000000000003</v>
      </c>
      <c r="L393" s="38">
        <f t="shared" si="70"/>
        <v>0</v>
      </c>
      <c r="M393" s="40"/>
    </row>
    <row r="394" spans="1:13" ht="12.75" x14ac:dyDescent="0.2">
      <c r="A394" s="38">
        <v>2</v>
      </c>
      <c r="B394" s="41">
        <v>10</v>
      </c>
      <c r="C394" s="38">
        <f t="shared" si="68"/>
        <v>20</v>
      </c>
      <c r="E394" s="40"/>
      <c r="F394" s="38">
        <v>2</v>
      </c>
      <c r="G394" s="41">
        <v>10</v>
      </c>
      <c r="H394" s="38">
        <f t="shared" si="69"/>
        <v>20</v>
      </c>
      <c r="M394" s="40"/>
    </row>
    <row r="395" spans="1:13" ht="12.75" x14ac:dyDescent="0.2">
      <c r="B395" s="41"/>
      <c r="E395" s="40"/>
      <c r="F395" s="38">
        <v>1</v>
      </c>
      <c r="G395" s="41">
        <v>20</v>
      </c>
      <c r="H395" s="38">
        <f t="shared" si="69"/>
        <v>20</v>
      </c>
      <c r="M395" s="40"/>
    </row>
    <row r="396" spans="1:13" ht="12.75" x14ac:dyDescent="0.2">
      <c r="B396" s="38" t="s">
        <v>156</v>
      </c>
      <c r="E396" s="40"/>
      <c r="F396" s="38">
        <v>2</v>
      </c>
      <c r="G396" s="41">
        <v>50</v>
      </c>
      <c r="H396" s="38">
        <f t="shared" si="69"/>
        <v>100</v>
      </c>
      <c r="M396" s="40"/>
    </row>
    <row r="397" spans="1:13" ht="12.75" x14ac:dyDescent="0.2">
      <c r="B397" s="38" t="s">
        <v>141</v>
      </c>
      <c r="C397" s="38">
        <f>SUM(C387:C396)</f>
        <v>104.55</v>
      </c>
      <c r="E397" s="40"/>
      <c r="G397" s="38" t="s">
        <v>137</v>
      </c>
      <c r="H397" s="38">
        <f>SUM(H387:H396)</f>
        <v>231.05</v>
      </c>
      <c r="M397" s="40"/>
    </row>
    <row r="398" spans="1:13" ht="12.75" x14ac:dyDescent="0.2">
      <c r="E398" s="40"/>
      <c r="G398" s="38" t="s">
        <v>158</v>
      </c>
      <c r="H398" s="38">
        <f>H397-C397</f>
        <v>126.50000000000001</v>
      </c>
      <c r="M398" s="40"/>
    </row>
    <row r="399" spans="1:13" ht="12.75" x14ac:dyDescent="0.2">
      <c r="E399" s="40"/>
      <c r="G399" s="38" t="s">
        <v>142</v>
      </c>
      <c r="H399" s="38">
        <v>59</v>
      </c>
      <c r="M399" s="40"/>
    </row>
    <row r="400" spans="1:13" ht="12.75" x14ac:dyDescent="0.2">
      <c r="E400" s="40"/>
      <c r="G400" s="38" t="s">
        <v>163</v>
      </c>
      <c r="H400" s="38">
        <v>17.600000000000001</v>
      </c>
      <c r="M400" s="40"/>
    </row>
    <row r="401" spans="1:27" ht="12.75" x14ac:dyDescent="0.2">
      <c r="E401" s="40"/>
      <c r="G401" s="38" t="s">
        <v>160</v>
      </c>
      <c r="H401" s="38">
        <f>H398-H399</f>
        <v>67.500000000000014</v>
      </c>
      <c r="M401" s="40"/>
    </row>
    <row r="402" spans="1:27" ht="12.75" x14ac:dyDescent="0.2">
      <c r="A402" s="43"/>
      <c r="B402" s="43"/>
      <c r="C402" s="43"/>
      <c r="D402" s="43"/>
      <c r="E402" s="40"/>
      <c r="F402" s="43"/>
      <c r="G402" s="43"/>
      <c r="H402" s="43"/>
      <c r="I402" s="43"/>
      <c r="J402" s="43"/>
      <c r="K402" s="43"/>
      <c r="L402" s="43"/>
      <c r="M402" s="48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</row>
    <row r="403" spans="1:27" ht="12.75" x14ac:dyDescent="0.2">
      <c r="A403" s="38" t="s">
        <v>135</v>
      </c>
      <c r="B403" s="39">
        <v>45558</v>
      </c>
      <c r="E403" s="40"/>
      <c r="F403" s="38" t="s">
        <v>136</v>
      </c>
      <c r="G403" s="39">
        <v>45558</v>
      </c>
      <c r="M403" s="40"/>
    </row>
    <row r="404" spans="1:27" ht="12.75" x14ac:dyDescent="0.2">
      <c r="A404" s="38" t="s">
        <v>139</v>
      </c>
      <c r="B404" s="38" t="s">
        <v>140</v>
      </c>
      <c r="C404" s="38" t="s">
        <v>141</v>
      </c>
      <c r="E404" s="40"/>
      <c r="F404" s="38" t="s">
        <v>139</v>
      </c>
      <c r="G404" s="38" t="s">
        <v>140</v>
      </c>
      <c r="H404" s="38" t="s">
        <v>141</v>
      </c>
      <c r="J404" s="38" t="s">
        <v>137</v>
      </c>
      <c r="M404" s="40"/>
    </row>
    <row r="405" spans="1:27" ht="12.75" x14ac:dyDescent="0.2">
      <c r="A405" s="38">
        <v>39</v>
      </c>
      <c r="B405" s="41">
        <v>0.05</v>
      </c>
      <c r="C405" s="38">
        <f t="shared" ref="C405:C412" si="71">A405*B405</f>
        <v>1.9500000000000002</v>
      </c>
      <c r="E405" s="40"/>
      <c r="F405" s="38">
        <v>55</v>
      </c>
      <c r="G405" s="38">
        <v>0.05</v>
      </c>
      <c r="H405" s="38">
        <f t="shared" ref="H405:H414" si="72">F405*G405</f>
        <v>2.75</v>
      </c>
      <c r="J405" s="38" t="s">
        <v>142</v>
      </c>
      <c r="K405" s="38">
        <v>143.80000000000001</v>
      </c>
      <c r="L405" s="38">
        <v>130</v>
      </c>
      <c r="M405" s="40"/>
    </row>
    <row r="406" spans="1:27" ht="12.75" x14ac:dyDescent="0.2">
      <c r="A406" s="38">
        <v>30</v>
      </c>
      <c r="B406" s="41">
        <v>0.1</v>
      </c>
      <c r="C406" s="38">
        <f t="shared" si="71"/>
        <v>3</v>
      </c>
      <c r="D406" s="38" t="s">
        <v>167</v>
      </c>
      <c r="E406" s="40"/>
      <c r="F406" s="38">
        <v>34</v>
      </c>
      <c r="G406" s="41">
        <v>0.1</v>
      </c>
      <c r="H406" s="38">
        <f t="shared" si="72"/>
        <v>3.4000000000000004</v>
      </c>
      <c r="J406" s="38" t="s">
        <v>163</v>
      </c>
      <c r="K406" s="38">
        <v>55</v>
      </c>
      <c r="M406" s="40"/>
    </row>
    <row r="407" spans="1:27" ht="12.75" x14ac:dyDescent="0.2">
      <c r="A407" s="38">
        <v>33</v>
      </c>
      <c r="B407" s="41">
        <v>0.2</v>
      </c>
      <c r="C407" s="38">
        <f t="shared" si="71"/>
        <v>6.6000000000000005</v>
      </c>
      <c r="D407" s="38" t="s">
        <v>167</v>
      </c>
      <c r="E407" s="40"/>
      <c r="F407" s="38">
        <v>17</v>
      </c>
      <c r="G407" s="41">
        <v>0.2</v>
      </c>
      <c r="H407" s="38">
        <f t="shared" si="72"/>
        <v>3.4000000000000004</v>
      </c>
      <c r="J407" s="38" t="s">
        <v>146</v>
      </c>
      <c r="K407" s="50"/>
      <c r="M407" s="40"/>
    </row>
    <row r="408" spans="1:27" ht="12.75" x14ac:dyDescent="0.2">
      <c r="A408" s="38">
        <v>17</v>
      </c>
      <c r="B408" s="41">
        <v>0.5</v>
      </c>
      <c r="C408" s="38">
        <f t="shared" si="71"/>
        <v>8.5</v>
      </c>
      <c r="D408" s="38" t="s">
        <v>167</v>
      </c>
      <c r="E408" s="40"/>
      <c r="F408" s="38">
        <v>17</v>
      </c>
      <c r="G408" s="41">
        <v>0.5</v>
      </c>
      <c r="H408" s="38">
        <f t="shared" si="72"/>
        <v>8.5</v>
      </c>
      <c r="J408" s="38" t="s">
        <v>144</v>
      </c>
      <c r="M408" s="40"/>
    </row>
    <row r="409" spans="1:27" ht="12.75" x14ac:dyDescent="0.2">
      <c r="A409" s="38">
        <v>27</v>
      </c>
      <c r="B409" s="41">
        <v>1</v>
      </c>
      <c r="C409" s="38">
        <f t="shared" si="71"/>
        <v>27</v>
      </c>
      <c r="D409" s="38" t="s">
        <v>167</v>
      </c>
      <c r="E409" s="40"/>
      <c r="F409" s="38">
        <v>31</v>
      </c>
      <c r="G409" s="41">
        <v>1</v>
      </c>
      <c r="H409" s="38">
        <f t="shared" si="72"/>
        <v>31</v>
      </c>
      <c r="J409" s="42"/>
      <c r="M409" s="40"/>
    </row>
    <row r="410" spans="1:27" ht="12.75" x14ac:dyDescent="0.2">
      <c r="A410" s="38">
        <v>7</v>
      </c>
      <c r="B410" s="41">
        <v>2</v>
      </c>
      <c r="C410" s="38">
        <f t="shared" si="71"/>
        <v>14</v>
      </c>
      <c r="D410" s="38" t="s">
        <v>167</v>
      </c>
      <c r="E410" s="40"/>
      <c r="F410" s="38">
        <v>8</v>
      </c>
      <c r="G410" s="41">
        <v>2</v>
      </c>
      <c r="H410" s="38">
        <f t="shared" si="72"/>
        <v>16</v>
      </c>
      <c r="J410" s="38" t="s">
        <v>187</v>
      </c>
      <c r="K410" s="38">
        <v>143.80000000000001</v>
      </c>
      <c r="M410" s="40"/>
    </row>
    <row r="411" spans="1:27" ht="12.75" x14ac:dyDescent="0.2">
      <c r="A411" s="38">
        <v>4</v>
      </c>
      <c r="B411" s="41">
        <v>5</v>
      </c>
      <c r="C411" s="38">
        <f t="shared" si="71"/>
        <v>20</v>
      </c>
      <c r="D411" s="38" t="s">
        <v>167</v>
      </c>
      <c r="E411" s="40"/>
      <c r="F411" s="38">
        <v>4</v>
      </c>
      <c r="G411" s="41">
        <v>5</v>
      </c>
      <c r="H411" s="38">
        <f t="shared" si="72"/>
        <v>20</v>
      </c>
      <c r="J411" s="38" t="s">
        <v>161</v>
      </c>
      <c r="K411" s="38">
        <f t="shared" ref="K411:L411" si="73">K405-K410</f>
        <v>0</v>
      </c>
      <c r="L411" s="38">
        <f t="shared" si="73"/>
        <v>130</v>
      </c>
      <c r="M411" s="40"/>
    </row>
    <row r="412" spans="1:27" ht="12.75" x14ac:dyDescent="0.2">
      <c r="A412" s="38">
        <v>2</v>
      </c>
      <c r="B412" s="41">
        <v>10</v>
      </c>
      <c r="C412" s="38">
        <f t="shared" si="71"/>
        <v>20</v>
      </c>
      <c r="D412" s="38" t="s">
        <v>167</v>
      </c>
      <c r="E412" s="40"/>
      <c r="F412" s="38">
        <v>10</v>
      </c>
      <c r="G412" s="41">
        <v>10</v>
      </c>
      <c r="H412" s="38">
        <f t="shared" si="72"/>
        <v>100</v>
      </c>
      <c r="M412" s="40"/>
    </row>
    <row r="413" spans="1:27" ht="12.75" x14ac:dyDescent="0.2">
      <c r="B413" s="41"/>
      <c r="E413" s="40"/>
      <c r="F413" s="38">
        <v>2</v>
      </c>
      <c r="G413" s="41">
        <v>20</v>
      </c>
      <c r="H413" s="38">
        <f t="shared" si="72"/>
        <v>40</v>
      </c>
      <c r="M413" s="40"/>
    </row>
    <row r="414" spans="1:27" ht="12.75" x14ac:dyDescent="0.2">
      <c r="B414" s="38" t="s">
        <v>156</v>
      </c>
      <c r="E414" s="40"/>
      <c r="F414" s="38">
        <v>3</v>
      </c>
      <c r="G414" s="41">
        <v>50</v>
      </c>
      <c r="H414" s="38">
        <f t="shared" si="72"/>
        <v>150</v>
      </c>
      <c r="M414" s="40"/>
    </row>
    <row r="415" spans="1:27" ht="12.75" x14ac:dyDescent="0.2">
      <c r="B415" s="38" t="s">
        <v>141</v>
      </c>
      <c r="C415" s="38">
        <f>SUM(C405:C414)</f>
        <v>101.05</v>
      </c>
      <c r="E415" s="40"/>
      <c r="G415" s="38" t="s">
        <v>137</v>
      </c>
      <c r="H415" s="38">
        <f>SUM(H405:H414)</f>
        <v>375.05</v>
      </c>
      <c r="M415" s="40"/>
    </row>
    <row r="416" spans="1:27" ht="12.75" x14ac:dyDescent="0.2">
      <c r="E416" s="40"/>
      <c r="G416" s="38" t="s">
        <v>158</v>
      </c>
      <c r="H416" s="38">
        <f>H415-C415</f>
        <v>274</v>
      </c>
      <c r="M416" s="40"/>
    </row>
    <row r="417" spans="1:27" ht="12.75" x14ac:dyDescent="0.2">
      <c r="E417" s="40"/>
      <c r="G417" s="38" t="s">
        <v>142</v>
      </c>
      <c r="H417" s="38">
        <v>143.80000000000001</v>
      </c>
      <c r="M417" s="40"/>
    </row>
    <row r="418" spans="1:27" ht="12.75" x14ac:dyDescent="0.2">
      <c r="E418" s="40"/>
      <c r="G418" s="38" t="s">
        <v>163</v>
      </c>
      <c r="H418" s="38">
        <v>55</v>
      </c>
      <c r="M418" s="40"/>
    </row>
    <row r="419" spans="1:27" ht="12.75" x14ac:dyDescent="0.2">
      <c r="E419" s="40"/>
      <c r="G419" s="38" t="s">
        <v>160</v>
      </c>
      <c r="H419" s="38">
        <f>H416-H417</f>
        <v>130.19999999999999</v>
      </c>
      <c r="M419" s="40"/>
    </row>
    <row r="420" spans="1:27" ht="12.75" x14ac:dyDescent="0.2">
      <c r="A420" s="43"/>
      <c r="B420" s="43"/>
      <c r="C420" s="43"/>
      <c r="D420" s="43"/>
      <c r="E420" s="40"/>
      <c r="F420" s="43"/>
      <c r="G420" s="43"/>
      <c r="H420" s="43"/>
      <c r="I420" s="43"/>
      <c r="J420" s="43"/>
      <c r="K420" s="43"/>
      <c r="L420" s="43"/>
      <c r="M420" s="48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</row>
    <row r="421" spans="1:27" ht="12.75" x14ac:dyDescent="0.2">
      <c r="A421" s="38" t="s">
        <v>135</v>
      </c>
      <c r="B421" s="39">
        <v>45559</v>
      </c>
      <c r="E421" s="40"/>
      <c r="F421" s="38" t="s">
        <v>136</v>
      </c>
      <c r="G421" s="39">
        <v>45559</v>
      </c>
      <c r="M421" s="40"/>
    </row>
    <row r="422" spans="1:27" ht="12.75" x14ac:dyDescent="0.2">
      <c r="A422" s="38" t="s">
        <v>139</v>
      </c>
      <c r="B422" s="38" t="s">
        <v>140</v>
      </c>
      <c r="C422" s="38" t="s">
        <v>141</v>
      </c>
      <c r="E422" s="40"/>
      <c r="F422" s="38" t="s">
        <v>139</v>
      </c>
      <c r="G422" s="38" t="s">
        <v>140</v>
      </c>
      <c r="H422" s="38" t="s">
        <v>141</v>
      </c>
      <c r="J422" s="38" t="s">
        <v>137</v>
      </c>
      <c r="M422" s="40"/>
    </row>
    <row r="423" spans="1:27" ht="12.75" x14ac:dyDescent="0.2">
      <c r="A423" s="38">
        <v>55</v>
      </c>
      <c r="B423" s="38">
        <v>0.05</v>
      </c>
      <c r="C423" s="38">
        <f t="shared" ref="C423:C430" si="74">A423*B423</f>
        <v>2.75</v>
      </c>
      <c r="E423" s="40"/>
      <c r="F423" s="38">
        <v>54</v>
      </c>
      <c r="G423" s="38">
        <v>0.05</v>
      </c>
      <c r="H423" s="38">
        <f t="shared" ref="H423:H432" si="75">F423*G423</f>
        <v>2.7</v>
      </c>
      <c r="J423" s="38" t="s">
        <v>142</v>
      </c>
      <c r="K423" s="38">
        <v>167.3</v>
      </c>
      <c r="L423" s="38">
        <v>124.85</v>
      </c>
      <c r="M423" s="40"/>
    </row>
    <row r="424" spans="1:27" ht="12.75" x14ac:dyDescent="0.2">
      <c r="A424" s="38">
        <v>34</v>
      </c>
      <c r="B424" s="41">
        <v>0.1</v>
      </c>
      <c r="C424" s="38">
        <f t="shared" si="74"/>
        <v>3.4000000000000004</v>
      </c>
      <c r="E424" s="40"/>
      <c r="F424" s="38">
        <v>38</v>
      </c>
      <c r="G424" s="41">
        <v>0.1</v>
      </c>
      <c r="H424" s="38">
        <f t="shared" si="75"/>
        <v>3.8000000000000003</v>
      </c>
      <c r="J424" s="38" t="s">
        <v>163</v>
      </c>
      <c r="K424" s="38">
        <v>38.5</v>
      </c>
      <c r="M424" s="40"/>
    </row>
    <row r="425" spans="1:27" ht="12.75" x14ac:dyDescent="0.2">
      <c r="A425" s="38">
        <v>17</v>
      </c>
      <c r="B425" s="41">
        <v>0.2</v>
      </c>
      <c r="C425" s="38">
        <f t="shared" si="74"/>
        <v>3.4000000000000004</v>
      </c>
      <c r="E425" s="40"/>
      <c r="F425" s="38">
        <v>11</v>
      </c>
      <c r="G425" s="41">
        <v>0.2</v>
      </c>
      <c r="H425" s="38">
        <f t="shared" si="75"/>
        <v>2.2000000000000002</v>
      </c>
      <c r="J425" s="38" t="s">
        <v>146</v>
      </c>
      <c r="K425" s="50"/>
      <c r="M425" s="40"/>
    </row>
    <row r="426" spans="1:27" ht="12.75" x14ac:dyDescent="0.2">
      <c r="A426" s="38">
        <v>17</v>
      </c>
      <c r="B426" s="41">
        <v>0.5</v>
      </c>
      <c r="C426" s="38">
        <f t="shared" si="74"/>
        <v>8.5</v>
      </c>
      <c r="E426" s="40"/>
      <c r="F426" s="38">
        <v>27</v>
      </c>
      <c r="G426" s="41">
        <v>0.5</v>
      </c>
      <c r="H426" s="38">
        <f t="shared" si="75"/>
        <v>13.5</v>
      </c>
      <c r="J426" s="38" t="s">
        <v>144</v>
      </c>
      <c r="M426" s="40"/>
    </row>
    <row r="427" spans="1:27" ht="12.75" x14ac:dyDescent="0.2">
      <c r="A427" s="38">
        <v>31</v>
      </c>
      <c r="B427" s="41">
        <v>1</v>
      </c>
      <c r="C427" s="38">
        <f t="shared" si="74"/>
        <v>31</v>
      </c>
      <c r="E427" s="40"/>
      <c r="F427" s="38">
        <v>35</v>
      </c>
      <c r="G427" s="41">
        <v>1</v>
      </c>
      <c r="H427" s="38">
        <f t="shared" si="75"/>
        <v>35</v>
      </c>
      <c r="J427" s="42"/>
      <c r="M427" s="40"/>
    </row>
    <row r="428" spans="1:27" ht="12.75" x14ac:dyDescent="0.2">
      <c r="A428" s="38">
        <v>8</v>
      </c>
      <c r="B428" s="41">
        <v>2</v>
      </c>
      <c r="C428" s="38">
        <f t="shared" si="74"/>
        <v>16</v>
      </c>
      <c r="E428" s="40"/>
      <c r="F428" s="38">
        <v>20</v>
      </c>
      <c r="G428" s="41">
        <v>2</v>
      </c>
      <c r="H428" s="38">
        <f t="shared" si="75"/>
        <v>40</v>
      </c>
      <c r="J428" s="38" t="s">
        <v>149</v>
      </c>
      <c r="K428" s="38">
        <f>SUM(K423,K424)*0.3</f>
        <v>61.74</v>
      </c>
      <c r="L428" s="38">
        <v>100</v>
      </c>
      <c r="M428" s="40"/>
    </row>
    <row r="429" spans="1:27" ht="12.75" x14ac:dyDescent="0.2">
      <c r="A429" s="38">
        <v>4</v>
      </c>
      <c r="B429" s="41">
        <v>5</v>
      </c>
      <c r="C429" s="38">
        <f t="shared" si="74"/>
        <v>20</v>
      </c>
      <c r="E429" s="40"/>
      <c r="F429" s="38">
        <v>8</v>
      </c>
      <c r="G429" s="41">
        <v>5</v>
      </c>
      <c r="H429" s="38">
        <f t="shared" si="75"/>
        <v>40</v>
      </c>
      <c r="J429" s="38" t="s">
        <v>161</v>
      </c>
      <c r="K429" s="38">
        <f t="shared" ref="K429:L429" si="76">K423-K428</f>
        <v>105.56</v>
      </c>
      <c r="L429" s="38">
        <f t="shared" si="76"/>
        <v>24.849999999999994</v>
      </c>
      <c r="M429" s="40"/>
    </row>
    <row r="430" spans="1:27" ht="12.75" x14ac:dyDescent="0.2">
      <c r="A430" s="38">
        <v>2</v>
      </c>
      <c r="B430" s="41">
        <v>10</v>
      </c>
      <c r="C430" s="38">
        <f t="shared" si="74"/>
        <v>20</v>
      </c>
      <c r="E430" s="40"/>
      <c r="F430" s="38">
        <v>2</v>
      </c>
      <c r="G430" s="41">
        <v>10</v>
      </c>
      <c r="H430" s="38">
        <f t="shared" si="75"/>
        <v>20</v>
      </c>
      <c r="J430" s="38" t="s">
        <v>188</v>
      </c>
      <c r="L430" s="38">
        <v>-100</v>
      </c>
      <c r="M430" s="40"/>
    </row>
    <row r="431" spans="1:27" ht="12.75" x14ac:dyDescent="0.2">
      <c r="B431" s="41"/>
      <c r="E431" s="40"/>
      <c r="F431" s="38">
        <v>7</v>
      </c>
      <c r="G431" s="41">
        <v>20</v>
      </c>
      <c r="H431" s="38">
        <f t="shared" si="75"/>
        <v>140</v>
      </c>
      <c r="M431" s="40"/>
    </row>
    <row r="432" spans="1:27" ht="12.75" x14ac:dyDescent="0.2">
      <c r="B432" s="38" t="s">
        <v>156</v>
      </c>
      <c r="E432" s="40"/>
      <c r="F432" s="38">
        <v>2</v>
      </c>
      <c r="G432" s="41">
        <v>50</v>
      </c>
      <c r="H432" s="38">
        <f t="shared" si="75"/>
        <v>100</v>
      </c>
      <c r="M432" s="40"/>
    </row>
    <row r="433" spans="1:27" ht="12.75" x14ac:dyDescent="0.2">
      <c r="B433" s="38" t="s">
        <v>141</v>
      </c>
      <c r="C433" s="38">
        <f>SUM(C423:C432)</f>
        <v>105.05</v>
      </c>
      <c r="E433" s="40"/>
      <c r="G433" s="38" t="s">
        <v>137</v>
      </c>
      <c r="H433" s="38">
        <f>SUM(H423:H432)</f>
        <v>397.2</v>
      </c>
      <c r="M433" s="40"/>
    </row>
    <row r="434" spans="1:27" ht="12.75" x14ac:dyDescent="0.2">
      <c r="E434" s="40"/>
      <c r="G434" s="38" t="s">
        <v>158</v>
      </c>
      <c r="H434" s="38">
        <f>H433-C433</f>
        <v>292.14999999999998</v>
      </c>
      <c r="M434" s="40"/>
    </row>
    <row r="435" spans="1:27" ht="12.75" x14ac:dyDescent="0.2">
      <c r="E435" s="40"/>
      <c r="G435" s="38" t="s">
        <v>142</v>
      </c>
      <c r="H435" s="38">
        <v>167.3</v>
      </c>
      <c r="M435" s="40"/>
    </row>
    <row r="436" spans="1:27" ht="12.75" x14ac:dyDescent="0.2">
      <c r="E436" s="40"/>
      <c r="G436" s="38" t="s">
        <v>163</v>
      </c>
      <c r="H436" s="38">
        <v>38.5</v>
      </c>
      <c r="M436" s="40"/>
    </row>
    <row r="437" spans="1:27" ht="12.75" x14ac:dyDescent="0.2">
      <c r="E437" s="40"/>
      <c r="G437" s="38" t="s">
        <v>160</v>
      </c>
      <c r="H437" s="38">
        <f>H434-H435</f>
        <v>124.84999999999997</v>
      </c>
      <c r="M437" s="40"/>
    </row>
    <row r="438" spans="1:27" ht="12.75" x14ac:dyDescent="0.2">
      <c r="A438" s="43"/>
      <c r="B438" s="43"/>
      <c r="C438" s="43"/>
      <c r="D438" s="43"/>
      <c r="E438" s="40"/>
      <c r="F438" s="43"/>
      <c r="G438" s="43"/>
      <c r="H438" s="43"/>
      <c r="I438" s="43"/>
      <c r="J438" s="43"/>
      <c r="K438" s="43"/>
      <c r="L438" s="43"/>
      <c r="M438" s="48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</row>
    <row r="439" spans="1:27" ht="12.75" x14ac:dyDescent="0.2">
      <c r="A439" s="38" t="s">
        <v>135</v>
      </c>
      <c r="B439" s="39">
        <v>45560</v>
      </c>
      <c r="E439" s="40"/>
      <c r="F439" s="38" t="s">
        <v>136</v>
      </c>
      <c r="G439" s="39">
        <v>45560</v>
      </c>
      <c r="M439" s="40"/>
    </row>
    <row r="440" spans="1:27" ht="12.75" x14ac:dyDescent="0.2">
      <c r="A440" s="38" t="s">
        <v>139</v>
      </c>
      <c r="B440" s="38" t="s">
        <v>140</v>
      </c>
      <c r="C440" s="38" t="s">
        <v>141</v>
      </c>
      <c r="E440" s="40"/>
      <c r="F440" s="38" t="s">
        <v>139</v>
      </c>
      <c r="G440" s="38" t="s">
        <v>140</v>
      </c>
      <c r="H440" s="38" t="s">
        <v>141</v>
      </c>
      <c r="J440" s="38" t="s">
        <v>137</v>
      </c>
      <c r="M440" s="40"/>
    </row>
    <row r="441" spans="1:27" ht="12.75" x14ac:dyDescent="0.2">
      <c r="A441" s="38">
        <v>54</v>
      </c>
      <c r="B441" s="38">
        <v>0.05</v>
      </c>
      <c r="C441" s="38">
        <f t="shared" ref="C441:C448" si="77">A441*B441</f>
        <v>2.7</v>
      </c>
      <c r="E441" s="40"/>
      <c r="F441" s="38">
        <v>55</v>
      </c>
      <c r="G441" s="38">
        <v>0.05</v>
      </c>
      <c r="H441" s="38">
        <f t="shared" ref="H441:H450" si="78">F441*G441</f>
        <v>2.75</v>
      </c>
      <c r="J441" s="38" t="s">
        <v>142</v>
      </c>
      <c r="K441" s="38">
        <v>149</v>
      </c>
      <c r="L441" s="38">
        <v>142</v>
      </c>
      <c r="M441" s="40"/>
    </row>
    <row r="442" spans="1:27" ht="12.75" x14ac:dyDescent="0.2">
      <c r="A442" s="38">
        <v>38</v>
      </c>
      <c r="B442" s="41">
        <v>0.1</v>
      </c>
      <c r="C442" s="38">
        <f t="shared" si="77"/>
        <v>3.8000000000000003</v>
      </c>
      <c r="E442" s="40"/>
      <c r="F442" s="38">
        <v>26</v>
      </c>
      <c r="G442" s="41">
        <v>0.1</v>
      </c>
      <c r="H442" s="38">
        <f t="shared" si="78"/>
        <v>2.6</v>
      </c>
      <c r="J442" s="38" t="s">
        <v>163</v>
      </c>
      <c r="K442" s="38">
        <v>39.700000000000003</v>
      </c>
      <c r="M442" s="40"/>
    </row>
    <row r="443" spans="1:27" ht="12.75" x14ac:dyDescent="0.2">
      <c r="A443" s="38">
        <v>11</v>
      </c>
      <c r="B443" s="41">
        <v>0.2</v>
      </c>
      <c r="C443" s="38">
        <f t="shared" si="77"/>
        <v>2.2000000000000002</v>
      </c>
      <c r="E443" s="40"/>
      <c r="F443" s="38">
        <v>18</v>
      </c>
      <c r="G443" s="41">
        <v>0.2</v>
      </c>
      <c r="H443" s="38">
        <f t="shared" si="78"/>
        <v>3.6</v>
      </c>
      <c r="J443" s="38" t="s">
        <v>146</v>
      </c>
      <c r="K443" s="50"/>
      <c r="M443" s="40"/>
    </row>
    <row r="444" spans="1:27" ht="12.75" x14ac:dyDescent="0.2">
      <c r="A444" s="38">
        <v>27</v>
      </c>
      <c r="B444" s="41">
        <v>0.5</v>
      </c>
      <c r="C444" s="38">
        <f t="shared" si="77"/>
        <v>13.5</v>
      </c>
      <c r="E444" s="40"/>
      <c r="F444" s="38">
        <v>27</v>
      </c>
      <c r="G444" s="41">
        <v>0.5</v>
      </c>
      <c r="H444" s="38">
        <f t="shared" si="78"/>
        <v>13.5</v>
      </c>
      <c r="J444" s="38" t="s">
        <v>144</v>
      </c>
      <c r="M444" s="40"/>
    </row>
    <row r="445" spans="1:27" ht="12.75" x14ac:dyDescent="0.2">
      <c r="A445" s="38">
        <v>15</v>
      </c>
      <c r="B445" s="41">
        <v>1</v>
      </c>
      <c r="C445" s="38">
        <f t="shared" si="77"/>
        <v>15</v>
      </c>
      <c r="E445" s="40"/>
      <c r="F445" s="38">
        <v>21</v>
      </c>
      <c r="G445" s="41">
        <v>1</v>
      </c>
      <c r="H445" s="38">
        <f t="shared" si="78"/>
        <v>21</v>
      </c>
      <c r="J445" s="42"/>
      <c r="M445" s="40"/>
    </row>
    <row r="446" spans="1:27" ht="12.75" x14ac:dyDescent="0.2">
      <c r="A446" s="38">
        <v>13</v>
      </c>
      <c r="B446" s="41">
        <v>2</v>
      </c>
      <c r="C446" s="38">
        <f t="shared" si="77"/>
        <v>26</v>
      </c>
      <c r="E446" s="40"/>
      <c r="F446" s="38">
        <v>16</v>
      </c>
      <c r="G446" s="41">
        <v>2</v>
      </c>
      <c r="H446" s="38">
        <f t="shared" si="78"/>
        <v>32</v>
      </c>
      <c r="J446" s="38" t="s">
        <v>149</v>
      </c>
      <c r="K446" s="38">
        <f t="shared" ref="K446:L446" si="79">SUM(K441,K442)*0.3</f>
        <v>56.609999999999992</v>
      </c>
      <c r="L446" s="38">
        <f t="shared" si="79"/>
        <v>42.6</v>
      </c>
      <c r="M446" s="40"/>
    </row>
    <row r="447" spans="1:27" ht="12.75" x14ac:dyDescent="0.2">
      <c r="A447" s="38">
        <v>4</v>
      </c>
      <c r="B447" s="41">
        <v>5</v>
      </c>
      <c r="C447" s="38">
        <f t="shared" si="77"/>
        <v>20</v>
      </c>
      <c r="E447" s="40"/>
      <c r="F447" s="38">
        <v>8</v>
      </c>
      <c r="G447" s="41">
        <v>5</v>
      </c>
      <c r="H447" s="38">
        <f t="shared" si="78"/>
        <v>40</v>
      </c>
      <c r="J447" s="38" t="s">
        <v>161</v>
      </c>
      <c r="K447" s="38">
        <f t="shared" ref="K447:L447" si="80">K441-K446</f>
        <v>92.390000000000015</v>
      </c>
      <c r="L447" s="38">
        <f t="shared" si="80"/>
        <v>99.4</v>
      </c>
      <c r="M447" s="40"/>
    </row>
    <row r="448" spans="1:27" ht="12.75" x14ac:dyDescent="0.2">
      <c r="A448" s="38">
        <v>2</v>
      </c>
      <c r="B448" s="41">
        <v>10</v>
      </c>
      <c r="C448" s="38">
        <f t="shared" si="77"/>
        <v>20</v>
      </c>
      <c r="E448" s="40"/>
      <c r="F448" s="38">
        <v>9</v>
      </c>
      <c r="G448" s="41">
        <v>10</v>
      </c>
      <c r="H448" s="38">
        <f t="shared" si="78"/>
        <v>90</v>
      </c>
      <c r="J448" s="38"/>
      <c r="L448" s="38"/>
      <c r="M448" s="40"/>
    </row>
    <row r="449" spans="1:27" ht="12.75" x14ac:dyDescent="0.2">
      <c r="B449" s="41"/>
      <c r="E449" s="40"/>
      <c r="F449" s="38">
        <v>7</v>
      </c>
      <c r="G449" s="41">
        <v>20</v>
      </c>
      <c r="H449" s="38">
        <f t="shared" si="78"/>
        <v>140</v>
      </c>
      <c r="M449" s="40"/>
    </row>
    <row r="450" spans="1:27" ht="12.75" x14ac:dyDescent="0.2">
      <c r="B450" s="38" t="s">
        <v>156</v>
      </c>
      <c r="E450" s="40"/>
      <c r="F450" s="38">
        <v>1</v>
      </c>
      <c r="G450" s="41">
        <v>50</v>
      </c>
      <c r="H450" s="38">
        <f t="shared" si="78"/>
        <v>50</v>
      </c>
      <c r="M450" s="40"/>
    </row>
    <row r="451" spans="1:27" ht="12.75" x14ac:dyDescent="0.2">
      <c r="B451" s="38" t="s">
        <v>141</v>
      </c>
      <c r="C451" s="38">
        <f>SUM(C441:C450)</f>
        <v>103.2</v>
      </c>
      <c r="E451" s="40"/>
      <c r="G451" s="38" t="s">
        <v>137</v>
      </c>
      <c r="H451" s="38">
        <f>SUM(H441:H450)</f>
        <v>395.45</v>
      </c>
      <c r="M451" s="40"/>
    </row>
    <row r="452" spans="1:27" ht="12.75" x14ac:dyDescent="0.2">
      <c r="E452" s="40"/>
      <c r="G452" s="38" t="s">
        <v>158</v>
      </c>
      <c r="H452" s="38">
        <f>H451-C451</f>
        <v>292.25</v>
      </c>
      <c r="M452" s="40"/>
    </row>
    <row r="453" spans="1:27" ht="12.75" x14ac:dyDescent="0.2">
      <c r="E453" s="40"/>
      <c r="G453" s="38" t="s">
        <v>142</v>
      </c>
      <c r="H453" s="38">
        <v>149.9</v>
      </c>
      <c r="M453" s="40"/>
    </row>
    <row r="454" spans="1:27" ht="12.75" x14ac:dyDescent="0.2">
      <c r="E454" s="40"/>
      <c r="G454" s="38" t="s">
        <v>163</v>
      </c>
      <c r="H454" s="38">
        <v>39.700000000000003</v>
      </c>
      <c r="I454" s="38">
        <f>9.3+30.4</f>
        <v>39.700000000000003</v>
      </c>
      <c r="M454" s="40"/>
    </row>
    <row r="455" spans="1:27" ht="12.75" x14ac:dyDescent="0.2">
      <c r="E455" s="40"/>
      <c r="G455" s="38" t="s">
        <v>160</v>
      </c>
      <c r="H455" s="38">
        <f>H452-H453</f>
        <v>142.35</v>
      </c>
      <c r="M455" s="40"/>
    </row>
    <row r="456" spans="1:27" ht="12.75" x14ac:dyDescent="0.2">
      <c r="E456" s="40"/>
      <c r="M456" s="40"/>
    </row>
    <row r="457" spans="1:27" ht="12.75" x14ac:dyDescent="0.2">
      <c r="A457" s="43"/>
      <c r="B457" s="43"/>
      <c r="C457" s="43"/>
      <c r="D457" s="43"/>
      <c r="E457" s="40"/>
      <c r="F457" s="43"/>
      <c r="G457" s="43"/>
      <c r="H457" s="43"/>
      <c r="I457" s="43"/>
      <c r="J457" s="43"/>
      <c r="K457" s="43"/>
      <c r="L457" s="43"/>
      <c r="M457" s="48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</row>
    <row r="458" spans="1:27" ht="12.75" x14ac:dyDescent="0.2">
      <c r="A458" s="38" t="s">
        <v>135</v>
      </c>
      <c r="B458" s="39">
        <v>45561</v>
      </c>
      <c r="E458" s="40"/>
      <c r="F458" s="38" t="s">
        <v>136</v>
      </c>
      <c r="G458" s="39">
        <v>45561</v>
      </c>
      <c r="M458" s="40"/>
    </row>
    <row r="459" spans="1:27" ht="12.75" x14ac:dyDescent="0.2">
      <c r="A459" s="38" t="s">
        <v>139</v>
      </c>
      <c r="B459" s="38" t="s">
        <v>140</v>
      </c>
      <c r="C459" s="38" t="s">
        <v>141</v>
      </c>
      <c r="E459" s="40"/>
      <c r="F459" s="38" t="s">
        <v>139</v>
      </c>
      <c r="G459" s="38" t="s">
        <v>140</v>
      </c>
      <c r="H459" s="38" t="s">
        <v>141</v>
      </c>
      <c r="J459" s="38" t="s">
        <v>137</v>
      </c>
      <c r="M459" s="40"/>
    </row>
    <row r="460" spans="1:27" ht="12.75" x14ac:dyDescent="0.2">
      <c r="A460" s="38">
        <v>55</v>
      </c>
      <c r="B460" s="38">
        <v>0.05</v>
      </c>
      <c r="C460" s="38">
        <f t="shared" ref="C460:C467" si="81">A460*B460</f>
        <v>2.75</v>
      </c>
      <c r="E460" s="40"/>
      <c r="F460" s="38">
        <v>55</v>
      </c>
      <c r="G460" s="38">
        <v>0.05</v>
      </c>
      <c r="H460" s="38">
        <f t="shared" ref="H460:H469" si="82">F460*G460</f>
        <v>2.75</v>
      </c>
      <c r="J460" s="38" t="s">
        <v>142</v>
      </c>
      <c r="K460" s="38">
        <v>134</v>
      </c>
      <c r="L460" s="38">
        <v>110</v>
      </c>
      <c r="M460" s="40"/>
    </row>
    <row r="461" spans="1:27" ht="12.75" x14ac:dyDescent="0.2">
      <c r="A461" s="38">
        <v>26</v>
      </c>
      <c r="B461" s="41">
        <v>0.1</v>
      </c>
      <c r="C461" s="38">
        <f t="shared" si="81"/>
        <v>2.6</v>
      </c>
      <c r="E461" s="40"/>
      <c r="F461" s="38">
        <v>26</v>
      </c>
      <c r="G461" s="41">
        <v>0.1</v>
      </c>
      <c r="H461" s="38">
        <f t="shared" si="82"/>
        <v>2.6</v>
      </c>
      <c r="J461" s="38" t="s">
        <v>163</v>
      </c>
      <c r="K461" s="38">
        <v>33.4</v>
      </c>
      <c r="M461" s="40"/>
    </row>
    <row r="462" spans="1:27" ht="12.75" x14ac:dyDescent="0.2">
      <c r="A462" s="38">
        <v>18</v>
      </c>
      <c r="B462" s="41">
        <v>0.2</v>
      </c>
      <c r="C462" s="38">
        <f t="shared" si="81"/>
        <v>3.6</v>
      </c>
      <c r="E462" s="40"/>
      <c r="F462" s="38">
        <v>16</v>
      </c>
      <c r="G462" s="41">
        <v>0.2</v>
      </c>
      <c r="H462" s="38">
        <f t="shared" si="82"/>
        <v>3.2</v>
      </c>
      <c r="J462" s="38" t="s">
        <v>146</v>
      </c>
      <c r="K462" s="50"/>
      <c r="M462" s="40"/>
    </row>
    <row r="463" spans="1:27" ht="12.75" x14ac:dyDescent="0.2">
      <c r="A463" s="38">
        <v>27</v>
      </c>
      <c r="B463" s="41">
        <v>0.5</v>
      </c>
      <c r="C463" s="38">
        <f t="shared" si="81"/>
        <v>13.5</v>
      </c>
      <c r="E463" s="40"/>
      <c r="F463" s="38">
        <v>22</v>
      </c>
      <c r="G463" s="41">
        <v>0.5</v>
      </c>
      <c r="H463" s="38">
        <f t="shared" si="82"/>
        <v>11</v>
      </c>
      <c r="J463" s="38" t="s">
        <v>144</v>
      </c>
      <c r="M463" s="40"/>
    </row>
    <row r="464" spans="1:27" ht="12.75" x14ac:dyDescent="0.2">
      <c r="A464" s="38">
        <v>15</v>
      </c>
      <c r="B464" s="41">
        <v>1</v>
      </c>
      <c r="C464" s="38">
        <f t="shared" si="81"/>
        <v>15</v>
      </c>
      <c r="D464" s="38">
        <v>21</v>
      </c>
      <c r="E464" s="40"/>
      <c r="F464" s="38">
        <v>22</v>
      </c>
      <c r="G464" s="41">
        <v>1</v>
      </c>
      <c r="H464" s="38">
        <f t="shared" si="82"/>
        <v>22</v>
      </c>
      <c r="J464" s="42"/>
      <c r="M464" s="40"/>
    </row>
    <row r="465" spans="1:27" ht="12.75" x14ac:dyDescent="0.2">
      <c r="A465" s="38">
        <v>13</v>
      </c>
      <c r="B465" s="41">
        <v>2</v>
      </c>
      <c r="C465" s="38">
        <f t="shared" si="81"/>
        <v>26</v>
      </c>
      <c r="D465" s="38">
        <v>16</v>
      </c>
      <c r="E465" s="40"/>
      <c r="F465" s="38">
        <v>13</v>
      </c>
      <c r="G465" s="41">
        <v>2</v>
      </c>
      <c r="H465" s="38">
        <f t="shared" si="82"/>
        <v>26</v>
      </c>
      <c r="J465" s="38" t="s">
        <v>149</v>
      </c>
      <c r="K465" s="38">
        <f>SUM(K460,K461)*0.3</f>
        <v>50.22</v>
      </c>
      <c r="M465" s="40"/>
    </row>
    <row r="466" spans="1:27" ht="12.75" x14ac:dyDescent="0.2">
      <c r="A466" s="38">
        <v>4</v>
      </c>
      <c r="B466" s="41">
        <v>5</v>
      </c>
      <c r="C466" s="38">
        <f t="shared" si="81"/>
        <v>20</v>
      </c>
      <c r="E466" s="40"/>
      <c r="F466" s="38">
        <v>6</v>
      </c>
      <c r="G466" s="41">
        <v>5</v>
      </c>
      <c r="H466" s="38">
        <f t="shared" si="82"/>
        <v>30</v>
      </c>
      <c r="J466" s="38" t="s">
        <v>161</v>
      </c>
      <c r="K466" s="38">
        <f>K460-K465</f>
        <v>83.78</v>
      </c>
      <c r="L466" s="38">
        <v>95</v>
      </c>
      <c r="M466" s="40"/>
    </row>
    <row r="467" spans="1:27" ht="12.75" x14ac:dyDescent="0.2">
      <c r="A467" s="38">
        <v>2</v>
      </c>
      <c r="B467" s="41">
        <v>10</v>
      </c>
      <c r="C467" s="38">
        <f t="shared" si="81"/>
        <v>20</v>
      </c>
      <c r="E467" s="40"/>
      <c r="G467" s="41">
        <v>10</v>
      </c>
      <c r="H467" s="38">
        <f t="shared" si="82"/>
        <v>0</v>
      </c>
      <c r="J467" s="38" t="s">
        <v>189</v>
      </c>
      <c r="K467" s="38">
        <v>-60</v>
      </c>
      <c r="L467" s="38"/>
      <c r="M467" s="40"/>
    </row>
    <row r="468" spans="1:27" ht="12.75" x14ac:dyDescent="0.2">
      <c r="B468" s="41"/>
      <c r="E468" s="40"/>
      <c r="F468" s="38">
        <v>5</v>
      </c>
      <c r="G468" s="41">
        <v>20</v>
      </c>
      <c r="H468" s="38">
        <f t="shared" si="82"/>
        <v>100</v>
      </c>
      <c r="M468" s="40"/>
    </row>
    <row r="469" spans="1:27" ht="12.75" x14ac:dyDescent="0.2">
      <c r="B469" s="38" t="s">
        <v>156</v>
      </c>
      <c r="E469" s="40"/>
      <c r="F469" s="38">
        <v>3</v>
      </c>
      <c r="G469" s="41">
        <v>50</v>
      </c>
      <c r="H469" s="38">
        <f t="shared" si="82"/>
        <v>150</v>
      </c>
      <c r="M469" s="40"/>
    </row>
    <row r="470" spans="1:27" ht="12.75" x14ac:dyDescent="0.2">
      <c r="B470" s="38" t="s">
        <v>141</v>
      </c>
      <c r="C470" s="38">
        <f>SUM(C460:C469)</f>
        <v>103.45</v>
      </c>
      <c r="E470" s="40"/>
      <c r="G470" s="38" t="s">
        <v>137</v>
      </c>
      <c r="H470" s="38">
        <f>SUM(H460:H469)</f>
        <v>347.55</v>
      </c>
      <c r="M470" s="40"/>
    </row>
    <row r="471" spans="1:27" ht="12.75" x14ac:dyDescent="0.2">
      <c r="E471" s="40"/>
      <c r="G471" s="38" t="s">
        <v>158</v>
      </c>
      <c r="H471" s="38">
        <f>H470-C470</f>
        <v>244.10000000000002</v>
      </c>
      <c r="M471" s="40"/>
    </row>
    <row r="472" spans="1:27" ht="12.75" x14ac:dyDescent="0.2">
      <c r="E472" s="40"/>
      <c r="G472" s="38" t="s">
        <v>142</v>
      </c>
      <c r="H472" s="38">
        <v>134</v>
      </c>
      <c r="M472" s="40"/>
    </row>
    <row r="473" spans="1:27" ht="12.75" x14ac:dyDescent="0.2">
      <c r="E473" s="40"/>
      <c r="G473" s="38" t="s">
        <v>163</v>
      </c>
      <c r="H473" s="38">
        <v>33.4</v>
      </c>
      <c r="I473" s="38">
        <f>9.1+24.3</f>
        <v>33.4</v>
      </c>
      <c r="M473" s="40"/>
    </row>
    <row r="474" spans="1:27" ht="12.75" x14ac:dyDescent="0.2">
      <c r="E474" s="40"/>
      <c r="G474" s="38" t="s">
        <v>160</v>
      </c>
      <c r="H474" s="38">
        <f>H471-H472</f>
        <v>110.10000000000002</v>
      </c>
      <c r="M474" s="40"/>
    </row>
    <row r="475" spans="1:27" ht="12.75" x14ac:dyDescent="0.2">
      <c r="A475" s="43"/>
      <c r="B475" s="43"/>
      <c r="C475" s="43"/>
      <c r="D475" s="43"/>
      <c r="E475" s="40"/>
      <c r="F475" s="43"/>
      <c r="G475" s="43"/>
      <c r="H475" s="43"/>
      <c r="I475" s="43"/>
      <c r="J475" s="43"/>
      <c r="K475" s="43"/>
      <c r="L475" s="43"/>
      <c r="M475" s="48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</row>
    <row r="476" spans="1:27" ht="12.75" x14ac:dyDescent="0.2">
      <c r="A476" s="38" t="s">
        <v>135</v>
      </c>
      <c r="B476" s="39">
        <v>45562</v>
      </c>
      <c r="E476" s="40"/>
      <c r="F476" s="38" t="s">
        <v>136</v>
      </c>
      <c r="G476" s="39">
        <v>45562</v>
      </c>
      <c r="M476" s="40"/>
    </row>
    <row r="477" spans="1:27" ht="12.75" x14ac:dyDescent="0.2">
      <c r="A477" s="38" t="s">
        <v>139</v>
      </c>
      <c r="B477" s="38" t="s">
        <v>140</v>
      </c>
      <c r="C477" s="38" t="s">
        <v>141</v>
      </c>
      <c r="E477" s="40"/>
      <c r="F477" s="38" t="s">
        <v>139</v>
      </c>
      <c r="G477" s="38" t="s">
        <v>140</v>
      </c>
      <c r="H477" s="38" t="s">
        <v>141</v>
      </c>
      <c r="J477" s="38" t="s">
        <v>137</v>
      </c>
      <c r="M477" s="40"/>
    </row>
    <row r="478" spans="1:27" ht="12.75" x14ac:dyDescent="0.2">
      <c r="A478" s="38">
        <v>55</v>
      </c>
      <c r="B478" s="38">
        <v>0.05</v>
      </c>
      <c r="C478" s="38">
        <f t="shared" ref="C478:C485" si="83">A478*B478</f>
        <v>2.75</v>
      </c>
      <c r="E478" s="40"/>
      <c r="F478" s="38">
        <v>60</v>
      </c>
      <c r="G478" s="38">
        <v>0.05</v>
      </c>
      <c r="H478" s="38">
        <f t="shared" ref="H478:H487" si="84">F478*G478</f>
        <v>3</v>
      </c>
      <c r="J478" s="38" t="s">
        <v>142</v>
      </c>
      <c r="K478" s="38">
        <v>207</v>
      </c>
      <c r="L478" s="38">
        <v>127</v>
      </c>
      <c r="M478" s="40"/>
    </row>
    <row r="479" spans="1:27" ht="12.75" x14ac:dyDescent="0.2">
      <c r="A479" s="38">
        <v>26</v>
      </c>
      <c r="B479" s="41">
        <v>0.1</v>
      </c>
      <c r="C479" s="38">
        <f t="shared" si="83"/>
        <v>2.6</v>
      </c>
      <c r="E479" s="40"/>
      <c r="F479" s="38">
        <v>13</v>
      </c>
      <c r="G479" s="41">
        <v>0.1</v>
      </c>
      <c r="H479" s="38">
        <f t="shared" si="84"/>
        <v>1.3</v>
      </c>
      <c r="J479" s="38" t="s">
        <v>163</v>
      </c>
      <c r="K479" s="38">
        <v>56.9</v>
      </c>
      <c r="M479" s="40"/>
    </row>
    <row r="480" spans="1:27" ht="12.75" x14ac:dyDescent="0.2">
      <c r="A480" s="38">
        <v>16</v>
      </c>
      <c r="B480" s="41">
        <v>0.2</v>
      </c>
      <c r="C480" s="38">
        <f t="shared" si="83"/>
        <v>3.2</v>
      </c>
      <c r="E480" s="40"/>
      <c r="F480" s="38">
        <v>16</v>
      </c>
      <c r="G480" s="41">
        <v>0.2</v>
      </c>
      <c r="H480" s="38">
        <f t="shared" si="84"/>
        <v>3.2</v>
      </c>
      <c r="J480" s="38" t="s">
        <v>146</v>
      </c>
      <c r="K480" s="50"/>
      <c r="M480" s="40"/>
    </row>
    <row r="481" spans="1:27" ht="12.75" x14ac:dyDescent="0.2">
      <c r="A481" s="38">
        <v>22</v>
      </c>
      <c r="B481" s="41">
        <v>0.5</v>
      </c>
      <c r="C481" s="38">
        <f t="shared" si="83"/>
        <v>11</v>
      </c>
      <c r="E481" s="40"/>
      <c r="F481" s="38">
        <v>15</v>
      </c>
      <c r="G481" s="41">
        <v>0.5</v>
      </c>
      <c r="H481" s="38">
        <f t="shared" si="84"/>
        <v>7.5</v>
      </c>
      <c r="J481" s="38" t="s">
        <v>144</v>
      </c>
      <c r="M481" s="40"/>
    </row>
    <row r="482" spans="1:27" ht="12.75" x14ac:dyDescent="0.2">
      <c r="A482" s="38">
        <v>22</v>
      </c>
      <c r="B482" s="41">
        <v>1</v>
      </c>
      <c r="C482" s="38">
        <f t="shared" si="83"/>
        <v>22</v>
      </c>
      <c r="E482" s="40"/>
      <c r="F482" s="38">
        <v>19</v>
      </c>
      <c r="G482" s="41">
        <v>1</v>
      </c>
      <c r="H482" s="38">
        <f t="shared" si="84"/>
        <v>19</v>
      </c>
      <c r="J482" s="42"/>
      <c r="M482" s="40"/>
    </row>
    <row r="483" spans="1:27" ht="12.75" x14ac:dyDescent="0.2">
      <c r="A483" s="38">
        <v>11</v>
      </c>
      <c r="B483" s="41">
        <v>2</v>
      </c>
      <c r="C483" s="38">
        <f t="shared" si="83"/>
        <v>22</v>
      </c>
      <c r="D483" s="38">
        <v>-2</v>
      </c>
      <c r="E483" s="40"/>
      <c r="F483" s="38">
        <v>7</v>
      </c>
      <c r="G483" s="41">
        <v>2</v>
      </c>
      <c r="H483" s="38">
        <f t="shared" si="84"/>
        <v>14</v>
      </c>
      <c r="J483" s="38" t="s">
        <v>149</v>
      </c>
      <c r="K483" s="51">
        <v>80</v>
      </c>
      <c r="L483" s="38">
        <f>SUM(L478,L479)*0.2</f>
        <v>25.400000000000002</v>
      </c>
      <c r="M483" s="40"/>
    </row>
    <row r="484" spans="1:27" ht="12.75" x14ac:dyDescent="0.2">
      <c r="A484" s="38">
        <v>4</v>
      </c>
      <c r="B484" s="41">
        <v>5</v>
      </c>
      <c r="C484" s="38">
        <f t="shared" si="83"/>
        <v>20</v>
      </c>
      <c r="E484" s="40"/>
      <c r="F484" s="38">
        <v>4</v>
      </c>
      <c r="G484" s="41">
        <v>5</v>
      </c>
      <c r="H484" s="38">
        <f t="shared" si="84"/>
        <v>20</v>
      </c>
      <c r="J484" s="38" t="s">
        <v>161</v>
      </c>
      <c r="K484" s="38">
        <f t="shared" ref="K484:L484" si="85">K478-K483</f>
        <v>127</v>
      </c>
      <c r="L484" s="38">
        <f t="shared" si="85"/>
        <v>101.6</v>
      </c>
      <c r="M484" s="40"/>
    </row>
    <row r="485" spans="1:27" ht="12.75" x14ac:dyDescent="0.2">
      <c r="A485" s="38">
        <v>2</v>
      </c>
      <c r="B485" s="41">
        <v>10</v>
      </c>
      <c r="C485" s="38">
        <f t="shared" si="83"/>
        <v>20</v>
      </c>
      <c r="E485" s="40"/>
      <c r="F485" s="38">
        <v>10</v>
      </c>
      <c r="G485" s="41">
        <v>10</v>
      </c>
      <c r="H485" s="38">
        <f t="shared" si="84"/>
        <v>100</v>
      </c>
      <c r="J485" s="38" t="s">
        <v>189</v>
      </c>
      <c r="K485" s="38">
        <v>-100</v>
      </c>
      <c r="L485" s="38"/>
      <c r="M485" s="40"/>
    </row>
    <row r="486" spans="1:27" ht="12.75" x14ac:dyDescent="0.2">
      <c r="B486" s="41"/>
      <c r="E486" s="40"/>
      <c r="F486" s="38">
        <v>6</v>
      </c>
      <c r="G486" s="41">
        <v>20</v>
      </c>
      <c r="H486" s="38">
        <f t="shared" si="84"/>
        <v>120</v>
      </c>
      <c r="M486" s="40"/>
    </row>
    <row r="487" spans="1:27" ht="12.75" x14ac:dyDescent="0.2">
      <c r="B487" s="38" t="s">
        <v>156</v>
      </c>
      <c r="E487" s="40"/>
      <c r="F487" s="38">
        <v>3</v>
      </c>
      <c r="G487" s="41">
        <v>50</v>
      </c>
      <c r="H487" s="38">
        <f t="shared" si="84"/>
        <v>150</v>
      </c>
      <c r="M487" s="40"/>
    </row>
    <row r="488" spans="1:27" ht="12.75" x14ac:dyDescent="0.2">
      <c r="B488" s="38" t="s">
        <v>141</v>
      </c>
      <c r="C488" s="38">
        <f>SUM(C478:C487)</f>
        <v>103.55</v>
      </c>
      <c r="E488" s="40"/>
      <c r="G488" s="38" t="s">
        <v>137</v>
      </c>
      <c r="H488" s="38">
        <f>SUM(H478:H487)</f>
        <v>438</v>
      </c>
      <c r="M488" s="40"/>
    </row>
    <row r="489" spans="1:27" ht="12.75" x14ac:dyDescent="0.2">
      <c r="E489" s="40"/>
      <c r="G489" s="38" t="s">
        <v>158</v>
      </c>
      <c r="H489" s="38">
        <f>H488-C488</f>
        <v>334.45</v>
      </c>
      <c r="M489" s="40"/>
    </row>
    <row r="490" spans="1:27" ht="12.75" x14ac:dyDescent="0.2">
      <c r="E490" s="40"/>
      <c r="G490" s="38" t="s">
        <v>142</v>
      </c>
      <c r="H490" s="38">
        <v>207</v>
      </c>
      <c r="M490" s="40"/>
    </row>
    <row r="491" spans="1:27" ht="12.75" x14ac:dyDescent="0.2">
      <c r="E491" s="40"/>
      <c r="G491" s="38" t="s">
        <v>163</v>
      </c>
      <c r="H491" s="38">
        <v>56.9</v>
      </c>
      <c r="M491" s="40"/>
    </row>
    <row r="492" spans="1:27" ht="12.75" x14ac:dyDescent="0.2">
      <c r="E492" s="40"/>
      <c r="G492" s="38" t="s">
        <v>160</v>
      </c>
      <c r="H492" s="38">
        <f>H489-H490</f>
        <v>127.44999999999999</v>
      </c>
      <c r="M492" s="40"/>
    </row>
    <row r="493" spans="1:27" ht="12.75" x14ac:dyDescent="0.2">
      <c r="A493" s="43"/>
      <c r="B493" s="43"/>
      <c r="C493" s="43"/>
      <c r="D493" s="43"/>
      <c r="E493" s="40"/>
      <c r="F493" s="43"/>
      <c r="G493" s="43"/>
      <c r="H493" s="43"/>
      <c r="I493" s="43"/>
      <c r="J493" s="43"/>
      <c r="K493" s="43"/>
      <c r="L493" s="43"/>
      <c r="M493" s="48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</row>
    <row r="494" spans="1:27" ht="12.75" x14ac:dyDescent="0.2">
      <c r="A494" s="38" t="s">
        <v>135</v>
      </c>
      <c r="B494" s="39">
        <v>45563</v>
      </c>
      <c r="E494" s="40"/>
      <c r="F494" s="38" t="s">
        <v>136</v>
      </c>
      <c r="G494" s="39">
        <v>45563</v>
      </c>
      <c r="M494" s="40"/>
      <c r="N494" s="38" t="s">
        <v>169</v>
      </c>
      <c r="O494" s="38">
        <v>50</v>
      </c>
    </row>
    <row r="495" spans="1:27" ht="12.75" x14ac:dyDescent="0.2">
      <c r="A495" s="38" t="s">
        <v>139</v>
      </c>
      <c r="B495" s="38" t="s">
        <v>140</v>
      </c>
      <c r="C495" s="38" t="s">
        <v>141</v>
      </c>
      <c r="E495" s="40"/>
      <c r="F495" s="38" t="s">
        <v>139</v>
      </c>
      <c r="G495" s="38" t="s">
        <v>140</v>
      </c>
      <c r="H495" s="38" t="s">
        <v>141</v>
      </c>
      <c r="J495" s="38" t="s">
        <v>137</v>
      </c>
      <c r="M495" s="40"/>
    </row>
    <row r="496" spans="1:27" ht="12.75" x14ac:dyDescent="0.2">
      <c r="A496" s="38">
        <v>60</v>
      </c>
      <c r="B496" s="38">
        <v>0.05</v>
      </c>
      <c r="C496" s="38">
        <f t="shared" ref="C496:C503" si="86">A496*B496</f>
        <v>3</v>
      </c>
      <c r="E496" s="40"/>
      <c r="F496" s="38">
        <v>56</v>
      </c>
      <c r="G496" s="38">
        <v>0.05</v>
      </c>
      <c r="H496" s="38">
        <f t="shared" ref="H496:H505" si="87">F496*G496</f>
        <v>2.8000000000000003</v>
      </c>
      <c r="J496" s="38" t="s">
        <v>142</v>
      </c>
      <c r="K496" s="38">
        <v>303.39999999999998</v>
      </c>
      <c r="L496" s="38">
        <v>55</v>
      </c>
      <c r="M496" s="40"/>
    </row>
    <row r="497" spans="1:27" ht="12.75" x14ac:dyDescent="0.2">
      <c r="A497" s="38">
        <v>13</v>
      </c>
      <c r="B497" s="41">
        <v>0.1</v>
      </c>
      <c r="C497" s="38">
        <f t="shared" si="86"/>
        <v>1.3</v>
      </c>
      <c r="E497" s="40"/>
      <c r="F497" s="38">
        <v>19</v>
      </c>
      <c r="G497" s="41">
        <v>0.1</v>
      </c>
      <c r="H497" s="38">
        <f t="shared" si="87"/>
        <v>1.9000000000000001</v>
      </c>
      <c r="J497" s="38" t="s">
        <v>163</v>
      </c>
      <c r="K497" s="38">
        <v>89.7</v>
      </c>
      <c r="M497" s="40"/>
    </row>
    <row r="498" spans="1:27" ht="12.75" x14ac:dyDescent="0.2">
      <c r="A498" s="38">
        <v>16</v>
      </c>
      <c r="B498" s="41">
        <v>0.2</v>
      </c>
      <c r="C498" s="38">
        <f t="shared" si="86"/>
        <v>3.2</v>
      </c>
      <c r="E498" s="40"/>
      <c r="F498" s="38">
        <v>26</v>
      </c>
      <c r="G498" s="41">
        <v>0.2</v>
      </c>
      <c r="H498" s="38">
        <f t="shared" si="87"/>
        <v>5.2</v>
      </c>
      <c r="J498" s="38" t="s">
        <v>146</v>
      </c>
      <c r="K498" s="50"/>
      <c r="M498" s="40"/>
    </row>
    <row r="499" spans="1:27" ht="12.75" x14ac:dyDescent="0.2">
      <c r="A499" s="38">
        <v>15</v>
      </c>
      <c r="B499" s="41">
        <v>0.5</v>
      </c>
      <c r="C499" s="38">
        <f t="shared" si="86"/>
        <v>7.5</v>
      </c>
      <c r="E499" s="40"/>
      <c r="F499" s="38">
        <v>19</v>
      </c>
      <c r="G499" s="41">
        <v>0.5</v>
      </c>
      <c r="H499" s="38">
        <f t="shared" si="87"/>
        <v>9.5</v>
      </c>
      <c r="J499" s="38" t="s">
        <v>144</v>
      </c>
      <c r="M499" s="40"/>
    </row>
    <row r="500" spans="1:27" ht="12.75" x14ac:dyDescent="0.2">
      <c r="A500" s="38">
        <v>21</v>
      </c>
      <c r="B500" s="41">
        <v>1</v>
      </c>
      <c r="C500" s="38">
        <f t="shared" si="86"/>
        <v>21</v>
      </c>
      <c r="E500" s="40"/>
      <c r="F500" s="38">
        <v>10</v>
      </c>
      <c r="G500" s="41">
        <v>1</v>
      </c>
      <c r="H500" s="38">
        <f t="shared" si="87"/>
        <v>10</v>
      </c>
      <c r="J500" s="42"/>
      <c r="M500" s="40"/>
    </row>
    <row r="501" spans="1:27" ht="12.75" x14ac:dyDescent="0.2">
      <c r="A501" s="38">
        <v>11</v>
      </c>
      <c r="B501" s="41">
        <v>2</v>
      </c>
      <c r="C501" s="38">
        <f t="shared" si="86"/>
        <v>22</v>
      </c>
      <c r="E501" s="40"/>
      <c r="F501" s="38">
        <v>11</v>
      </c>
      <c r="G501" s="41">
        <v>2</v>
      </c>
      <c r="H501" s="38">
        <f t="shared" si="87"/>
        <v>22</v>
      </c>
      <c r="J501" s="38" t="s">
        <v>149</v>
      </c>
      <c r="K501" s="38">
        <v>120</v>
      </c>
      <c r="M501" s="40"/>
    </row>
    <row r="502" spans="1:27" ht="12.75" x14ac:dyDescent="0.2">
      <c r="A502" s="38">
        <v>5</v>
      </c>
      <c r="B502" s="41">
        <v>5</v>
      </c>
      <c r="C502" s="38">
        <f t="shared" si="86"/>
        <v>25</v>
      </c>
      <c r="E502" s="40"/>
      <c r="F502" s="38">
        <v>2</v>
      </c>
      <c r="G502" s="41">
        <v>5</v>
      </c>
      <c r="H502" s="38">
        <f t="shared" si="87"/>
        <v>10</v>
      </c>
      <c r="J502" s="38" t="s">
        <v>161</v>
      </c>
      <c r="K502" s="38">
        <f>K496-K501</f>
        <v>183.39999999999998</v>
      </c>
      <c r="M502" s="40"/>
    </row>
    <row r="503" spans="1:27" ht="12.75" x14ac:dyDescent="0.2">
      <c r="A503" s="38">
        <v>2</v>
      </c>
      <c r="B503" s="41">
        <v>10</v>
      </c>
      <c r="C503" s="38">
        <f t="shared" si="86"/>
        <v>20</v>
      </c>
      <c r="E503" s="40"/>
      <c r="G503" s="41">
        <v>10</v>
      </c>
      <c r="H503" s="38">
        <f t="shared" si="87"/>
        <v>0</v>
      </c>
      <c r="J503" s="38" t="s">
        <v>189</v>
      </c>
      <c r="L503" s="38"/>
      <c r="M503" s="40"/>
    </row>
    <row r="504" spans="1:27" ht="12.75" x14ac:dyDescent="0.2">
      <c r="B504" s="41"/>
      <c r="E504" s="40"/>
      <c r="F504" s="38">
        <v>15</v>
      </c>
      <c r="G504" s="41">
        <v>20</v>
      </c>
      <c r="H504" s="38">
        <f t="shared" si="87"/>
        <v>300</v>
      </c>
      <c r="M504" s="40"/>
    </row>
    <row r="505" spans="1:27" ht="12.75" x14ac:dyDescent="0.2">
      <c r="B505" s="38" t="s">
        <v>156</v>
      </c>
      <c r="E505" s="40"/>
      <c r="F505" s="38">
        <v>2</v>
      </c>
      <c r="G505" s="41">
        <v>50</v>
      </c>
      <c r="H505" s="38">
        <f t="shared" si="87"/>
        <v>100</v>
      </c>
      <c r="M505" s="40"/>
    </row>
    <row r="506" spans="1:27" ht="12.75" x14ac:dyDescent="0.2">
      <c r="B506" s="38" t="s">
        <v>141</v>
      </c>
      <c r="C506" s="38">
        <f>SUM(C496:C505)</f>
        <v>103</v>
      </c>
      <c r="E506" s="40"/>
      <c r="G506" s="38" t="s">
        <v>137</v>
      </c>
      <c r="H506" s="38">
        <f>SUM(H496:H505)</f>
        <v>461.4</v>
      </c>
      <c r="M506" s="40"/>
    </row>
    <row r="507" spans="1:27" ht="12.75" x14ac:dyDescent="0.2">
      <c r="E507" s="40"/>
      <c r="G507" s="38" t="s">
        <v>158</v>
      </c>
      <c r="H507" s="38">
        <f>H506-C506</f>
        <v>358.4</v>
      </c>
      <c r="M507" s="40"/>
    </row>
    <row r="508" spans="1:27" ht="12.75" x14ac:dyDescent="0.2">
      <c r="E508" s="40"/>
      <c r="G508" s="38" t="s">
        <v>142</v>
      </c>
      <c r="H508" s="38">
        <v>303.39999999999998</v>
      </c>
      <c r="M508" s="40"/>
    </row>
    <row r="509" spans="1:27" ht="12.75" x14ac:dyDescent="0.2">
      <c r="E509" s="40"/>
      <c r="G509" s="38" t="s">
        <v>163</v>
      </c>
      <c r="H509" s="38">
        <v>89.7</v>
      </c>
      <c r="I509" s="38">
        <f>78.7+11</f>
        <v>89.7</v>
      </c>
      <c r="M509" s="40"/>
    </row>
    <row r="510" spans="1:27" ht="12.75" x14ac:dyDescent="0.2">
      <c r="E510" s="40"/>
      <c r="G510" s="38" t="s">
        <v>160</v>
      </c>
      <c r="H510" s="38">
        <f>H507-H508</f>
        <v>55</v>
      </c>
      <c r="M510" s="40"/>
    </row>
    <row r="511" spans="1:27" ht="12.75" x14ac:dyDescent="0.2">
      <c r="A511" s="43"/>
      <c r="B511" s="43"/>
      <c r="C511" s="43"/>
      <c r="D511" s="43"/>
      <c r="E511" s="40"/>
      <c r="F511" s="43"/>
      <c r="G511" s="43"/>
      <c r="H511" s="43"/>
      <c r="I511" s="43"/>
      <c r="J511" s="43"/>
      <c r="K511" s="43"/>
      <c r="L511" s="43"/>
      <c r="M511" s="48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</row>
    <row r="512" spans="1:27" ht="12.75" x14ac:dyDescent="0.2">
      <c r="A512" s="38" t="s">
        <v>135</v>
      </c>
      <c r="B512" s="39">
        <v>45564</v>
      </c>
      <c r="E512" s="40"/>
      <c r="F512" s="38" t="s">
        <v>136</v>
      </c>
      <c r="G512" s="39">
        <v>45564</v>
      </c>
      <c r="M512" s="40"/>
    </row>
    <row r="513" spans="1:13" ht="12.75" x14ac:dyDescent="0.2">
      <c r="A513" s="38" t="s">
        <v>139</v>
      </c>
      <c r="B513" s="38" t="s">
        <v>140</v>
      </c>
      <c r="C513" s="38" t="s">
        <v>141</v>
      </c>
      <c r="E513" s="40"/>
      <c r="F513" s="38" t="s">
        <v>139</v>
      </c>
      <c r="G513" s="38" t="s">
        <v>140</v>
      </c>
      <c r="H513" s="38" t="s">
        <v>141</v>
      </c>
      <c r="J513" s="38" t="s">
        <v>137</v>
      </c>
      <c r="M513" s="40"/>
    </row>
    <row r="514" spans="1:13" ht="12.75" x14ac:dyDescent="0.2">
      <c r="A514" s="38">
        <v>56</v>
      </c>
      <c r="B514" s="38">
        <v>0.05</v>
      </c>
      <c r="C514" s="38">
        <f t="shared" ref="C514:C521" si="88">A514*B514</f>
        <v>2.8000000000000003</v>
      </c>
      <c r="E514" s="40"/>
      <c r="F514" s="38">
        <v>56</v>
      </c>
      <c r="G514" s="38">
        <v>0.05</v>
      </c>
      <c r="H514" s="38">
        <f t="shared" ref="H514:H523" si="89">F514*G514</f>
        <v>2.8000000000000003</v>
      </c>
      <c r="J514" s="38" t="s">
        <v>142</v>
      </c>
      <c r="K514" s="38">
        <v>64.3</v>
      </c>
      <c r="L514" s="38">
        <v>61</v>
      </c>
      <c r="M514" s="40"/>
    </row>
    <row r="515" spans="1:13" ht="12.75" x14ac:dyDescent="0.2">
      <c r="A515" s="38">
        <v>19</v>
      </c>
      <c r="B515" s="41">
        <v>0.1</v>
      </c>
      <c r="C515" s="38">
        <f t="shared" si="88"/>
        <v>1.9000000000000001</v>
      </c>
      <c r="E515" s="40"/>
      <c r="F515" s="38">
        <v>20</v>
      </c>
      <c r="G515" s="41">
        <v>0.1</v>
      </c>
      <c r="H515" s="38">
        <f t="shared" si="89"/>
        <v>2</v>
      </c>
      <c r="J515" s="38" t="s">
        <v>163</v>
      </c>
      <c r="K515" s="38">
        <v>27.3</v>
      </c>
      <c r="M515" s="40"/>
    </row>
    <row r="516" spans="1:13" ht="12.75" x14ac:dyDescent="0.2">
      <c r="A516" s="38">
        <v>26</v>
      </c>
      <c r="B516" s="41">
        <v>0.2</v>
      </c>
      <c r="C516" s="38">
        <f t="shared" si="88"/>
        <v>5.2</v>
      </c>
      <c r="E516" s="40"/>
      <c r="F516" s="38">
        <v>16</v>
      </c>
      <c r="G516" s="41">
        <v>0.2</v>
      </c>
      <c r="H516" s="38">
        <f t="shared" si="89"/>
        <v>3.2</v>
      </c>
      <c r="J516" s="38" t="s">
        <v>146</v>
      </c>
      <c r="K516" s="50"/>
      <c r="M516" s="40"/>
    </row>
    <row r="517" spans="1:13" ht="12.75" x14ac:dyDescent="0.2">
      <c r="A517" s="38">
        <v>19</v>
      </c>
      <c r="B517" s="41">
        <v>0.5</v>
      </c>
      <c r="C517" s="38">
        <f t="shared" si="88"/>
        <v>9.5</v>
      </c>
      <c r="E517" s="40"/>
      <c r="F517" s="38">
        <v>18</v>
      </c>
      <c r="G517" s="41">
        <v>0.5</v>
      </c>
      <c r="H517" s="38">
        <f t="shared" si="89"/>
        <v>9</v>
      </c>
      <c r="J517" s="38" t="s">
        <v>144</v>
      </c>
      <c r="M517" s="40"/>
    </row>
    <row r="518" spans="1:13" ht="12.75" x14ac:dyDescent="0.2">
      <c r="A518" s="38">
        <v>10</v>
      </c>
      <c r="B518" s="41">
        <v>1</v>
      </c>
      <c r="C518" s="38">
        <f t="shared" si="88"/>
        <v>10</v>
      </c>
      <c r="E518" s="40"/>
      <c r="F518" s="38">
        <v>17</v>
      </c>
      <c r="G518" s="41">
        <v>1</v>
      </c>
      <c r="H518" s="38">
        <f t="shared" si="89"/>
        <v>17</v>
      </c>
      <c r="J518" s="42"/>
      <c r="M518" s="40"/>
    </row>
    <row r="519" spans="1:13" ht="12.75" x14ac:dyDescent="0.2">
      <c r="A519" s="38">
        <v>11</v>
      </c>
      <c r="B519" s="41">
        <v>2</v>
      </c>
      <c r="C519" s="38">
        <f t="shared" si="88"/>
        <v>22</v>
      </c>
      <c r="E519" s="40"/>
      <c r="F519" s="38">
        <v>9</v>
      </c>
      <c r="G519" s="41">
        <v>2</v>
      </c>
      <c r="H519" s="38">
        <f t="shared" si="89"/>
        <v>18</v>
      </c>
      <c r="J519" s="38" t="s">
        <v>149</v>
      </c>
      <c r="L519" s="38">
        <f>SUM(L514,L515)*0.2</f>
        <v>12.200000000000001</v>
      </c>
      <c r="M519" s="40"/>
    </row>
    <row r="520" spans="1:13" ht="12.75" x14ac:dyDescent="0.2">
      <c r="A520" s="38">
        <v>5</v>
      </c>
      <c r="B520" s="41">
        <v>5</v>
      </c>
      <c r="C520" s="38">
        <f t="shared" si="88"/>
        <v>25</v>
      </c>
      <c r="E520" s="40"/>
      <c r="F520" s="38">
        <v>12</v>
      </c>
      <c r="G520" s="41">
        <v>5</v>
      </c>
      <c r="H520" s="38">
        <f t="shared" si="89"/>
        <v>60</v>
      </c>
      <c r="J520" s="38" t="s">
        <v>161</v>
      </c>
      <c r="K520" s="38">
        <f t="shared" ref="K520:L520" si="90">K514-K519</f>
        <v>64.3</v>
      </c>
      <c r="L520" s="38">
        <f t="shared" si="90"/>
        <v>48.8</v>
      </c>
      <c r="M520" s="40"/>
    </row>
    <row r="521" spans="1:13" ht="12.75" x14ac:dyDescent="0.2">
      <c r="A521" s="38">
        <v>2</v>
      </c>
      <c r="B521" s="41">
        <v>10</v>
      </c>
      <c r="C521" s="38">
        <f t="shared" si="88"/>
        <v>20</v>
      </c>
      <c r="E521" s="40"/>
      <c r="F521" s="38">
        <v>5</v>
      </c>
      <c r="G521" s="41">
        <v>10</v>
      </c>
      <c r="H521" s="38">
        <f t="shared" si="89"/>
        <v>50</v>
      </c>
      <c r="J521" s="38" t="s">
        <v>189</v>
      </c>
      <c r="L521" s="38"/>
      <c r="M521" s="40"/>
    </row>
    <row r="522" spans="1:13" ht="12.75" x14ac:dyDescent="0.2">
      <c r="B522" s="41"/>
      <c r="E522" s="40"/>
      <c r="F522" s="38">
        <v>3</v>
      </c>
      <c r="G522" s="41">
        <v>20</v>
      </c>
      <c r="H522" s="38">
        <f t="shared" si="89"/>
        <v>60</v>
      </c>
      <c r="M522" s="40"/>
    </row>
    <row r="523" spans="1:13" ht="12.75" x14ac:dyDescent="0.2">
      <c r="B523" s="38" t="s">
        <v>156</v>
      </c>
      <c r="E523" s="40"/>
      <c r="G523" s="41">
        <v>50</v>
      </c>
      <c r="H523" s="38">
        <f t="shared" si="89"/>
        <v>0</v>
      </c>
      <c r="M523" s="40"/>
    </row>
    <row r="524" spans="1:13" ht="12.75" x14ac:dyDescent="0.2">
      <c r="B524" s="38" t="s">
        <v>141</v>
      </c>
      <c r="C524" s="38">
        <f>SUM(C514:C523)</f>
        <v>96.4</v>
      </c>
      <c r="E524" s="40"/>
      <c r="G524" s="38" t="s">
        <v>137</v>
      </c>
      <c r="H524" s="38">
        <f>SUM(H514:H523)</f>
        <v>222</v>
      </c>
      <c r="M524" s="40"/>
    </row>
    <row r="525" spans="1:13" ht="12.75" x14ac:dyDescent="0.2">
      <c r="E525" s="40"/>
      <c r="G525" s="38" t="s">
        <v>158</v>
      </c>
      <c r="H525" s="38">
        <f>H524-C524</f>
        <v>125.6</v>
      </c>
      <c r="M525" s="40"/>
    </row>
    <row r="526" spans="1:13" ht="12.75" x14ac:dyDescent="0.2">
      <c r="E526" s="40"/>
      <c r="G526" s="38" t="s">
        <v>142</v>
      </c>
      <c r="H526" s="38">
        <v>64.3</v>
      </c>
      <c r="M526" s="40"/>
    </row>
    <row r="527" spans="1:13" ht="12.75" x14ac:dyDescent="0.2">
      <c r="E527" s="40"/>
      <c r="G527" s="38" t="s">
        <v>163</v>
      </c>
      <c r="H527" s="38">
        <v>27.3</v>
      </c>
      <c r="M527" s="40"/>
    </row>
    <row r="528" spans="1:13" ht="12.75" x14ac:dyDescent="0.2">
      <c r="E528" s="40"/>
      <c r="G528" s="38" t="s">
        <v>160</v>
      </c>
      <c r="H528" s="38">
        <f>H525-H526</f>
        <v>61.3</v>
      </c>
      <c r="M528" s="40"/>
    </row>
    <row r="529" spans="1:27" ht="12.75" x14ac:dyDescent="0.2">
      <c r="A529" s="43"/>
      <c r="B529" s="43"/>
      <c r="C529" s="43"/>
      <c r="D529" s="43"/>
      <c r="E529" s="40"/>
      <c r="F529" s="43"/>
      <c r="G529" s="43"/>
      <c r="H529" s="43"/>
      <c r="I529" s="43"/>
      <c r="J529" s="43"/>
      <c r="K529" s="43"/>
      <c r="L529" s="43"/>
      <c r="M529" s="48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</row>
    <row r="530" spans="1:27" ht="12.75" x14ac:dyDescent="0.2">
      <c r="A530" s="38" t="s">
        <v>135</v>
      </c>
      <c r="B530" s="39">
        <v>45565</v>
      </c>
      <c r="E530" s="40"/>
      <c r="F530" s="38" t="s">
        <v>136</v>
      </c>
      <c r="G530" s="39">
        <v>45565</v>
      </c>
      <c r="M530" s="40"/>
    </row>
    <row r="531" spans="1:27" ht="12.75" x14ac:dyDescent="0.2">
      <c r="A531" s="38" t="s">
        <v>139</v>
      </c>
      <c r="B531" s="38" t="s">
        <v>140</v>
      </c>
      <c r="C531" s="38" t="s">
        <v>141</v>
      </c>
      <c r="E531" s="40"/>
      <c r="F531" s="38" t="s">
        <v>139</v>
      </c>
      <c r="G531" s="38" t="s">
        <v>140</v>
      </c>
      <c r="H531" s="38" t="s">
        <v>141</v>
      </c>
      <c r="J531" s="38" t="s">
        <v>137</v>
      </c>
      <c r="M531" s="40"/>
    </row>
    <row r="532" spans="1:27" ht="12.75" x14ac:dyDescent="0.2">
      <c r="A532" s="38">
        <v>56</v>
      </c>
      <c r="B532" s="38">
        <v>0.05</v>
      </c>
      <c r="C532" s="38">
        <f t="shared" ref="C532:C539" si="91">A532*B532</f>
        <v>2.8000000000000003</v>
      </c>
      <c r="E532" s="40"/>
      <c r="F532" s="38">
        <v>59</v>
      </c>
      <c r="G532" s="38">
        <v>0.05</v>
      </c>
      <c r="H532" s="38">
        <f t="shared" ref="H532:H541" si="92">F532*G532</f>
        <v>2.95</v>
      </c>
      <c r="J532" s="38" t="s">
        <v>142</v>
      </c>
      <c r="K532" s="38">
        <v>241</v>
      </c>
      <c r="L532" s="38">
        <v>104</v>
      </c>
      <c r="M532" s="40"/>
    </row>
    <row r="533" spans="1:27" ht="12.75" x14ac:dyDescent="0.2">
      <c r="A533" s="38">
        <v>20</v>
      </c>
      <c r="B533" s="41">
        <v>0.1</v>
      </c>
      <c r="C533" s="38">
        <f t="shared" si="91"/>
        <v>2</v>
      </c>
      <c r="E533" s="40"/>
      <c r="F533" s="38">
        <v>13</v>
      </c>
      <c r="G533" s="41">
        <v>0.1</v>
      </c>
      <c r="H533" s="38">
        <f t="shared" si="92"/>
        <v>1.3</v>
      </c>
      <c r="J533" s="38" t="s">
        <v>163</v>
      </c>
      <c r="K533" s="38">
        <v>25.2</v>
      </c>
      <c r="M533" s="40"/>
    </row>
    <row r="534" spans="1:27" ht="12.75" x14ac:dyDescent="0.2">
      <c r="A534" s="38">
        <v>16</v>
      </c>
      <c r="B534" s="41">
        <v>0.2</v>
      </c>
      <c r="C534" s="38">
        <f t="shared" si="91"/>
        <v>3.2</v>
      </c>
      <c r="E534" s="40"/>
      <c r="F534" s="38">
        <v>17</v>
      </c>
      <c r="G534" s="41">
        <v>0.2</v>
      </c>
      <c r="H534" s="38">
        <f t="shared" si="92"/>
        <v>3.4000000000000004</v>
      </c>
      <c r="J534" s="38" t="s">
        <v>146</v>
      </c>
      <c r="K534" s="50"/>
      <c r="M534" s="40"/>
    </row>
    <row r="535" spans="1:27" ht="12.75" x14ac:dyDescent="0.2">
      <c r="A535" s="38">
        <v>18</v>
      </c>
      <c r="B535" s="41">
        <v>0.5</v>
      </c>
      <c r="C535" s="38">
        <f t="shared" si="91"/>
        <v>9</v>
      </c>
      <c r="E535" s="40"/>
      <c r="F535" s="38">
        <v>16</v>
      </c>
      <c r="G535" s="41">
        <v>0.5</v>
      </c>
      <c r="H535" s="38">
        <f t="shared" si="92"/>
        <v>8</v>
      </c>
      <c r="J535" s="38" t="s">
        <v>144</v>
      </c>
      <c r="M535" s="40"/>
    </row>
    <row r="536" spans="1:27" ht="12.75" x14ac:dyDescent="0.2">
      <c r="A536" s="38">
        <v>17</v>
      </c>
      <c r="B536" s="41">
        <v>1</v>
      </c>
      <c r="C536" s="38">
        <f t="shared" si="91"/>
        <v>17</v>
      </c>
      <c r="E536" s="40"/>
      <c r="F536" s="38">
        <v>16</v>
      </c>
      <c r="G536" s="41">
        <v>1</v>
      </c>
      <c r="H536" s="38">
        <f t="shared" si="92"/>
        <v>16</v>
      </c>
      <c r="J536" s="42"/>
      <c r="M536" s="40"/>
    </row>
    <row r="537" spans="1:27" ht="12.75" x14ac:dyDescent="0.2">
      <c r="A537" s="38">
        <v>9</v>
      </c>
      <c r="B537" s="41">
        <v>2</v>
      </c>
      <c r="C537" s="38">
        <f t="shared" si="91"/>
        <v>18</v>
      </c>
      <c r="E537" s="40"/>
      <c r="F537" s="38">
        <v>13</v>
      </c>
      <c r="G537" s="41">
        <v>2</v>
      </c>
      <c r="H537" s="38">
        <f t="shared" si="92"/>
        <v>26</v>
      </c>
      <c r="J537" s="38" t="s">
        <v>149</v>
      </c>
      <c r="K537" s="38">
        <f>SUM(K532,K533)*0.3</f>
        <v>79.86</v>
      </c>
      <c r="M537" s="40"/>
    </row>
    <row r="538" spans="1:27" ht="12.75" x14ac:dyDescent="0.2">
      <c r="A538" s="38">
        <v>4</v>
      </c>
      <c r="B538" s="41">
        <v>5</v>
      </c>
      <c r="C538" s="38">
        <f t="shared" si="91"/>
        <v>20</v>
      </c>
      <c r="E538" s="40"/>
      <c r="F538" s="38">
        <v>10</v>
      </c>
      <c r="G538" s="41">
        <v>5</v>
      </c>
      <c r="H538" s="38">
        <f t="shared" si="92"/>
        <v>50</v>
      </c>
      <c r="J538" s="38" t="s">
        <v>161</v>
      </c>
      <c r="K538" s="38">
        <f>K532-K537</f>
        <v>161.13999999999999</v>
      </c>
      <c r="L538" s="38">
        <v>100</v>
      </c>
      <c r="M538" s="40"/>
    </row>
    <row r="539" spans="1:27" ht="12.75" x14ac:dyDescent="0.2">
      <c r="A539" s="38">
        <v>2</v>
      </c>
      <c r="B539" s="41">
        <v>10</v>
      </c>
      <c r="C539" s="38">
        <f t="shared" si="91"/>
        <v>20</v>
      </c>
      <c r="E539" s="40"/>
      <c r="F539" s="38">
        <v>6</v>
      </c>
      <c r="G539" s="41">
        <v>10</v>
      </c>
      <c r="H539" s="38">
        <f t="shared" si="92"/>
        <v>60</v>
      </c>
      <c r="J539" s="38" t="s">
        <v>189</v>
      </c>
      <c r="K539" s="38">
        <v>100</v>
      </c>
      <c r="L539" s="38"/>
      <c r="M539" s="40"/>
    </row>
    <row r="540" spans="1:27" ht="12.75" x14ac:dyDescent="0.2">
      <c r="B540" s="41"/>
      <c r="E540" s="40"/>
      <c r="F540" s="38">
        <v>11</v>
      </c>
      <c r="G540" s="41">
        <v>20</v>
      </c>
      <c r="H540" s="38">
        <f t="shared" si="92"/>
        <v>220</v>
      </c>
      <c r="J540" s="38" t="s">
        <v>190</v>
      </c>
      <c r="K540" s="38">
        <v>20</v>
      </c>
      <c r="M540" s="40"/>
    </row>
    <row r="541" spans="1:27" ht="12.75" x14ac:dyDescent="0.2">
      <c r="B541" s="38" t="s">
        <v>156</v>
      </c>
      <c r="E541" s="40"/>
      <c r="F541" s="38">
        <v>1</v>
      </c>
      <c r="G541" s="41">
        <v>50</v>
      </c>
      <c r="H541" s="38">
        <f t="shared" si="92"/>
        <v>50</v>
      </c>
      <c r="J541" s="38" t="s">
        <v>191</v>
      </c>
      <c r="K541" s="38">
        <v>40</v>
      </c>
      <c r="M541" s="40"/>
    </row>
    <row r="542" spans="1:27" ht="12.75" x14ac:dyDescent="0.2">
      <c r="B542" s="38" t="s">
        <v>141</v>
      </c>
      <c r="C542" s="38">
        <f>SUM(C532:C541)</f>
        <v>92</v>
      </c>
      <c r="E542" s="40"/>
      <c r="G542" s="38" t="s">
        <v>137</v>
      </c>
      <c r="H542" s="38">
        <f>SUM(H532:H541)</f>
        <v>437.65</v>
      </c>
      <c r="M542" s="40"/>
    </row>
    <row r="543" spans="1:27" ht="12.75" x14ac:dyDescent="0.2">
      <c r="E543" s="40"/>
      <c r="G543" s="38" t="s">
        <v>158</v>
      </c>
      <c r="H543" s="38">
        <f>H542-C542</f>
        <v>345.65</v>
      </c>
      <c r="M543" s="40"/>
    </row>
    <row r="544" spans="1:27" ht="12.75" x14ac:dyDescent="0.2">
      <c r="E544" s="40"/>
      <c r="G544" s="38" t="s">
        <v>142</v>
      </c>
      <c r="H544" s="38">
        <v>241.3</v>
      </c>
      <c r="M544" s="40"/>
    </row>
    <row r="545" spans="5:13" ht="12.75" x14ac:dyDescent="0.2">
      <c r="E545" s="40"/>
      <c r="G545" s="38" t="s">
        <v>163</v>
      </c>
      <c r="H545" s="38">
        <v>25.2</v>
      </c>
      <c r="I545" s="38">
        <f>6.4+18.8</f>
        <v>25.200000000000003</v>
      </c>
      <c r="M545" s="40"/>
    </row>
    <row r="546" spans="5:13" ht="12.75" x14ac:dyDescent="0.2">
      <c r="E546" s="40"/>
      <c r="G546" s="38" t="s">
        <v>160</v>
      </c>
      <c r="H546" s="38">
        <f>H543-H544</f>
        <v>104.34999999999997</v>
      </c>
      <c r="M546" s="40"/>
    </row>
    <row r="547" spans="5:13" ht="12.75" x14ac:dyDescent="0.2">
      <c r="E547" s="40"/>
      <c r="M547" s="40"/>
    </row>
    <row r="548" spans="5:13" ht="12.75" x14ac:dyDescent="0.2">
      <c r="E548" s="40"/>
      <c r="M548" s="40"/>
    </row>
    <row r="549" spans="5:13" ht="12.75" x14ac:dyDescent="0.2">
      <c r="E549" s="40"/>
      <c r="M549" s="40"/>
    </row>
    <row r="550" spans="5:13" ht="12.75" x14ac:dyDescent="0.2">
      <c r="E550" s="40"/>
      <c r="M550" s="40"/>
    </row>
    <row r="551" spans="5:13" ht="12.75" x14ac:dyDescent="0.2">
      <c r="E551" s="40"/>
      <c r="M551" s="40"/>
    </row>
    <row r="552" spans="5:13" ht="12.75" x14ac:dyDescent="0.2">
      <c r="E552" s="40"/>
      <c r="M552" s="40"/>
    </row>
    <row r="553" spans="5:13" ht="12.75" x14ac:dyDescent="0.2">
      <c r="E553" s="40"/>
      <c r="M553" s="40"/>
    </row>
    <row r="554" spans="5:13" ht="12.75" x14ac:dyDescent="0.2">
      <c r="E554" s="40"/>
      <c r="M554" s="40"/>
    </row>
    <row r="555" spans="5:13" ht="12.75" x14ac:dyDescent="0.2">
      <c r="E555" s="40"/>
      <c r="M555" s="40"/>
    </row>
    <row r="556" spans="5:13" ht="12.75" x14ac:dyDescent="0.2">
      <c r="E556" s="40"/>
      <c r="M556" s="40"/>
    </row>
    <row r="557" spans="5:13" ht="12.75" x14ac:dyDescent="0.2">
      <c r="E557" s="40"/>
      <c r="M557" s="40"/>
    </row>
    <row r="558" spans="5:13" ht="12.75" x14ac:dyDescent="0.2">
      <c r="E558" s="40"/>
      <c r="M558" s="40"/>
    </row>
    <row r="559" spans="5:13" ht="12.75" x14ac:dyDescent="0.2">
      <c r="E559" s="40"/>
      <c r="M559" s="40"/>
    </row>
    <row r="560" spans="5:13" ht="12.75" x14ac:dyDescent="0.2">
      <c r="E560" s="40"/>
      <c r="M560" s="40"/>
    </row>
    <row r="561" spans="5:13" ht="12.75" x14ac:dyDescent="0.2">
      <c r="E561" s="40"/>
      <c r="M561" s="40"/>
    </row>
    <row r="562" spans="5:13" ht="12.75" x14ac:dyDescent="0.2">
      <c r="E562" s="40"/>
      <c r="M562" s="40"/>
    </row>
    <row r="563" spans="5:13" ht="12.75" x14ac:dyDescent="0.2">
      <c r="E563" s="40"/>
      <c r="M563" s="40"/>
    </row>
    <row r="564" spans="5:13" ht="12.75" x14ac:dyDescent="0.2">
      <c r="E564" s="40"/>
      <c r="M564" s="40"/>
    </row>
    <row r="565" spans="5:13" ht="12.75" x14ac:dyDescent="0.2">
      <c r="E565" s="40"/>
      <c r="M565" s="40"/>
    </row>
    <row r="566" spans="5:13" ht="12.75" x14ac:dyDescent="0.2">
      <c r="E566" s="40"/>
      <c r="M566" s="40"/>
    </row>
    <row r="567" spans="5:13" ht="12.75" x14ac:dyDescent="0.2">
      <c r="E567" s="40"/>
      <c r="M567" s="40"/>
    </row>
    <row r="568" spans="5:13" ht="12.75" x14ac:dyDescent="0.2">
      <c r="E568" s="40"/>
      <c r="M568" s="40"/>
    </row>
    <row r="569" spans="5:13" ht="12.75" x14ac:dyDescent="0.2">
      <c r="E569" s="40"/>
      <c r="M569" s="40"/>
    </row>
    <row r="570" spans="5:13" ht="12.75" x14ac:dyDescent="0.2">
      <c r="E570" s="40"/>
      <c r="M570" s="40"/>
    </row>
    <row r="571" spans="5:13" ht="12.75" x14ac:dyDescent="0.2">
      <c r="E571" s="40"/>
      <c r="M571" s="40"/>
    </row>
    <row r="572" spans="5:13" ht="12.75" x14ac:dyDescent="0.2">
      <c r="E572" s="40"/>
      <c r="M572" s="40"/>
    </row>
    <row r="573" spans="5:13" ht="12.75" x14ac:dyDescent="0.2">
      <c r="E573" s="40"/>
      <c r="M573" s="40"/>
    </row>
    <row r="574" spans="5:13" ht="12.75" x14ac:dyDescent="0.2">
      <c r="E574" s="40"/>
      <c r="M574" s="40"/>
    </row>
    <row r="575" spans="5:13" ht="12.75" x14ac:dyDescent="0.2">
      <c r="E575" s="40"/>
      <c r="M575" s="40"/>
    </row>
    <row r="576" spans="5:13" ht="12.75" x14ac:dyDescent="0.2">
      <c r="E576" s="40"/>
      <c r="M576" s="40"/>
    </row>
    <row r="577" spans="5:13" ht="12.75" x14ac:dyDescent="0.2">
      <c r="E577" s="40"/>
      <c r="M577" s="40"/>
    </row>
    <row r="578" spans="5:13" ht="12.75" x14ac:dyDescent="0.2">
      <c r="E578" s="40"/>
      <c r="M578" s="40"/>
    </row>
    <row r="579" spans="5:13" ht="12.75" x14ac:dyDescent="0.2">
      <c r="E579" s="40"/>
      <c r="M579" s="40"/>
    </row>
    <row r="580" spans="5:13" ht="12.75" x14ac:dyDescent="0.2">
      <c r="E580" s="40"/>
      <c r="M580" s="40"/>
    </row>
    <row r="581" spans="5:13" ht="12.75" x14ac:dyDescent="0.2">
      <c r="E581" s="40"/>
      <c r="M581" s="40"/>
    </row>
    <row r="582" spans="5:13" ht="12.75" x14ac:dyDescent="0.2">
      <c r="E582" s="40"/>
      <c r="M582" s="40"/>
    </row>
    <row r="583" spans="5:13" ht="12.75" x14ac:dyDescent="0.2">
      <c r="E583" s="40"/>
      <c r="M583" s="40"/>
    </row>
    <row r="584" spans="5:13" ht="12.75" x14ac:dyDescent="0.2">
      <c r="E584" s="40"/>
      <c r="M584" s="40"/>
    </row>
    <row r="585" spans="5:13" ht="12.75" x14ac:dyDescent="0.2">
      <c r="E585" s="40"/>
      <c r="M585" s="40"/>
    </row>
    <row r="586" spans="5:13" ht="12.75" x14ac:dyDescent="0.2">
      <c r="E586" s="40"/>
      <c r="M586" s="40"/>
    </row>
    <row r="587" spans="5:13" ht="12.75" x14ac:dyDescent="0.2">
      <c r="E587" s="40"/>
      <c r="M587" s="40"/>
    </row>
    <row r="588" spans="5:13" ht="12.75" x14ac:dyDescent="0.2">
      <c r="E588" s="40"/>
      <c r="M588" s="40"/>
    </row>
    <row r="589" spans="5:13" ht="12.75" x14ac:dyDescent="0.2">
      <c r="E589" s="40"/>
      <c r="M589" s="40"/>
    </row>
    <row r="590" spans="5:13" ht="12.75" x14ac:dyDescent="0.2">
      <c r="E590" s="40"/>
      <c r="M590" s="40"/>
    </row>
    <row r="591" spans="5:13" ht="12.75" x14ac:dyDescent="0.2">
      <c r="E591" s="40"/>
      <c r="M591" s="40"/>
    </row>
    <row r="592" spans="5:13" ht="12.75" x14ac:dyDescent="0.2">
      <c r="E592" s="40"/>
      <c r="M592" s="40"/>
    </row>
    <row r="593" spans="5:13" ht="12.75" x14ac:dyDescent="0.2">
      <c r="E593" s="40"/>
      <c r="M593" s="40"/>
    </row>
    <row r="594" spans="5:13" ht="12.75" x14ac:dyDescent="0.2">
      <c r="E594" s="40"/>
      <c r="M594" s="40"/>
    </row>
    <row r="595" spans="5:13" ht="12.75" x14ac:dyDescent="0.2">
      <c r="E595" s="40"/>
      <c r="M595" s="40"/>
    </row>
    <row r="596" spans="5:13" ht="12.75" x14ac:dyDescent="0.2">
      <c r="E596" s="40"/>
      <c r="M596" s="40"/>
    </row>
    <row r="597" spans="5:13" ht="12.75" x14ac:dyDescent="0.2">
      <c r="E597" s="40"/>
      <c r="M597" s="40"/>
    </row>
    <row r="598" spans="5:13" ht="12.75" x14ac:dyDescent="0.2">
      <c r="E598" s="40"/>
      <c r="M598" s="40"/>
    </row>
    <row r="599" spans="5:13" ht="12.75" x14ac:dyDescent="0.2">
      <c r="E599" s="40"/>
      <c r="M599" s="40"/>
    </row>
    <row r="600" spans="5:13" ht="12.75" x14ac:dyDescent="0.2">
      <c r="E600" s="40"/>
      <c r="M600" s="40"/>
    </row>
    <row r="601" spans="5:13" ht="12.75" x14ac:dyDescent="0.2">
      <c r="E601" s="40"/>
      <c r="M601" s="40"/>
    </row>
    <row r="602" spans="5:13" ht="12.75" x14ac:dyDescent="0.2">
      <c r="E602" s="40"/>
      <c r="M602" s="40"/>
    </row>
    <row r="603" spans="5:13" ht="12.75" x14ac:dyDescent="0.2">
      <c r="E603" s="40"/>
      <c r="M603" s="40"/>
    </row>
    <row r="604" spans="5:13" ht="12.75" x14ac:dyDescent="0.2">
      <c r="E604" s="40"/>
      <c r="M604" s="40"/>
    </row>
    <row r="605" spans="5:13" ht="12.75" x14ac:dyDescent="0.2">
      <c r="E605" s="40"/>
      <c r="M605" s="40"/>
    </row>
    <row r="606" spans="5:13" ht="12.75" x14ac:dyDescent="0.2">
      <c r="E606" s="40"/>
      <c r="M606" s="40"/>
    </row>
    <row r="607" spans="5:13" ht="12.75" x14ac:dyDescent="0.2">
      <c r="E607" s="40"/>
      <c r="M607" s="40"/>
    </row>
    <row r="608" spans="5:13" ht="12.75" x14ac:dyDescent="0.2">
      <c r="E608" s="40"/>
      <c r="M608" s="40"/>
    </row>
    <row r="609" spans="5:13" ht="12.75" x14ac:dyDescent="0.2">
      <c r="E609" s="40"/>
      <c r="M609" s="40"/>
    </row>
    <row r="610" spans="5:13" ht="12.75" x14ac:dyDescent="0.2">
      <c r="E610" s="40"/>
      <c r="M610" s="40"/>
    </row>
    <row r="611" spans="5:13" ht="12.75" x14ac:dyDescent="0.2">
      <c r="E611" s="40"/>
      <c r="M611" s="40"/>
    </row>
    <row r="612" spans="5:13" ht="12.75" x14ac:dyDescent="0.2">
      <c r="E612" s="40"/>
      <c r="M612" s="40"/>
    </row>
    <row r="613" spans="5:13" ht="12.75" x14ac:dyDescent="0.2">
      <c r="E613" s="40"/>
      <c r="M613" s="40"/>
    </row>
    <row r="614" spans="5:13" ht="12.75" x14ac:dyDescent="0.2">
      <c r="E614" s="40"/>
      <c r="M614" s="40"/>
    </row>
    <row r="615" spans="5:13" ht="12.75" x14ac:dyDescent="0.2">
      <c r="E615" s="40"/>
      <c r="M615" s="40"/>
    </row>
    <row r="616" spans="5:13" ht="12.75" x14ac:dyDescent="0.2">
      <c r="E616" s="40"/>
      <c r="M616" s="40"/>
    </row>
    <row r="617" spans="5:13" ht="12.75" x14ac:dyDescent="0.2">
      <c r="E617" s="40"/>
      <c r="M617" s="40"/>
    </row>
    <row r="618" spans="5:13" ht="12.75" x14ac:dyDescent="0.2">
      <c r="E618" s="40"/>
      <c r="M618" s="40"/>
    </row>
    <row r="619" spans="5:13" ht="12.75" x14ac:dyDescent="0.2">
      <c r="E619" s="40"/>
      <c r="M619" s="40"/>
    </row>
    <row r="620" spans="5:13" ht="12.75" x14ac:dyDescent="0.2">
      <c r="E620" s="40"/>
      <c r="M620" s="40"/>
    </row>
    <row r="621" spans="5:13" ht="12.75" x14ac:dyDescent="0.2">
      <c r="E621" s="40"/>
      <c r="M621" s="40"/>
    </row>
    <row r="622" spans="5:13" ht="12.75" x14ac:dyDescent="0.2">
      <c r="E622" s="40"/>
      <c r="M622" s="40"/>
    </row>
    <row r="623" spans="5:13" ht="12.75" x14ac:dyDescent="0.2">
      <c r="E623" s="40"/>
      <c r="M623" s="40"/>
    </row>
    <row r="624" spans="5:13" ht="12.75" x14ac:dyDescent="0.2">
      <c r="E624" s="40"/>
      <c r="M624" s="40"/>
    </row>
    <row r="625" spans="5:13" ht="12.75" x14ac:dyDescent="0.2">
      <c r="E625" s="40"/>
      <c r="M625" s="40"/>
    </row>
    <row r="626" spans="5:13" ht="12.75" x14ac:dyDescent="0.2">
      <c r="E626" s="40"/>
      <c r="M626" s="40"/>
    </row>
    <row r="627" spans="5:13" ht="12.75" x14ac:dyDescent="0.2">
      <c r="E627" s="40"/>
      <c r="M627" s="40"/>
    </row>
    <row r="628" spans="5:13" ht="12.75" x14ac:dyDescent="0.2">
      <c r="E628" s="40"/>
      <c r="M628" s="40"/>
    </row>
    <row r="629" spans="5:13" ht="12.75" x14ac:dyDescent="0.2">
      <c r="E629" s="40"/>
      <c r="M629" s="40"/>
    </row>
    <row r="630" spans="5:13" ht="12.75" x14ac:dyDescent="0.2">
      <c r="E630" s="40"/>
      <c r="M630" s="40"/>
    </row>
    <row r="631" spans="5:13" ht="12.75" x14ac:dyDescent="0.2">
      <c r="E631" s="40"/>
      <c r="M631" s="40"/>
    </row>
    <row r="632" spans="5:13" ht="12.75" x14ac:dyDescent="0.2">
      <c r="E632" s="40"/>
      <c r="M632" s="40"/>
    </row>
    <row r="633" spans="5:13" ht="12.75" x14ac:dyDescent="0.2">
      <c r="E633" s="40"/>
      <c r="M633" s="40"/>
    </row>
    <row r="634" spans="5:13" ht="12.75" x14ac:dyDescent="0.2">
      <c r="E634" s="40"/>
      <c r="M634" s="40"/>
    </row>
    <row r="635" spans="5:13" ht="12.75" x14ac:dyDescent="0.2">
      <c r="E635" s="40"/>
      <c r="M635" s="40"/>
    </row>
    <row r="636" spans="5:13" ht="12.75" x14ac:dyDescent="0.2">
      <c r="E636" s="40"/>
      <c r="M636" s="40"/>
    </row>
    <row r="637" spans="5:13" ht="12.75" x14ac:dyDescent="0.2">
      <c r="E637" s="40"/>
      <c r="M637" s="40"/>
    </row>
    <row r="638" spans="5:13" ht="12.75" x14ac:dyDescent="0.2">
      <c r="E638" s="40"/>
      <c r="M638" s="40"/>
    </row>
    <row r="639" spans="5:13" ht="12.75" x14ac:dyDescent="0.2">
      <c r="E639" s="40"/>
      <c r="M639" s="40"/>
    </row>
    <row r="640" spans="5:13" ht="12.75" x14ac:dyDescent="0.2">
      <c r="E640" s="40"/>
      <c r="M640" s="40"/>
    </row>
    <row r="641" spans="5:13" ht="12.75" x14ac:dyDescent="0.2">
      <c r="E641" s="40"/>
      <c r="M641" s="40"/>
    </row>
    <row r="642" spans="5:13" ht="12.75" x14ac:dyDescent="0.2">
      <c r="E642" s="40"/>
      <c r="M642" s="40"/>
    </row>
    <row r="643" spans="5:13" ht="12.75" x14ac:dyDescent="0.2">
      <c r="E643" s="40"/>
      <c r="M643" s="40"/>
    </row>
    <row r="644" spans="5:13" ht="12.75" x14ac:dyDescent="0.2">
      <c r="E644" s="40"/>
      <c r="M644" s="40"/>
    </row>
    <row r="645" spans="5:13" ht="12.75" x14ac:dyDescent="0.2">
      <c r="E645" s="40"/>
      <c r="M645" s="40"/>
    </row>
    <row r="646" spans="5:13" ht="12.75" x14ac:dyDescent="0.2">
      <c r="E646" s="40"/>
      <c r="M646" s="40"/>
    </row>
    <row r="647" spans="5:13" ht="12.75" x14ac:dyDescent="0.2">
      <c r="E647" s="40"/>
      <c r="M647" s="40"/>
    </row>
    <row r="648" spans="5:13" ht="12.75" x14ac:dyDescent="0.2">
      <c r="E648" s="40"/>
      <c r="M648" s="40"/>
    </row>
    <row r="649" spans="5:13" ht="12.75" x14ac:dyDescent="0.2">
      <c r="E649" s="40"/>
      <c r="M649" s="40"/>
    </row>
    <row r="650" spans="5:13" ht="12.75" x14ac:dyDescent="0.2">
      <c r="E650" s="40"/>
      <c r="M650" s="40"/>
    </row>
    <row r="651" spans="5:13" ht="12.75" x14ac:dyDescent="0.2">
      <c r="E651" s="40"/>
      <c r="M651" s="40"/>
    </row>
    <row r="652" spans="5:13" ht="12.75" x14ac:dyDescent="0.2">
      <c r="E652" s="40"/>
      <c r="M652" s="40"/>
    </row>
    <row r="653" spans="5:13" ht="12.75" x14ac:dyDescent="0.2">
      <c r="E653" s="40"/>
      <c r="M653" s="40"/>
    </row>
    <row r="654" spans="5:13" ht="12.75" x14ac:dyDescent="0.2">
      <c r="E654" s="40"/>
      <c r="M654" s="40"/>
    </row>
    <row r="655" spans="5:13" ht="12.75" x14ac:dyDescent="0.2">
      <c r="E655" s="40"/>
      <c r="M655" s="40"/>
    </row>
    <row r="656" spans="5:13" ht="12.75" x14ac:dyDescent="0.2">
      <c r="E656" s="40"/>
      <c r="M656" s="40"/>
    </row>
    <row r="657" spans="5:13" ht="12.75" x14ac:dyDescent="0.2">
      <c r="E657" s="40"/>
      <c r="M657" s="40"/>
    </row>
    <row r="658" spans="5:13" ht="12.75" x14ac:dyDescent="0.2">
      <c r="E658" s="40"/>
      <c r="M658" s="40"/>
    </row>
    <row r="659" spans="5:13" ht="12.75" x14ac:dyDescent="0.2">
      <c r="E659" s="40"/>
      <c r="M659" s="40"/>
    </row>
    <row r="660" spans="5:13" ht="12.75" x14ac:dyDescent="0.2">
      <c r="E660" s="40"/>
      <c r="M660" s="40"/>
    </row>
    <row r="661" spans="5:13" ht="12.75" x14ac:dyDescent="0.2">
      <c r="E661" s="40"/>
      <c r="M661" s="40"/>
    </row>
    <row r="662" spans="5:13" ht="12.75" x14ac:dyDescent="0.2">
      <c r="E662" s="40"/>
      <c r="M662" s="40"/>
    </row>
    <row r="663" spans="5:13" ht="12.75" x14ac:dyDescent="0.2">
      <c r="E663" s="40"/>
      <c r="M663" s="40"/>
    </row>
    <row r="664" spans="5:13" ht="12.75" x14ac:dyDescent="0.2">
      <c r="E664" s="40"/>
      <c r="M664" s="40"/>
    </row>
    <row r="665" spans="5:13" ht="12.75" x14ac:dyDescent="0.2">
      <c r="E665" s="40"/>
      <c r="M665" s="40"/>
    </row>
    <row r="666" spans="5:13" ht="12.75" x14ac:dyDescent="0.2">
      <c r="E666" s="40"/>
      <c r="M666" s="40"/>
    </row>
    <row r="667" spans="5:13" ht="12.75" x14ac:dyDescent="0.2">
      <c r="E667" s="40"/>
      <c r="M667" s="40"/>
    </row>
    <row r="668" spans="5:13" ht="12.75" x14ac:dyDescent="0.2">
      <c r="E668" s="40"/>
      <c r="M668" s="40"/>
    </row>
    <row r="669" spans="5:13" ht="12.75" x14ac:dyDescent="0.2">
      <c r="E669" s="40"/>
      <c r="M669" s="40"/>
    </row>
    <row r="670" spans="5:13" ht="12.75" x14ac:dyDescent="0.2">
      <c r="E670" s="40"/>
      <c r="M670" s="40"/>
    </row>
    <row r="671" spans="5:13" ht="12.75" x14ac:dyDescent="0.2">
      <c r="E671" s="40"/>
      <c r="M671" s="40"/>
    </row>
    <row r="672" spans="5:13" ht="12.75" x14ac:dyDescent="0.2">
      <c r="E672" s="40"/>
      <c r="M672" s="40"/>
    </row>
    <row r="673" spans="5:13" ht="12.75" x14ac:dyDescent="0.2">
      <c r="E673" s="40"/>
      <c r="M673" s="40"/>
    </row>
    <row r="674" spans="5:13" ht="12.75" x14ac:dyDescent="0.2">
      <c r="E674" s="40"/>
      <c r="M674" s="40"/>
    </row>
    <row r="675" spans="5:13" ht="12.75" x14ac:dyDescent="0.2">
      <c r="E675" s="40"/>
      <c r="M675" s="40"/>
    </row>
    <row r="676" spans="5:13" ht="12.75" x14ac:dyDescent="0.2">
      <c r="E676" s="40"/>
      <c r="M676" s="40"/>
    </row>
    <row r="677" spans="5:13" ht="12.75" x14ac:dyDescent="0.2">
      <c r="E677" s="40"/>
      <c r="M677" s="40"/>
    </row>
    <row r="678" spans="5:13" ht="12.75" x14ac:dyDescent="0.2">
      <c r="E678" s="40"/>
      <c r="M678" s="40"/>
    </row>
    <row r="679" spans="5:13" ht="12.75" x14ac:dyDescent="0.2">
      <c r="E679" s="40"/>
      <c r="M679" s="40"/>
    </row>
    <row r="680" spans="5:13" ht="12.75" x14ac:dyDescent="0.2">
      <c r="E680" s="40"/>
      <c r="M680" s="40"/>
    </row>
    <row r="681" spans="5:13" ht="12.75" x14ac:dyDescent="0.2">
      <c r="E681" s="40"/>
      <c r="M681" s="40"/>
    </row>
    <row r="682" spans="5:13" ht="12.75" x14ac:dyDescent="0.2">
      <c r="E682" s="40"/>
      <c r="M682" s="40"/>
    </row>
    <row r="683" spans="5:13" ht="12.75" x14ac:dyDescent="0.2">
      <c r="E683" s="40"/>
      <c r="M683" s="40"/>
    </row>
    <row r="684" spans="5:13" ht="12.75" x14ac:dyDescent="0.2">
      <c r="E684" s="40"/>
      <c r="M684" s="40"/>
    </row>
    <row r="685" spans="5:13" ht="12.75" x14ac:dyDescent="0.2">
      <c r="E685" s="40"/>
      <c r="M685" s="40"/>
    </row>
    <row r="686" spans="5:13" ht="12.75" x14ac:dyDescent="0.2">
      <c r="E686" s="40"/>
      <c r="M686" s="40"/>
    </row>
    <row r="687" spans="5:13" ht="12.75" x14ac:dyDescent="0.2">
      <c r="E687" s="40"/>
      <c r="M687" s="40"/>
    </row>
    <row r="688" spans="5:13" ht="12.75" x14ac:dyDescent="0.2">
      <c r="E688" s="40"/>
      <c r="M688" s="40"/>
    </row>
    <row r="689" spans="5:13" ht="12.75" x14ac:dyDescent="0.2">
      <c r="E689" s="40"/>
      <c r="M689" s="40"/>
    </row>
    <row r="690" spans="5:13" ht="12.75" x14ac:dyDescent="0.2">
      <c r="E690" s="40"/>
      <c r="M690" s="40"/>
    </row>
    <row r="691" spans="5:13" ht="12.75" x14ac:dyDescent="0.2">
      <c r="E691" s="40"/>
      <c r="M691" s="40"/>
    </row>
    <row r="692" spans="5:13" ht="12.75" x14ac:dyDescent="0.2">
      <c r="E692" s="40"/>
      <c r="M692" s="40"/>
    </row>
    <row r="693" spans="5:13" ht="12.75" x14ac:dyDescent="0.2">
      <c r="E693" s="40"/>
      <c r="M693" s="40"/>
    </row>
    <row r="694" spans="5:13" ht="12.75" x14ac:dyDescent="0.2">
      <c r="E694" s="40"/>
      <c r="M694" s="40"/>
    </row>
    <row r="695" spans="5:13" ht="12.75" x14ac:dyDescent="0.2">
      <c r="E695" s="40"/>
      <c r="M695" s="40"/>
    </row>
    <row r="696" spans="5:13" ht="12.75" x14ac:dyDescent="0.2">
      <c r="E696" s="40"/>
      <c r="M696" s="40"/>
    </row>
    <row r="697" spans="5:13" ht="12.75" x14ac:dyDescent="0.2">
      <c r="E697" s="40"/>
      <c r="M697" s="40"/>
    </row>
    <row r="698" spans="5:13" ht="12.75" x14ac:dyDescent="0.2">
      <c r="E698" s="40"/>
      <c r="M698" s="40"/>
    </row>
    <row r="699" spans="5:13" ht="12.75" x14ac:dyDescent="0.2">
      <c r="E699" s="40"/>
      <c r="M699" s="40"/>
    </row>
    <row r="700" spans="5:13" ht="12.75" x14ac:dyDescent="0.2">
      <c r="E700" s="40"/>
      <c r="M700" s="40"/>
    </row>
    <row r="701" spans="5:13" ht="12.75" x14ac:dyDescent="0.2">
      <c r="E701" s="40"/>
      <c r="M701" s="40"/>
    </row>
    <row r="702" spans="5:13" ht="12.75" x14ac:dyDescent="0.2">
      <c r="E702" s="40"/>
      <c r="M702" s="40"/>
    </row>
    <row r="703" spans="5:13" ht="12.75" x14ac:dyDescent="0.2">
      <c r="E703" s="40"/>
      <c r="M703" s="40"/>
    </row>
    <row r="704" spans="5:13" ht="12.75" x14ac:dyDescent="0.2">
      <c r="E704" s="40"/>
      <c r="M704" s="40"/>
    </row>
    <row r="705" spans="5:13" ht="12.75" x14ac:dyDescent="0.2">
      <c r="E705" s="40"/>
      <c r="M705" s="40"/>
    </row>
    <row r="706" spans="5:13" ht="12.75" x14ac:dyDescent="0.2">
      <c r="E706" s="40"/>
      <c r="M706" s="40"/>
    </row>
    <row r="707" spans="5:13" ht="12.75" x14ac:dyDescent="0.2">
      <c r="E707" s="40"/>
      <c r="M707" s="40"/>
    </row>
    <row r="708" spans="5:13" ht="12.75" x14ac:dyDescent="0.2">
      <c r="E708" s="40"/>
      <c r="M708" s="40"/>
    </row>
    <row r="709" spans="5:13" ht="12.75" x14ac:dyDescent="0.2">
      <c r="E709" s="40"/>
      <c r="M709" s="40"/>
    </row>
    <row r="710" spans="5:13" ht="12.75" x14ac:dyDescent="0.2">
      <c r="E710" s="40"/>
      <c r="M710" s="40"/>
    </row>
    <row r="711" spans="5:13" ht="12.75" x14ac:dyDescent="0.2">
      <c r="E711" s="40"/>
      <c r="M711" s="40"/>
    </row>
    <row r="712" spans="5:13" ht="12.75" x14ac:dyDescent="0.2">
      <c r="E712" s="40"/>
      <c r="M712" s="40"/>
    </row>
    <row r="713" spans="5:13" ht="12.75" x14ac:dyDescent="0.2">
      <c r="E713" s="40"/>
      <c r="M713" s="40"/>
    </row>
    <row r="714" spans="5:13" ht="12.75" x14ac:dyDescent="0.2">
      <c r="E714" s="40"/>
      <c r="M714" s="40"/>
    </row>
    <row r="715" spans="5:13" ht="12.75" x14ac:dyDescent="0.2">
      <c r="E715" s="40"/>
      <c r="M715" s="40"/>
    </row>
    <row r="716" spans="5:13" ht="12.75" x14ac:dyDescent="0.2">
      <c r="E716" s="40"/>
      <c r="M716" s="40"/>
    </row>
    <row r="717" spans="5:13" ht="12.75" x14ac:dyDescent="0.2">
      <c r="E717" s="40"/>
      <c r="M717" s="40"/>
    </row>
    <row r="718" spans="5:13" ht="12.75" x14ac:dyDescent="0.2">
      <c r="E718" s="40"/>
      <c r="M718" s="40"/>
    </row>
    <row r="719" spans="5:13" ht="12.75" x14ac:dyDescent="0.2">
      <c r="E719" s="40"/>
      <c r="M719" s="40"/>
    </row>
    <row r="720" spans="5:13" ht="12.75" x14ac:dyDescent="0.2">
      <c r="E720" s="40"/>
      <c r="M720" s="40"/>
    </row>
    <row r="721" spans="5:13" ht="12.75" x14ac:dyDescent="0.2">
      <c r="E721" s="40"/>
      <c r="M721" s="40"/>
    </row>
    <row r="722" spans="5:13" ht="12.75" x14ac:dyDescent="0.2">
      <c r="E722" s="40"/>
      <c r="M722" s="40"/>
    </row>
    <row r="723" spans="5:13" ht="12.75" x14ac:dyDescent="0.2">
      <c r="E723" s="40"/>
      <c r="M723" s="40"/>
    </row>
    <row r="724" spans="5:13" ht="12.75" x14ac:dyDescent="0.2">
      <c r="E724" s="40"/>
      <c r="M724" s="40"/>
    </row>
    <row r="725" spans="5:13" ht="12.75" x14ac:dyDescent="0.2">
      <c r="E725" s="40"/>
      <c r="M725" s="40"/>
    </row>
    <row r="726" spans="5:13" ht="12.75" x14ac:dyDescent="0.2">
      <c r="E726" s="40"/>
      <c r="M726" s="40"/>
    </row>
    <row r="727" spans="5:13" ht="12.75" x14ac:dyDescent="0.2">
      <c r="E727" s="40"/>
      <c r="M727" s="40"/>
    </row>
    <row r="728" spans="5:13" ht="12.75" x14ac:dyDescent="0.2">
      <c r="E728" s="40"/>
      <c r="M728" s="40"/>
    </row>
    <row r="729" spans="5:13" ht="12.75" x14ac:dyDescent="0.2">
      <c r="E729" s="40"/>
      <c r="M729" s="40"/>
    </row>
    <row r="730" spans="5:13" ht="12.75" x14ac:dyDescent="0.2">
      <c r="E730" s="40"/>
      <c r="M730" s="40"/>
    </row>
    <row r="731" spans="5:13" ht="12.75" x14ac:dyDescent="0.2">
      <c r="E731" s="40"/>
      <c r="M731" s="40"/>
    </row>
    <row r="732" spans="5:13" ht="12.75" x14ac:dyDescent="0.2">
      <c r="E732" s="40"/>
      <c r="M732" s="40"/>
    </row>
    <row r="733" spans="5:13" ht="12.75" x14ac:dyDescent="0.2">
      <c r="E733" s="40"/>
      <c r="M733" s="40"/>
    </row>
    <row r="734" spans="5:13" ht="12.75" x14ac:dyDescent="0.2">
      <c r="E734" s="40"/>
      <c r="M734" s="40"/>
    </row>
    <row r="735" spans="5:13" ht="12.75" x14ac:dyDescent="0.2">
      <c r="E735" s="40"/>
      <c r="M735" s="40"/>
    </row>
    <row r="736" spans="5:13" ht="12.75" x14ac:dyDescent="0.2">
      <c r="E736" s="40"/>
      <c r="M736" s="40"/>
    </row>
    <row r="737" spans="5:13" ht="12.75" x14ac:dyDescent="0.2">
      <c r="E737" s="40"/>
      <c r="M737" s="40"/>
    </row>
    <row r="738" spans="5:13" ht="12.75" x14ac:dyDescent="0.2">
      <c r="E738" s="40"/>
      <c r="M738" s="40"/>
    </row>
    <row r="739" spans="5:13" ht="12.75" x14ac:dyDescent="0.2">
      <c r="E739" s="40"/>
      <c r="M739" s="40"/>
    </row>
    <row r="740" spans="5:13" ht="12.75" x14ac:dyDescent="0.2">
      <c r="E740" s="40"/>
      <c r="M740" s="40"/>
    </row>
    <row r="741" spans="5:13" ht="12.75" x14ac:dyDescent="0.2">
      <c r="E741" s="40"/>
      <c r="M741" s="40"/>
    </row>
    <row r="742" spans="5:13" ht="12.75" x14ac:dyDescent="0.2">
      <c r="E742" s="40"/>
      <c r="M742" s="40"/>
    </row>
    <row r="743" spans="5:13" ht="12.75" x14ac:dyDescent="0.2">
      <c r="E743" s="40"/>
      <c r="M743" s="40"/>
    </row>
    <row r="744" spans="5:13" ht="12.75" x14ac:dyDescent="0.2">
      <c r="E744" s="40"/>
      <c r="M744" s="40"/>
    </row>
    <row r="745" spans="5:13" ht="12.75" x14ac:dyDescent="0.2">
      <c r="E745" s="40"/>
      <c r="M745" s="40"/>
    </row>
    <row r="746" spans="5:13" ht="12.75" x14ac:dyDescent="0.2">
      <c r="E746" s="40"/>
      <c r="M746" s="40"/>
    </row>
    <row r="747" spans="5:13" ht="12.75" x14ac:dyDescent="0.2">
      <c r="E747" s="40"/>
      <c r="M747" s="40"/>
    </row>
    <row r="748" spans="5:13" ht="12.75" x14ac:dyDescent="0.2">
      <c r="E748" s="40"/>
      <c r="M748" s="40"/>
    </row>
    <row r="749" spans="5:13" ht="12.75" x14ac:dyDescent="0.2">
      <c r="E749" s="40"/>
      <c r="M749" s="40"/>
    </row>
    <row r="750" spans="5:13" ht="12.75" x14ac:dyDescent="0.2">
      <c r="E750" s="40"/>
      <c r="M750" s="40"/>
    </row>
    <row r="751" spans="5:13" ht="12.75" x14ac:dyDescent="0.2">
      <c r="E751" s="40"/>
      <c r="M751" s="40"/>
    </row>
    <row r="752" spans="5:13" ht="12.75" x14ac:dyDescent="0.2">
      <c r="E752" s="40"/>
      <c r="M752" s="40"/>
    </row>
    <row r="753" spans="5:13" ht="12.75" x14ac:dyDescent="0.2">
      <c r="E753" s="40"/>
      <c r="M753" s="40"/>
    </row>
    <row r="754" spans="5:13" ht="12.75" x14ac:dyDescent="0.2">
      <c r="E754" s="40"/>
      <c r="M754" s="40"/>
    </row>
    <row r="755" spans="5:13" ht="12.75" x14ac:dyDescent="0.2">
      <c r="E755" s="40"/>
      <c r="M755" s="40"/>
    </row>
    <row r="756" spans="5:13" ht="12.75" x14ac:dyDescent="0.2">
      <c r="E756" s="40"/>
      <c r="M756" s="40"/>
    </row>
    <row r="757" spans="5:13" ht="12.75" x14ac:dyDescent="0.2">
      <c r="E757" s="40"/>
      <c r="M757" s="40"/>
    </row>
    <row r="758" spans="5:13" ht="12.75" x14ac:dyDescent="0.2">
      <c r="E758" s="40"/>
      <c r="M758" s="40"/>
    </row>
    <row r="759" spans="5:13" ht="12.75" x14ac:dyDescent="0.2">
      <c r="E759" s="40"/>
      <c r="M759" s="40"/>
    </row>
    <row r="760" spans="5:13" ht="12.75" x14ac:dyDescent="0.2">
      <c r="E760" s="40"/>
      <c r="M760" s="40"/>
    </row>
    <row r="761" spans="5:13" ht="12.75" x14ac:dyDescent="0.2">
      <c r="E761" s="40"/>
      <c r="M761" s="40"/>
    </row>
    <row r="762" spans="5:13" ht="12.75" x14ac:dyDescent="0.2">
      <c r="E762" s="40"/>
      <c r="M762" s="40"/>
    </row>
    <row r="763" spans="5:13" ht="12.75" x14ac:dyDescent="0.2">
      <c r="E763" s="40"/>
      <c r="M763" s="40"/>
    </row>
    <row r="764" spans="5:13" ht="12.75" x14ac:dyDescent="0.2">
      <c r="E764" s="40"/>
      <c r="M764" s="40"/>
    </row>
    <row r="765" spans="5:13" ht="12.75" x14ac:dyDescent="0.2">
      <c r="E765" s="40"/>
      <c r="M765" s="40"/>
    </row>
    <row r="766" spans="5:13" ht="12.75" x14ac:dyDescent="0.2">
      <c r="E766" s="40"/>
      <c r="M766" s="40"/>
    </row>
    <row r="767" spans="5:13" ht="12.75" x14ac:dyDescent="0.2">
      <c r="E767" s="40"/>
      <c r="M767" s="40"/>
    </row>
    <row r="768" spans="5:13" ht="12.75" x14ac:dyDescent="0.2">
      <c r="E768" s="40"/>
      <c r="M768" s="40"/>
    </row>
    <row r="769" spans="5:13" ht="12.75" x14ac:dyDescent="0.2">
      <c r="E769" s="40"/>
      <c r="M769" s="40"/>
    </row>
    <row r="770" spans="5:13" ht="12.75" x14ac:dyDescent="0.2">
      <c r="E770" s="40"/>
      <c r="M770" s="40"/>
    </row>
    <row r="771" spans="5:13" ht="12.75" x14ac:dyDescent="0.2">
      <c r="E771" s="40"/>
      <c r="M771" s="40"/>
    </row>
    <row r="772" spans="5:13" ht="12.75" x14ac:dyDescent="0.2">
      <c r="E772" s="40"/>
      <c r="M772" s="40"/>
    </row>
    <row r="773" spans="5:13" ht="12.75" x14ac:dyDescent="0.2">
      <c r="E773" s="40"/>
      <c r="M773" s="40"/>
    </row>
    <row r="774" spans="5:13" ht="12.75" x14ac:dyDescent="0.2">
      <c r="E774" s="40"/>
      <c r="M774" s="40"/>
    </row>
    <row r="775" spans="5:13" ht="12.75" x14ac:dyDescent="0.2">
      <c r="E775" s="40"/>
      <c r="M775" s="40"/>
    </row>
    <row r="776" spans="5:13" ht="12.75" x14ac:dyDescent="0.2">
      <c r="E776" s="40"/>
      <c r="M776" s="40"/>
    </row>
    <row r="777" spans="5:13" ht="12.75" x14ac:dyDescent="0.2">
      <c r="E777" s="40"/>
      <c r="M777" s="40"/>
    </row>
    <row r="778" spans="5:13" ht="12.75" x14ac:dyDescent="0.2">
      <c r="E778" s="40"/>
      <c r="M778" s="40"/>
    </row>
    <row r="779" spans="5:13" ht="12.75" x14ac:dyDescent="0.2">
      <c r="E779" s="40"/>
      <c r="M779" s="40"/>
    </row>
    <row r="780" spans="5:13" ht="12.75" x14ac:dyDescent="0.2">
      <c r="E780" s="40"/>
      <c r="M780" s="40"/>
    </row>
    <row r="781" spans="5:13" ht="12.75" x14ac:dyDescent="0.2">
      <c r="E781" s="40"/>
      <c r="M781" s="40"/>
    </row>
    <row r="782" spans="5:13" ht="12.75" x14ac:dyDescent="0.2">
      <c r="E782" s="40"/>
      <c r="M782" s="40"/>
    </row>
    <row r="783" spans="5:13" ht="12.75" x14ac:dyDescent="0.2">
      <c r="E783" s="40"/>
      <c r="M783" s="40"/>
    </row>
    <row r="784" spans="5:13" ht="12.75" x14ac:dyDescent="0.2">
      <c r="E784" s="40"/>
      <c r="M784" s="40"/>
    </row>
    <row r="785" spans="5:13" ht="12.75" x14ac:dyDescent="0.2">
      <c r="E785" s="40"/>
      <c r="M785" s="40"/>
    </row>
    <row r="786" spans="5:13" ht="12.75" x14ac:dyDescent="0.2">
      <c r="E786" s="40"/>
      <c r="M786" s="40"/>
    </row>
    <row r="787" spans="5:13" ht="12.75" x14ac:dyDescent="0.2">
      <c r="E787" s="40"/>
      <c r="M787" s="40"/>
    </row>
    <row r="788" spans="5:13" ht="12.75" x14ac:dyDescent="0.2">
      <c r="E788" s="40"/>
      <c r="M788" s="40"/>
    </row>
    <row r="789" spans="5:13" ht="12.75" x14ac:dyDescent="0.2">
      <c r="E789" s="40"/>
      <c r="M789" s="40"/>
    </row>
    <row r="790" spans="5:13" ht="12.75" x14ac:dyDescent="0.2">
      <c r="E790" s="40"/>
      <c r="M790" s="40"/>
    </row>
    <row r="791" spans="5:13" ht="12.75" x14ac:dyDescent="0.2">
      <c r="E791" s="40"/>
      <c r="M791" s="40"/>
    </row>
    <row r="792" spans="5:13" ht="12.75" x14ac:dyDescent="0.2">
      <c r="E792" s="40"/>
      <c r="M792" s="40"/>
    </row>
    <row r="793" spans="5:13" ht="12.75" x14ac:dyDescent="0.2">
      <c r="E793" s="40"/>
      <c r="M793" s="40"/>
    </row>
    <row r="794" spans="5:13" ht="12.75" x14ac:dyDescent="0.2">
      <c r="E794" s="40"/>
      <c r="M794" s="40"/>
    </row>
    <row r="795" spans="5:13" ht="12.75" x14ac:dyDescent="0.2">
      <c r="E795" s="40"/>
      <c r="M795" s="40"/>
    </row>
    <row r="796" spans="5:13" ht="12.75" x14ac:dyDescent="0.2">
      <c r="E796" s="40"/>
      <c r="M796" s="40"/>
    </row>
    <row r="797" spans="5:13" ht="12.75" x14ac:dyDescent="0.2">
      <c r="E797" s="40"/>
      <c r="M797" s="40"/>
    </row>
    <row r="798" spans="5:13" ht="12.75" x14ac:dyDescent="0.2">
      <c r="E798" s="40"/>
      <c r="M798" s="40"/>
    </row>
    <row r="799" spans="5:13" ht="12.75" x14ac:dyDescent="0.2">
      <c r="E799" s="40"/>
      <c r="M799" s="40"/>
    </row>
    <row r="800" spans="5:13" ht="12.75" x14ac:dyDescent="0.2">
      <c r="E800" s="40"/>
      <c r="M800" s="40"/>
    </row>
    <row r="801" spans="5:13" ht="12.75" x14ac:dyDescent="0.2">
      <c r="E801" s="40"/>
      <c r="M801" s="40"/>
    </row>
    <row r="802" spans="5:13" ht="12.75" x14ac:dyDescent="0.2">
      <c r="E802" s="40"/>
      <c r="M802" s="40"/>
    </row>
    <row r="803" spans="5:13" ht="12.75" x14ac:dyDescent="0.2">
      <c r="E803" s="40"/>
      <c r="M803" s="40"/>
    </row>
    <row r="804" spans="5:13" ht="12.75" x14ac:dyDescent="0.2">
      <c r="E804" s="40"/>
      <c r="M804" s="40"/>
    </row>
    <row r="805" spans="5:13" ht="12.75" x14ac:dyDescent="0.2">
      <c r="E805" s="40"/>
      <c r="M805" s="40"/>
    </row>
    <row r="806" spans="5:13" ht="12.75" x14ac:dyDescent="0.2">
      <c r="E806" s="40"/>
      <c r="M806" s="40"/>
    </row>
    <row r="807" spans="5:13" ht="12.75" x14ac:dyDescent="0.2">
      <c r="E807" s="40"/>
      <c r="M807" s="40"/>
    </row>
    <row r="808" spans="5:13" ht="12.75" x14ac:dyDescent="0.2">
      <c r="E808" s="40"/>
      <c r="M808" s="40"/>
    </row>
    <row r="809" spans="5:13" ht="12.75" x14ac:dyDescent="0.2">
      <c r="E809" s="40"/>
      <c r="M809" s="40"/>
    </row>
    <row r="810" spans="5:13" ht="12.75" x14ac:dyDescent="0.2">
      <c r="E810" s="40"/>
      <c r="M810" s="40"/>
    </row>
    <row r="811" spans="5:13" ht="12.75" x14ac:dyDescent="0.2">
      <c r="E811" s="40"/>
      <c r="M811" s="40"/>
    </row>
    <row r="812" spans="5:13" ht="12.75" x14ac:dyDescent="0.2">
      <c r="E812" s="40"/>
      <c r="M812" s="40"/>
    </row>
    <row r="813" spans="5:13" ht="12.75" x14ac:dyDescent="0.2">
      <c r="E813" s="40"/>
      <c r="M813" s="40"/>
    </row>
    <row r="814" spans="5:13" ht="12.75" x14ac:dyDescent="0.2">
      <c r="E814" s="40"/>
      <c r="M814" s="40"/>
    </row>
    <row r="815" spans="5:13" ht="12.75" x14ac:dyDescent="0.2">
      <c r="E815" s="40"/>
      <c r="M815" s="40"/>
    </row>
    <row r="816" spans="5:13" ht="12.75" x14ac:dyDescent="0.2">
      <c r="E816" s="40"/>
      <c r="M816" s="40"/>
    </row>
    <row r="817" spans="5:13" ht="12.75" x14ac:dyDescent="0.2">
      <c r="E817" s="40"/>
      <c r="M817" s="40"/>
    </row>
    <row r="818" spans="5:13" ht="12.75" x14ac:dyDescent="0.2">
      <c r="E818" s="40"/>
      <c r="M818" s="40"/>
    </row>
    <row r="819" spans="5:13" ht="12.75" x14ac:dyDescent="0.2">
      <c r="E819" s="40"/>
      <c r="M819" s="40"/>
    </row>
    <row r="820" spans="5:13" ht="12.75" x14ac:dyDescent="0.2">
      <c r="E820" s="40"/>
      <c r="M820" s="40"/>
    </row>
    <row r="821" spans="5:13" ht="12.75" x14ac:dyDescent="0.2">
      <c r="E821" s="40"/>
      <c r="M821" s="40"/>
    </row>
    <row r="822" spans="5:13" ht="12.75" x14ac:dyDescent="0.2">
      <c r="E822" s="40"/>
      <c r="M822" s="40"/>
    </row>
    <row r="823" spans="5:13" ht="12.75" x14ac:dyDescent="0.2">
      <c r="E823" s="40"/>
      <c r="M823" s="40"/>
    </row>
    <row r="824" spans="5:13" ht="12.75" x14ac:dyDescent="0.2">
      <c r="E824" s="40"/>
      <c r="M824" s="40"/>
    </row>
    <row r="825" spans="5:13" ht="12.75" x14ac:dyDescent="0.2">
      <c r="E825" s="40"/>
      <c r="M825" s="40"/>
    </row>
    <row r="826" spans="5:13" ht="12.75" x14ac:dyDescent="0.2">
      <c r="E826" s="40"/>
      <c r="M826" s="40"/>
    </row>
    <row r="827" spans="5:13" ht="12.75" x14ac:dyDescent="0.2">
      <c r="E827" s="40"/>
      <c r="M827" s="40"/>
    </row>
    <row r="828" spans="5:13" ht="12.75" x14ac:dyDescent="0.2">
      <c r="E828" s="40"/>
      <c r="M828" s="40"/>
    </row>
    <row r="829" spans="5:13" ht="12.75" x14ac:dyDescent="0.2">
      <c r="E829" s="40"/>
      <c r="M829" s="40"/>
    </row>
    <row r="830" spans="5:13" ht="12.75" x14ac:dyDescent="0.2">
      <c r="E830" s="40"/>
      <c r="M830" s="40"/>
    </row>
    <row r="831" spans="5:13" ht="12.75" x14ac:dyDescent="0.2">
      <c r="E831" s="40"/>
      <c r="M831" s="40"/>
    </row>
    <row r="832" spans="5:13" ht="12.75" x14ac:dyDescent="0.2">
      <c r="E832" s="40"/>
      <c r="M832" s="40"/>
    </row>
    <row r="833" spans="5:13" ht="12.75" x14ac:dyDescent="0.2">
      <c r="E833" s="40"/>
      <c r="M833" s="40"/>
    </row>
    <row r="834" spans="5:13" ht="12.75" x14ac:dyDescent="0.2">
      <c r="E834" s="40"/>
      <c r="M834" s="40"/>
    </row>
    <row r="835" spans="5:13" ht="12.75" x14ac:dyDescent="0.2">
      <c r="E835" s="40"/>
      <c r="M835" s="40"/>
    </row>
    <row r="836" spans="5:13" ht="12.75" x14ac:dyDescent="0.2">
      <c r="E836" s="40"/>
      <c r="M836" s="40"/>
    </row>
    <row r="837" spans="5:13" ht="12.75" x14ac:dyDescent="0.2">
      <c r="E837" s="40"/>
      <c r="M837" s="40"/>
    </row>
    <row r="838" spans="5:13" ht="12.75" x14ac:dyDescent="0.2">
      <c r="E838" s="40"/>
      <c r="M838" s="40"/>
    </row>
    <row r="839" spans="5:13" ht="12.75" x14ac:dyDescent="0.2">
      <c r="E839" s="40"/>
      <c r="M839" s="40"/>
    </row>
    <row r="840" spans="5:13" ht="12.75" x14ac:dyDescent="0.2">
      <c r="E840" s="40"/>
      <c r="M840" s="40"/>
    </row>
    <row r="841" spans="5:13" ht="12.75" x14ac:dyDescent="0.2">
      <c r="E841" s="40"/>
      <c r="M841" s="40"/>
    </row>
    <row r="842" spans="5:13" ht="12.75" x14ac:dyDescent="0.2">
      <c r="E842" s="40"/>
      <c r="M842" s="40"/>
    </row>
    <row r="843" spans="5:13" ht="12.75" x14ac:dyDescent="0.2">
      <c r="E843" s="40"/>
      <c r="M843" s="40"/>
    </row>
    <row r="844" spans="5:13" ht="12.75" x14ac:dyDescent="0.2">
      <c r="E844" s="40"/>
      <c r="M844" s="40"/>
    </row>
    <row r="845" spans="5:13" ht="12.75" x14ac:dyDescent="0.2">
      <c r="E845" s="40"/>
      <c r="M845" s="40"/>
    </row>
    <row r="846" spans="5:13" ht="12.75" x14ac:dyDescent="0.2">
      <c r="E846" s="40"/>
      <c r="M846" s="40"/>
    </row>
    <row r="847" spans="5:13" ht="12.75" x14ac:dyDescent="0.2">
      <c r="E847" s="40"/>
      <c r="M847" s="40"/>
    </row>
    <row r="848" spans="5:13" ht="12.75" x14ac:dyDescent="0.2">
      <c r="E848" s="40"/>
      <c r="M848" s="40"/>
    </row>
    <row r="849" spans="5:13" ht="12.75" x14ac:dyDescent="0.2">
      <c r="E849" s="40"/>
      <c r="M849" s="40"/>
    </row>
    <row r="850" spans="5:13" ht="12.75" x14ac:dyDescent="0.2">
      <c r="E850" s="40"/>
      <c r="M850" s="40"/>
    </row>
    <row r="851" spans="5:13" ht="12.75" x14ac:dyDescent="0.2">
      <c r="E851" s="40"/>
      <c r="M851" s="40"/>
    </row>
    <row r="852" spans="5:13" ht="12.75" x14ac:dyDescent="0.2">
      <c r="E852" s="40"/>
      <c r="M852" s="40"/>
    </row>
    <row r="853" spans="5:13" ht="12.75" x14ac:dyDescent="0.2">
      <c r="E853" s="40"/>
      <c r="M853" s="40"/>
    </row>
    <row r="854" spans="5:13" ht="12.75" x14ac:dyDescent="0.2">
      <c r="E854" s="40"/>
      <c r="M854" s="40"/>
    </row>
    <row r="855" spans="5:13" ht="12.75" x14ac:dyDescent="0.2">
      <c r="E855" s="40"/>
      <c r="M855" s="40"/>
    </row>
    <row r="856" spans="5:13" ht="12.75" x14ac:dyDescent="0.2">
      <c r="E856" s="40"/>
      <c r="M856" s="40"/>
    </row>
    <row r="857" spans="5:13" ht="12.75" x14ac:dyDescent="0.2">
      <c r="E857" s="40"/>
      <c r="M857" s="40"/>
    </row>
    <row r="858" spans="5:13" ht="12.75" x14ac:dyDescent="0.2">
      <c r="E858" s="40"/>
      <c r="M858" s="40"/>
    </row>
    <row r="859" spans="5:13" ht="12.75" x14ac:dyDescent="0.2">
      <c r="E859" s="40"/>
      <c r="M859" s="40"/>
    </row>
    <row r="860" spans="5:13" ht="12.75" x14ac:dyDescent="0.2">
      <c r="E860" s="40"/>
      <c r="M860" s="40"/>
    </row>
    <row r="861" spans="5:13" ht="12.75" x14ac:dyDescent="0.2">
      <c r="E861" s="40"/>
      <c r="M861" s="40"/>
    </row>
    <row r="862" spans="5:13" ht="12.75" x14ac:dyDescent="0.2">
      <c r="E862" s="40"/>
      <c r="M862" s="40"/>
    </row>
    <row r="863" spans="5:13" ht="12.75" x14ac:dyDescent="0.2">
      <c r="E863" s="40"/>
      <c r="M863" s="40"/>
    </row>
    <row r="864" spans="5:13" ht="12.75" x14ac:dyDescent="0.2">
      <c r="E864" s="40"/>
      <c r="M864" s="40"/>
    </row>
    <row r="865" spans="5:13" ht="12.75" x14ac:dyDescent="0.2">
      <c r="E865" s="40"/>
      <c r="M865" s="40"/>
    </row>
    <row r="866" spans="5:13" ht="12.75" x14ac:dyDescent="0.2">
      <c r="E866" s="40"/>
      <c r="M866" s="40"/>
    </row>
    <row r="867" spans="5:13" ht="12.75" x14ac:dyDescent="0.2">
      <c r="E867" s="40"/>
      <c r="M867" s="40"/>
    </row>
    <row r="868" spans="5:13" ht="12.75" x14ac:dyDescent="0.2">
      <c r="E868" s="40"/>
      <c r="M868" s="40"/>
    </row>
    <row r="869" spans="5:13" ht="12.75" x14ac:dyDescent="0.2">
      <c r="E869" s="40"/>
      <c r="M869" s="40"/>
    </row>
    <row r="870" spans="5:13" ht="12.75" x14ac:dyDescent="0.2">
      <c r="E870" s="40"/>
      <c r="M870" s="40"/>
    </row>
    <row r="871" spans="5:13" ht="12.75" x14ac:dyDescent="0.2">
      <c r="E871" s="40"/>
      <c r="M871" s="40"/>
    </row>
    <row r="872" spans="5:13" ht="12.75" x14ac:dyDescent="0.2">
      <c r="E872" s="40"/>
      <c r="M872" s="40"/>
    </row>
    <row r="873" spans="5:13" ht="12.75" x14ac:dyDescent="0.2">
      <c r="E873" s="40"/>
      <c r="M873" s="40"/>
    </row>
    <row r="874" spans="5:13" ht="12.75" x14ac:dyDescent="0.2">
      <c r="E874" s="40"/>
      <c r="M874" s="40"/>
    </row>
    <row r="875" spans="5:13" ht="12.75" x14ac:dyDescent="0.2">
      <c r="E875" s="40"/>
      <c r="M875" s="40"/>
    </row>
    <row r="876" spans="5:13" ht="12.75" x14ac:dyDescent="0.2">
      <c r="E876" s="40"/>
      <c r="M876" s="40"/>
    </row>
    <row r="877" spans="5:13" ht="12.75" x14ac:dyDescent="0.2">
      <c r="E877" s="40"/>
      <c r="M877" s="40"/>
    </row>
    <row r="878" spans="5:13" ht="12.75" x14ac:dyDescent="0.2">
      <c r="E878" s="40"/>
      <c r="M878" s="40"/>
    </row>
    <row r="879" spans="5:13" ht="12.75" x14ac:dyDescent="0.2">
      <c r="E879" s="40"/>
      <c r="M879" s="40"/>
    </row>
    <row r="880" spans="5:13" ht="12.75" x14ac:dyDescent="0.2">
      <c r="E880" s="40"/>
      <c r="M880" s="40"/>
    </row>
    <row r="881" spans="5:13" ht="12.75" x14ac:dyDescent="0.2">
      <c r="E881" s="40"/>
      <c r="M881" s="40"/>
    </row>
    <row r="882" spans="5:13" ht="12.75" x14ac:dyDescent="0.2">
      <c r="E882" s="40"/>
      <c r="M882" s="40"/>
    </row>
    <row r="883" spans="5:13" ht="12.75" x14ac:dyDescent="0.2">
      <c r="E883" s="40"/>
      <c r="M883" s="40"/>
    </row>
    <row r="884" spans="5:13" ht="12.75" x14ac:dyDescent="0.2">
      <c r="E884" s="40"/>
      <c r="M884" s="40"/>
    </row>
    <row r="885" spans="5:13" ht="12.75" x14ac:dyDescent="0.2">
      <c r="E885" s="40"/>
      <c r="M885" s="40"/>
    </row>
    <row r="886" spans="5:13" ht="12.75" x14ac:dyDescent="0.2">
      <c r="E886" s="40"/>
      <c r="M886" s="40"/>
    </row>
    <row r="887" spans="5:13" ht="12.75" x14ac:dyDescent="0.2">
      <c r="E887" s="40"/>
      <c r="M887" s="40"/>
    </row>
    <row r="888" spans="5:13" ht="12.75" x14ac:dyDescent="0.2">
      <c r="E888" s="40"/>
      <c r="M888" s="40"/>
    </row>
    <row r="889" spans="5:13" ht="12.75" x14ac:dyDescent="0.2">
      <c r="E889" s="40"/>
      <c r="M889" s="40"/>
    </row>
    <row r="890" spans="5:13" ht="12.75" x14ac:dyDescent="0.2">
      <c r="E890" s="40"/>
      <c r="M890" s="40"/>
    </row>
    <row r="891" spans="5:13" ht="12.75" x14ac:dyDescent="0.2">
      <c r="E891" s="40"/>
      <c r="M891" s="40"/>
    </row>
    <row r="892" spans="5:13" ht="12.75" x14ac:dyDescent="0.2">
      <c r="E892" s="40"/>
      <c r="M892" s="40"/>
    </row>
    <row r="893" spans="5:13" ht="12.75" x14ac:dyDescent="0.2">
      <c r="E893" s="40"/>
      <c r="M893" s="40"/>
    </row>
    <row r="894" spans="5:13" ht="12.75" x14ac:dyDescent="0.2">
      <c r="E894" s="40"/>
      <c r="M894" s="40"/>
    </row>
    <row r="895" spans="5:13" ht="12.75" x14ac:dyDescent="0.2">
      <c r="E895" s="40"/>
      <c r="M895" s="40"/>
    </row>
    <row r="896" spans="5:13" ht="12.75" x14ac:dyDescent="0.2">
      <c r="E896" s="40"/>
      <c r="M896" s="40"/>
    </row>
    <row r="897" spans="5:13" ht="12.75" x14ac:dyDescent="0.2">
      <c r="E897" s="40"/>
      <c r="M897" s="40"/>
    </row>
    <row r="898" spans="5:13" ht="12.75" x14ac:dyDescent="0.2">
      <c r="E898" s="40"/>
      <c r="M898" s="40"/>
    </row>
    <row r="899" spans="5:13" ht="12.75" x14ac:dyDescent="0.2">
      <c r="E899" s="40"/>
      <c r="M899" s="40"/>
    </row>
    <row r="900" spans="5:13" ht="12.75" x14ac:dyDescent="0.2">
      <c r="E900" s="40"/>
      <c r="M900" s="40"/>
    </row>
    <row r="901" spans="5:13" ht="12.75" x14ac:dyDescent="0.2">
      <c r="E901" s="40"/>
      <c r="M901" s="40"/>
    </row>
    <row r="902" spans="5:13" ht="12.75" x14ac:dyDescent="0.2">
      <c r="E902" s="40"/>
      <c r="M902" s="40"/>
    </row>
    <row r="903" spans="5:13" ht="12.75" x14ac:dyDescent="0.2">
      <c r="E903" s="40"/>
      <c r="M903" s="40"/>
    </row>
    <row r="904" spans="5:13" ht="12.75" x14ac:dyDescent="0.2">
      <c r="E904" s="40"/>
      <c r="M904" s="40"/>
    </row>
    <row r="905" spans="5:13" ht="12.75" x14ac:dyDescent="0.2">
      <c r="E905" s="40"/>
      <c r="M905" s="40"/>
    </row>
    <row r="906" spans="5:13" ht="12.75" x14ac:dyDescent="0.2">
      <c r="E906" s="40"/>
      <c r="M906" s="40"/>
    </row>
    <row r="907" spans="5:13" ht="12.75" x14ac:dyDescent="0.2">
      <c r="E907" s="40"/>
      <c r="M907" s="40"/>
    </row>
    <row r="908" spans="5:13" ht="12.75" x14ac:dyDescent="0.2">
      <c r="E908" s="40"/>
      <c r="M908" s="40"/>
    </row>
    <row r="909" spans="5:13" ht="12.75" x14ac:dyDescent="0.2">
      <c r="E909" s="40"/>
      <c r="M909" s="40"/>
    </row>
    <row r="910" spans="5:13" ht="12.75" x14ac:dyDescent="0.2">
      <c r="E910" s="40"/>
      <c r="M910" s="40"/>
    </row>
    <row r="911" spans="5:13" ht="12.75" x14ac:dyDescent="0.2">
      <c r="E911" s="40"/>
      <c r="M911" s="40"/>
    </row>
    <row r="912" spans="5:13" ht="12.75" x14ac:dyDescent="0.2">
      <c r="E912" s="40"/>
      <c r="M912" s="40"/>
    </row>
    <row r="913" spans="5:13" ht="12.75" x14ac:dyDescent="0.2">
      <c r="E913" s="40"/>
      <c r="M913" s="40"/>
    </row>
    <row r="914" spans="5:13" ht="12.75" x14ac:dyDescent="0.2">
      <c r="E914" s="40"/>
      <c r="M914" s="40"/>
    </row>
    <row r="915" spans="5:13" ht="12.75" x14ac:dyDescent="0.2">
      <c r="E915" s="40"/>
      <c r="M915" s="40"/>
    </row>
    <row r="916" spans="5:13" ht="12.75" x14ac:dyDescent="0.2">
      <c r="E916" s="40"/>
      <c r="M916" s="40"/>
    </row>
    <row r="917" spans="5:13" ht="12.75" x14ac:dyDescent="0.2">
      <c r="E917" s="40"/>
      <c r="M917" s="40"/>
    </row>
    <row r="918" spans="5:13" ht="12.75" x14ac:dyDescent="0.2">
      <c r="E918" s="40"/>
      <c r="M918" s="40"/>
    </row>
    <row r="919" spans="5:13" ht="12.75" x14ac:dyDescent="0.2">
      <c r="E919" s="40"/>
      <c r="M919" s="40"/>
    </row>
    <row r="920" spans="5:13" ht="12.75" x14ac:dyDescent="0.2">
      <c r="E920" s="40"/>
      <c r="M920" s="40"/>
    </row>
    <row r="921" spans="5:13" ht="12.75" x14ac:dyDescent="0.2">
      <c r="E921" s="40"/>
      <c r="M921" s="40"/>
    </row>
    <row r="922" spans="5:13" ht="12.75" x14ac:dyDescent="0.2">
      <c r="E922" s="40"/>
      <c r="M922" s="40"/>
    </row>
    <row r="923" spans="5:13" ht="12.75" x14ac:dyDescent="0.2">
      <c r="E923" s="40"/>
      <c r="M923" s="40"/>
    </row>
    <row r="924" spans="5:13" ht="12.75" x14ac:dyDescent="0.2">
      <c r="E924" s="40"/>
      <c r="M924" s="40"/>
    </row>
    <row r="925" spans="5:13" ht="12.75" x14ac:dyDescent="0.2">
      <c r="E925" s="40"/>
      <c r="M925" s="40"/>
    </row>
    <row r="926" spans="5:13" ht="12.75" x14ac:dyDescent="0.2">
      <c r="E926" s="40"/>
      <c r="M926" s="40"/>
    </row>
    <row r="927" spans="5:13" ht="12.75" x14ac:dyDescent="0.2">
      <c r="E927" s="40"/>
      <c r="M927" s="40"/>
    </row>
    <row r="928" spans="5:13" ht="12.75" x14ac:dyDescent="0.2">
      <c r="E928" s="40"/>
      <c r="M928" s="40"/>
    </row>
    <row r="929" spans="5:13" ht="12.75" x14ac:dyDescent="0.2">
      <c r="E929" s="40"/>
      <c r="M929" s="40"/>
    </row>
    <row r="930" spans="5:13" ht="12.75" x14ac:dyDescent="0.2">
      <c r="E930" s="40"/>
      <c r="M930" s="40"/>
    </row>
    <row r="931" spans="5:13" ht="12.75" x14ac:dyDescent="0.2">
      <c r="E931" s="40"/>
      <c r="M931" s="40"/>
    </row>
    <row r="932" spans="5:13" ht="12.75" x14ac:dyDescent="0.2">
      <c r="E932" s="40"/>
      <c r="M932" s="40"/>
    </row>
    <row r="933" spans="5:13" ht="12.75" x14ac:dyDescent="0.2">
      <c r="E933" s="40"/>
      <c r="M933" s="40"/>
    </row>
    <row r="934" spans="5:13" ht="12.75" x14ac:dyDescent="0.2">
      <c r="E934" s="40"/>
      <c r="M934" s="40"/>
    </row>
    <row r="935" spans="5:13" ht="12.75" x14ac:dyDescent="0.2">
      <c r="E935" s="40"/>
      <c r="M935" s="40"/>
    </row>
    <row r="936" spans="5:13" ht="12.75" x14ac:dyDescent="0.2">
      <c r="E936" s="40"/>
      <c r="M936" s="40"/>
    </row>
    <row r="937" spans="5:13" ht="12.75" x14ac:dyDescent="0.2">
      <c r="E937" s="40"/>
      <c r="M937" s="40"/>
    </row>
    <row r="938" spans="5:13" ht="12.75" x14ac:dyDescent="0.2">
      <c r="E938" s="40"/>
      <c r="M938" s="40"/>
    </row>
    <row r="939" spans="5:13" ht="12.75" x14ac:dyDescent="0.2">
      <c r="E939" s="40"/>
      <c r="M939" s="40"/>
    </row>
    <row r="940" spans="5:13" ht="12.75" x14ac:dyDescent="0.2">
      <c r="E940" s="40"/>
      <c r="M940" s="40"/>
    </row>
    <row r="941" spans="5:13" ht="12.75" x14ac:dyDescent="0.2">
      <c r="E941" s="40"/>
      <c r="M941" s="40"/>
    </row>
    <row r="942" spans="5:13" ht="12.75" x14ac:dyDescent="0.2">
      <c r="E942" s="40"/>
      <c r="M942" s="40"/>
    </row>
    <row r="943" spans="5:13" ht="12.75" x14ac:dyDescent="0.2">
      <c r="E943" s="40"/>
      <c r="M943" s="40"/>
    </row>
    <row r="944" spans="5:13" ht="12.75" x14ac:dyDescent="0.2">
      <c r="E944" s="40"/>
      <c r="M944" s="40"/>
    </row>
    <row r="945" spans="5:13" ht="12.75" x14ac:dyDescent="0.2">
      <c r="E945" s="40"/>
      <c r="M945" s="40"/>
    </row>
    <row r="946" spans="5:13" ht="12.75" x14ac:dyDescent="0.2">
      <c r="E946" s="40"/>
      <c r="M946" s="40"/>
    </row>
    <row r="947" spans="5:13" ht="12.75" x14ac:dyDescent="0.2">
      <c r="E947" s="40"/>
      <c r="M947" s="40"/>
    </row>
    <row r="948" spans="5:13" ht="12.75" x14ac:dyDescent="0.2">
      <c r="E948" s="40"/>
      <c r="M948" s="40"/>
    </row>
    <row r="949" spans="5:13" ht="12.75" x14ac:dyDescent="0.2">
      <c r="E949" s="40"/>
      <c r="M949" s="40"/>
    </row>
    <row r="950" spans="5:13" ht="12.75" x14ac:dyDescent="0.2">
      <c r="E950" s="40"/>
      <c r="M950" s="40"/>
    </row>
    <row r="951" spans="5:13" ht="12.75" x14ac:dyDescent="0.2">
      <c r="E951" s="40"/>
      <c r="M951" s="40"/>
    </row>
    <row r="952" spans="5:13" ht="12.75" x14ac:dyDescent="0.2">
      <c r="E952" s="40"/>
      <c r="M952" s="40"/>
    </row>
    <row r="953" spans="5:13" ht="12.75" x14ac:dyDescent="0.2">
      <c r="E953" s="40"/>
      <c r="M953" s="40"/>
    </row>
    <row r="954" spans="5:13" ht="12.75" x14ac:dyDescent="0.2">
      <c r="E954" s="40"/>
      <c r="M954" s="40"/>
    </row>
    <row r="955" spans="5:13" ht="12.75" x14ac:dyDescent="0.2">
      <c r="E955" s="40"/>
      <c r="M955" s="40"/>
    </row>
    <row r="956" spans="5:13" ht="12.75" x14ac:dyDescent="0.2">
      <c r="E956" s="40"/>
      <c r="M956" s="40"/>
    </row>
    <row r="957" spans="5:13" ht="12.75" x14ac:dyDescent="0.2">
      <c r="E957" s="40"/>
      <c r="M957" s="40"/>
    </row>
    <row r="958" spans="5:13" ht="12.75" x14ac:dyDescent="0.2">
      <c r="E958" s="40"/>
      <c r="M958" s="40"/>
    </row>
    <row r="959" spans="5:13" ht="12.75" x14ac:dyDescent="0.2">
      <c r="E959" s="40"/>
      <c r="M959" s="40"/>
    </row>
    <row r="960" spans="5:13" ht="12.75" x14ac:dyDescent="0.2">
      <c r="E960" s="40"/>
      <c r="M960" s="40"/>
    </row>
    <row r="961" spans="5:13" ht="12.75" x14ac:dyDescent="0.2">
      <c r="E961" s="40"/>
      <c r="M961" s="40"/>
    </row>
    <row r="962" spans="5:13" ht="12.75" x14ac:dyDescent="0.2">
      <c r="E962" s="40"/>
      <c r="M962" s="40"/>
    </row>
    <row r="963" spans="5:13" ht="12.75" x14ac:dyDescent="0.2">
      <c r="E963" s="40"/>
      <c r="M963" s="40"/>
    </row>
    <row r="964" spans="5:13" ht="12.75" x14ac:dyDescent="0.2">
      <c r="E964" s="40"/>
      <c r="M964" s="40"/>
    </row>
    <row r="965" spans="5:13" ht="12.75" x14ac:dyDescent="0.2">
      <c r="E965" s="40"/>
      <c r="M965" s="40"/>
    </row>
    <row r="966" spans="5:13" ht="12.75" x14ac:dyDescent="0.2">
      <c r="E966" s="40"/>
      <c r="M966" s="40"/>
    </row>
    <row r="967" spans="5:13" ht="12.75" x14ac:dyDescent="0.2">
      <c r="E967" s="40"/>
      <c r="M967" s="40"/>
    </row>
    <row r="968" spans="5:13" ht="12.75" x14ac:dyDescent="0.2">
      <c r="E968" s="40"/>
      <c r="M968" s="40"/>
    </row>
    <row r="969" spans="5:13" ht="12.75" x14ac:dyDescent="0.2">
      <c r="E969" s="40"/>
      <c r="M969" s="40"/>
    </row>
    <row r="970" spans="5:13" ht="12.75" x14ac:dyDescent="0.2">
      <c r="E970" s="40"/>
      <c r="M970" s="40"/>
    </row>
    <row r="971" spans="5:13" ht="12.75" x14ac:dyDescent="0.2">
      <c r="E971" s="40"/>
      <c r="M971" s="40"/>
    </row>
    <row r="972" spans="5:13" ht="12.75" x14ac:dyDescent="0.2">
      <c r="E972" s="40"/>
      <c r="M972" s="40"/>
    </row>
    <row r="973" spans="5:13" ht="12.75" x14ac:dyDescent="0.2">
      <c r="E973" s="40"/>
      <c r="M973" s="40"/>
    </row>
    <row r="974" spans="5:13" ht="12.75" x14ac:dyDescent="0.2">
      <c r="E974" s="40"/>
      <c r="M974" s="40"/>
    </row>
    <row r="975" spans="5:13" ht="12.75" x14ac:dyDescent="0.2">
      <c r="E975" s="40"/>
      <c r="M975" s="40"/>
    </row>
    <row r="976" spans="5:13" ht="12.75" x14ac:dyDescent="0.2">
      <c r="E976" s="40"/>
      <c r="M976" s="40"/>
    </row>
    <row r="977" spans="5:13" ht="12.75" x14ac:dyDescent="0.2">
      <c r="E977" s="40"/>
      <c r="M977" s="40"/>
    </row>
    <row r="978" spans="5:13" ht="12.75" x14ac:dyDescent="0.2">
      <c r="E978" s="40"/>
      <c r="M978" s="40"/>
    </row>
    <row r="979" spans="5:13" ht="12.75" x14ac:dyDescent="0.2">
      <c r="E979" s="40"/>
      <c r="M979" s="40"/>
    </row>
    <row r="980" spans="5:13" ht="12.75" x14ac:dyDescent="0.2">
      <c r="E980" s="40"/>
      <c r="M980" s="40"/>
    </row>
    <row r="981" spans="5:13" ht="12.75" x14ac:dyDescent="0.2">
      <c r="E981" s="40"/>
      <c r="M981" s="40"/>
    </row>
    <row r="982" spans="5:13" ht="12.75" x14ac:dyDescent="0.2">
      <c r="E982" s="40"/>
      <c r="M982" s="40"/>
    </row>
    <row r="983" spans="5:13" ht="12.75" x14ac:dyDescent="0.2">
      <c r="E983" s="40"/>
      <c r="M983" s="40"/>
    </row>
    <row r="984" spans="5:13" ht="12.75" x14ac:dyDescent="0.2">
      <c r="E984" s="40"/>
      <c r="M984" s="40"/>
    </row>
    <row r="985" spans="5:13" ht="12.75" x14ac:dyDescent="0.2">
      <c r="E985" s="40"/>
      <c r="M985" s="40"/>
    </row>
    <row r="986" spans="5:13" ht="12.75" x14ac:dyDescent="0.2">
      <c r="E986" s="40"/>
      <c r="M986" s="40"/>
    </row>
    <row r="987" spans="5:13" ht="12.75" x14ac:dyDescent="0.2">
      <c r="E987" s="40"/>
      <c r="M987" s="40"/>
    </row>
    <row r="988" spans="5:13" ht="12.75" x14ac:dyDescent="0.2">
      <c r="E988" s="40"/>
      <c r="M988" s="40"/>
    </row>
    <row r="989" spans="5:13" ht="12.75" x14ac:dyDescent="0.2">
      <c r="E989" s="40"/>
      <c r="M989" s="40"/>
    </row>
    <row r="990" spans="5:13" ht="12.75" x14ac:dyDescent="0.2">
      <c r="E990" s="40"/>
      <c r="M990" s="40"/>
    </row>
    <row r="991" spans="5:13" ht="12.75" x14ac:dyDescent="0.2">
      <c r="E991" s="40"/>
      <c r="M991" s="40"/>
    </row>
    <row r="992" spans="5:13" ht="12.75" x14ac:dyDescent="0.2">
      <c r="E992" s="40"/>
      <c r="M992" s="40"/>
    </row>
    <row r="993" spans="5:13" ht="12.75" x14ac:dyDescent="0.2">
      <c r="E993" s="40"/>
      <c r="M993" s="40"/>
    </row>
    <row r="994" spans="5:13" ht="12.75" x14ac:dyDescent="0.2">
      <c r="E994" s="40"/>
      <c r="M994" s="40"/>
    </row>
    <row r="995" spans="5:13" ht="12.75" x14ac:dyDescent="0.2">
      <c r="E995" s="40"/>
      <c r="M995" s="40"/>
    </row>
    <row r="996" spans="5:13" ht="12.75" x14ac:dyDescent="0.2">
      <c r="E996" s="40"/>
      <c r="M996" s="40"/>
    </row>
    <row r="997" spans="5:13" ht="12.75" x14ac:dyDescent="0.2">
      <c r="E997" s="40"/>
      <c r="M997" s="40"/>
    </row>
    <row r="998" spans="5:13" ht="12.75" x14ac:dyDescent="0.2">
      <c r="E998" s="40"/>
      <c r="M998" s="40"/>
    </row>
    <row r="999" spans="5:13" ht="12.75" x14ac:dyDescent="0.2">
      <c r="E999" s="40"/>
      <c r="M999" s="40"/>
    </row>
    <row r="1000" spans="5:13" ht="12.75" x14ac:dyDescent="0.2">
      <c r="E1000" s="40"/>
      <c r="M1000" s="40"/>
    </row>
    <row r="1001" spans="5:13" ht="12.75" x14ac:dyDescent="0.2">
      <c r="E1001" s="40"/>
      <c r="M1001" s="40"/>
    </row>
    <row r="1002" spans="5:13" ht="12.75" x14ac:dyDescent="0.2">
      <c r="E1002" s="40"/>
      <c r="M1002" s="40"/>
    </row>
    <row r="1003" spans="5:13" ht="12.75" x14ac:dyDescent="0.2">
      <c r="E1003" s="40"/>
      <c r="M1003" s="40"/>
    </row>
    <row r="1004" spans="5:13" ht="12.75" x14ac:dyDescent="0.2">
      <c r="E1004" s="40"/>
      <c r="M1004" s="40"/>
    </row>
  </sheetData>
  <autoFilter ref="J1:J1004" xr:uid="{00000000-0009-0000-0000-000003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G988"/>
  <sheetViews>
    <sheetView workbookViewId="0"/>
  </sheetViews>
  <sheetFormatPr defaultColWidth="12.5703125" defaultRowHeight="15.75" customHeight="1" x14ac:dyDescent="0.2"/>
  <cols>
    <col min="1" max="1" width="8.42578125" customWidth="1"/>
    <col min="2" max="2" width="9" customWidth="1"/>
    <col min="3" max="3" width="6.7109375" customWidth="1"/>
    <col min="4" max="4" width="6.28515625" customWidth="1"/>
    <col min="5" max="5" width="5.42578125" customWidth="1"/>
    <col min="6" max="6" width="5.5703125" customWidth="1"/>
    <col min="7" max="7" width="5.28515625" customWidth="1"/>
    <col min="8" max="8" width="5.7109375" customWidth="1"/>
    <col min="9" max="9" width="6.28515625" customWidth="1"/>
    <col min="10" max="10" width="8.28515625" customWidth="1"/>
    <col min="11" max="11" width="1.7109375" customWidth="1"/>
    <col min="12" max="12" width="8.28515625" customWidth="1"/>
    <col min="13" max="13" width="9.42578125" customWidth="1"/>
    <col min="14" max="14" width="5" customWidth="1"/>
    <col min="15" max="16" width="4.7109375" customWidth="1"/>
    <col min="17" max="17" width="4.28515625" customWidth="1"/>
    <col min="18" max="18" width="4.7109375" customWidth="1"/>
    <col min="19" max="19" width="5" customWidth="1"/>
    <col min="20" max="20" width="5.28515625" customWidth="1"/>
    <col min="21" max="21" width="5.140625" customWidth="1"/>
    <col min="22" max="22" width="5.5703125" customWidth="1"/>
    <col min="23" max="23" width="7.140625" customWidth="1"/>
    <col min="24" max="24" width="8.140625" customWidth="1"/>
    <col min="25" max="25" width="8.5703125" customWidth="1"/>
    <col min="26" max="26" width="6.28515625" customWidth="1"/>
    <col min="27" max="28" width="8.28515625" customWidth="1"/>
    <col min="29" max="29" width="6.5703125" customWidth="1"/>
    <col min="30" max="30" width="7.5703125" customWidth="1"/>
    <col min="31" max="31" width="7.140625" customWidth="1"/>
    <col min="32" max="33" width="7.5703125" customWidth="1"/>
  </cols>
  <sheetData>
    <row r="1" spans="1:33" ht="51" x14ac:dyDescent="0.2">
      <c r="A1" s="52" t="s">
        <v>135</v>
      </c>
      <c r="B1" s="53">
        <v>45566</v>
      </c>
      <c r="C1" s="54"/>
      <c r="D1" s="54"/>
      <c r="E1" s="54"/>
      <c r="F1" s="54"/>
      <c r="G1" s="54"/>
      <c r="H1" s="54"/>
      <c r="I1" s="54"/>
      <c r="J1" s="55" t="s">
        <v>141</v>
      </c>
      <c r="K1" s="56"/>
      <c r="L1" s="52" t="s">
        <v>136</v>
      </c>
      <c r="M1" s="53">
        <v>45566</v>
      </c>
      <c r="N1" s="54"/>
      <c r="O1" s="54"/>
      <c r="P1" s="54"/>
      <c r="Q1" s="54"/>
      <c r="R1" s="54"/>
      <c r="S1" s="54"/>
      <c r="T1" s="54"/>
      <c r="U1" s="54"/>
      <c r="V1" s="54"/>
      <c r="W1" s="57" t="s">
        <v>137</v>
      </c>
      <c r="X1" s="57" t="s">
        <v>192</v>
      </c>
      <c r="Y1" s="58" t="s">
        <v>142</v>
      </c>
      <c r="Z1" s="59" t="s">
        <v>193</v>
      </c>
      <c r="AA1" s="60" t="s">
        <v>194</v>
      </c>
      <c r="AB1" s="57" t="s">
        <v>165</v>
      </c>
      <c r="AC1" s="55" t="s">
        <v>195</v>
      </c>
      <c r="AD1" s="55" t="s">
        <v>196</v>
      </c>
      <c r="AE1" s="57" t="s">
        <v>197</v>
      </c>
      <c r="AF1" s="55" t="s">
        <v>198</v>
      </c>
      <c r="AG1" s="61"/>
    </row>
    <row r="2" spans="1:33" ht="12.75" x14ac:dyDescent="0.2">
      <c r="A2" s="55" t="s">
        <v>199</v>
      </c>
      <c r="B2" s="62">
        <v>0.05</v>
      </c>
      <c r="C2" s="62">
        <v>0.1</v>
      </c>
      <c r="D2" s="62">
        <v>0.2</v>
      </c>
      <c r="E2" s="62">
        <v>0.5</v>
      </c>
      <c r="F2" s="62">
        <v>1</v>
      </c>
      <c r="G2" s="62">
        <v>2</v>
      </c>
      <c r="H2" s="62">
        <v>5</v>
      </c>
      <c r="I2" s="62">
        <v>10</v>
      </c>
      <c r="K2" s="56"/>
      <c r="L2" s="55" t="s">
        <v>199</v>
      </c>
      <c r="M2" s="62">
        <v>0.05</v>
      </c>
      <c r="N2" s="62">
        <v>0.1</v>
      </c>
      <c r="O2" s="62">
        <v>0.2</v>
      </c>
      <c r="P2" s="62">
        <v>0.5</v>
      </c>
      <c r="Q2" s="62">
        <v>1</v>
      </c>
      <c r="R2" s="62">
        <v>2</v>
      </c>
      <c r="S2" s="62">
        <v>5</v>
      </c>
      <c r="T2" s="62">
        <v>10</v>
      </c>
      <c r="U2" s="62">
        <v>20</v>
      </c>
      <c r="V2" s="62">
        <v>50</v>
      </c>
      <c r="W2" s="54"/>
      <c r="X2" s="54"/>
      <c r="Y2" s="63"/>
      <c r="Z2" s="63"/>
      <c r="AA2" s="64"/>
      <c r="AB2" s="54"/>
      <c r="AC2" s="54"/>
      <c r="AD2" s="54"/>
      <c r="AE2" s="54"/>
      <c r="AF2" s="54"/>
    </row>
    <row r="3" spans="1:33" ht="12.75" x14ac:dyDescent="0.2">
      <c r="A3" s="55" t="s">
        <v>200</v>
      </c>
      <c r="B3" s="65">
        <v>59</v>
      </c>
      <c r="C3" s="65">
        <v>13</v>
      </c>
      <c r="D3" s="65">
        <v>17</v>
      </c>
      <c r="E3" s="65">
        <v>16</v>
      </c>
      <c r="F3" s="65">
        <v>16</v>
      </c>
      <c r="G3" s="65">
        <v>13</v>
      </c>
      <c r="H3" s="65">
        <v>4</v>
      </c>
      <c r="I3" s="65">
        <v>2</v>
      </c>
      <c r="J3" s="54"/>
      <c r="K3" s="56"/>
      <c r="L3" s="55" t="s">
        <v>200</v>
      </c>
      <c r="M3" s="65">
        <v>57</v>
      </c>
      <c r="N3" s="65">
        <v>8</v>
      </c>
      <c r="O3" s="65">
        <v>2</v>
      </c>
      <c r="P3" s="65">
        <v>13</v>
      </c>
      <c r="Q3" s="65">
        <v>10</v>
      </c>
      <c r="R3" s="65">
        <v>6</v>
      </c>
      <c r="S3" s="65">
        <v>3</v>
      </c>
      <c r="T3" s="65">
        <v>2</v>
      </c>
      <c r="U3" s="65">
        <v>7</v>
      </c>
      <c r="V3" s="65">
        <v>3</v>
      </c>
      <c r="W3" s="54"/>
      <c r="X3" s="54"/>
      <c r="Y3" s="63"/>
      <c r="Z3" s="63"/>
      <c r="AA3" s="64"/>
      <c r="AB3" s="54"/>
      <c r="AC3" s="54"/>
      <c r="AD3" s="54"/>
      <c r="AE3" s="54"/>
      <c r="AF3" s="54"/>
    </row>
    <row r="4" spans="1:33" ht="12.75" x14ac:dyDescent="0.2">
      <c r="A4" s="55" t="s">
        <v>141</v>
      </c>
      <c r="B4" s="65">
        <f t="shared" ref="B4:I4" si="0">B3*B2</f>
        <v>2.95</v>
      </c>
      <c r="C4" s="65">
        <f t="shared" si="0"/>
        <v>1.3</v>
      </c>
      <c r="D4" s="65">
        <f t="shared" si="0"/>
        <v>3.4000000000000004</v>
      </c>
      <c r="E4" s="65">
        <f t="shared" si="0"/>
        <v>8</v>
      </c>
      <c r="F4" s="65">
        <f t="shared" si="0"/>
        <v>16</v>
      </c>
      <c r="G4" s="65">
        <f t="shared" si="0"/>
        <v>26</v>
      </c>
      <c r="H4" s="65">
        <f t="shared" si="0"/>
        <v>20</v>
      </c>
      <c r="I4" s="65">
        <f t="shared" si="0"/>
        <v>20</v>
      </c>
      <c r="J4" s="55">
        <f>SUM(B4:I4)</f>
        <v>97.65</v>
      </c>
      <c r="K4" s="56"/>
      <c r="L4" s="55" t="s">
        <v>141</v>
      </c>
      <c r="M4" s="65">
        <f t="shared" ref="M4:V4" si="1">M3*M2</f>
        <v>2.85</v>
      </c>
      <c r="N4" s="65">
        <f t="shared" si="1"/>
        <v>0.8</v>
      </c>
      <c r="O4" s="65">
        <f t="shared" si="1"/>
        <v>0.4</v>
      </c>
      <c r="P4" s="65">
        <f t="shared" si="1"/>
        <v>6.5</v>
      </c>
      <c r="Q4" s="65">
        <f t="shared" si="1"/>
        <v>10</v>
      </c>
      <c r="R4" s="65">
        <f t="shared" si="1"/>
        <v>12</v>
      </c>
      <c r="S4" s="65">
        <f t="shared" si="1"/>
        <v>15</v>
      </c>
      <c r="T4" s="65">
        <f t="shared" si="1"/>
        <v>20</v>
      </c>
      <c r="U4" s="65">
        <f t="shared" si="1"/>
        <v>140</v>
      </c>
      <c r="V4" s="65">
        <f t="shared" si="1"/>
        <v>150</v>
      </c>
      <c r="W4" s="54">
        <f>SUM(M4:V4)</f>
        <v>357.55</v>
      </c>
      <c r="X4" s="55">
        <f>W4-J4</f>
        <v>259.89999999999998</v>
      </c>
      <c r="Y4" s="63">
        <v>155.4</v>
      </c>
      <c r="Z4" s="63">
        <v>47.2</v>
      </c>
      <c r="AA4" s="66">
        <f>X4+Z4</f>
        <v>307.09999999999997</v>
      </c>
      <c r="AB4" s="55">
        <f>SUM(Y4+Z4)*0.2</f>
        <v>40.52000000000001</v>
      </c>
      <c r="AC4" s="55">
        <f>Y4-AB4</f>
        <v>114.88</v>
      </c>
      <c r="AD4" s="55">
        <f>X4-Y4</f>
        <v>104.49999999999997</v>
      </c>
      <c r="AE4" s="55">
        <f>AD4*0.2</f>
        <v>20.899999999999995</v>
      </c>
      <c r="AF4" s="55">
        <f>AD4-AE4</f>
        <v>83.59999999999998</v>
      </c>
      <c r="AG4" s="61"/>
    </row>
    <row r="5" spans="1:33" ht="12.75" x14ac:dyDescent="0.2">
      <c r="K5" s="56"/>
      <c r="Y5" s="51"/>
      <c r="Z5" s="51"/>
      <c r="AA5" s="67"/>
    </row>
    <row r="6" spans="1:33" ht="12.75" x14ac:dyDescent="0.2">
      <c r="K6" s="56"/>
      <c r="Y6" s="51"/>
      <c r="Z6" s="51"/>
      <c r="AA6" s="67"/>
    </row>
    <row r="7" spans="1:33" ht="51" x14ac:dyDescent="0.2">
      <c r="A7" s="52" t="s">
        <v>135</v>
      </c>
      <c r="B7" s="53">
        <v>45567</v>
      </c>
      <c r="C7" s="54"/>
      <c r="D7" s="54"/>
      <c r="E7" s="54"/>
      <c r="F7" s="54"/>
      <c r="G7" s="54"/>
      <c r="H7" s="54"/>
      <c r="I7" s="54"/>
      <c r="J7" s="55" t="s">
        <v>141</v>
      </c>
      <c r="K7" s="56"/>
      <c r="L7" s="52" t="s">
        <v>136</v>
      </c>
      <c r="M7" s="53">
        <v>45567</v>
      </c>
      <c r="N7" s="54"/>
      <c r="O7" s="54"/>
      <c r="P7" s="54"/>
      <c r="Q7" s="54"/>
      <c r="R7" s="54"/>
      <c r="S7" s="54"/>
      <c r="T7" s="54"/>
      <c r="U7" s="54"/>
      <c r="V7" s="54"/>
      <c r="W7" s="57" t="s">
        <v>137</v>
      </c>
      <c r="X7" s="57" t="s">
        <v>192</v>
      </c>
      <c r="Y7" s="58" t="s">
        <v>142</v>
      </c>
      <c r="Z7" s="59" t="s">
        <v>193</v>
      </c>
      <c r="AA7" s="60" t="s">
        <v>194</v>
      </c>
      <c r="AB7" s="57" t="s">
        <v>165</v>
      </c>
      <c r="AC7" s="55" t="s">
        <v>195</v>
      </c>
      <c r="AD7" s="55" t="s">
        <v>196</v>
      </c>
      <c r="AE7" s="57" t="s">
        <v>197</v>
      </c>
      <c r="AF7" s="55"/>
      <c r="AG7" s="61"/>
    </row>
    <row r="8" spans="1:33" ht="12.75" x14ac:dyDescent="0.2">
      <c r="A8" s="55" t="s">
        <v>199</v>
      </c>
      <c r="B8" s="62">
        <v>0.05</v>
      </c>
      <c r="C8" s="62">
        <v>0.1</v>
      </c>
      <c r="D8" s="62">
        <v>0.2</v>
      </c>
      <c r="E8" s="62">
        <v>0.5</v>
      </c>
      <c r="F8" s="62">
        <v>1</v>
      </c>
      <c r="G8" s="62">
        <v>2</v>
      </c>
      <c r="H8" s="62">
        <v>5</v>
      </c>
      <c r="I8" s="62">
        <v>10</v>
      </c>
      <c r="K8" s="56"/>
      <c r="L8" s="55" t="s">
        <v>199</v>
      </c>
      <c r="M8" s="62">
        <v>0.05</v>
      </c>
      <c r="N8" s="62">
        <v>0.1</v>
      </c>
      <c r="O8" s="62">
        <v>0.2</v>
      </c>
      <c r="P8" s="62">
        <v>0.5</v>
      </c>
      <c r="Q8" s="62">
        <v>1</v>
      </c>
      <c r="R8" s="62">
        <v>2</v>
      </c>
      <c r="S8" s="62">
        <v>5</v>
      </c>
      <c r="T8" s="62">
        <v>10</v>
      </c>
      <c r="U8" s="62">
        <v>20</v>
      </c>
      <c r="V8" s="62">
        <v>50</v>
      </c>
      <c r="W8" s="54"/>
      <c r="X8" s="54"/>
      <c r="Y8" s="63"/>
      <c r="Z8" s="63"/>
      <c r="AA8" s="64"/>
      <c r="AB8" s="54"/>
      <c r="AC8" s="54"/>
      <c r="AD8" s="54"/>
      <c r="AE8" s="54"/>
      <c r="AF8" s="54"/>
    </row>
    <row r="9" spans="1:33" ht="12.75" x14ac:dyDescent="0.2">
      <c r="A9" s="55" t="s">
        <v>200</v>
      </c>
      <c r="B9" s="65">
        <v>57</v>
      </c>
      <c r="C9" s="65">
        <v>49</v>
      </c>
      <c r="D9" s="65">
        <v>4</v>
      </c>
      <c r="E9" s="65">
        <v>36</v>
      </c>
      <c r="F9" s="65">
        <v>12</v>
      </c>
      <c r="G9" s="65">
        <v>7</v>
      </c>
      <c r="H9" s="65">
        <v>5</v>
      </c>
      <c r="I9" s="65">
        <v>2</v>
      </c>
      <c r="J9" s="54"/>
      <c r="K9" s="56"/>
      <c r="L9" s="55" t="s">
        <v>200</v>
      </c>
      <c r="M9" s="65">
        <v>51</v>
      </c>
      <c r="N9" s="65">
        <v>30</v>
      </c>
      <c r="O9" s="65">
        <v>5</v>
      </c>
      <c r="P9" s="65">
        <v>32</v>
      </c>
      <c r="Q9" s="65">
        <v>11</v>
      </c>
      <c r="R9" s="65">
        <v>24</v>
      </c>
      <c r="S9" s="65">
        <v>12</v>
      </c>
      <c r="T9" s="65">
        <v>7</v>
      </c>
      <c r="U9" s="65">
        <v>3</v>
      </c>
      <c r="V9" s="65">
        <v>1</v>
      </c>
      <c r="W9" s="54"/>
      <c r="X9" s="54"/>
      <c r="Y9" s="63"/>
      <c r="Z9" s="63"/>
      <c r="AA9" s="64"/>
      <c r="AB9" s="54"/>
      <c r="AC9" s="54"/>
      <c r="AD9" s="54"/>
      <c r="AE9" s="54"/>
      <c r="AF9" s="54"/>
    </row>
    <row r="10" spans="1:33" ht="12.75" x14ac:dyDescent="0.2">
      <c r="A10" s="55" t="s">
        <v>141</v>
      </c>
      <c r="B10" s="65">
        <f t="shared" ref="B10:I10" si="2">B9*B8</f>
        <v>2.85</v>
      </c>
      <c r="C10" s="65">
        <f t="shared" si="2"/>
        <v>4.9000000000000004</v>
      </c>
      <c r="D10" s="65">
        <f t="shared" si="2"/>
        <v>0.8</v>
      </c>
      <c r="E10" s="65">
        <f t="shared" si="2"/>
        <v>18</v>
      </c>
      <c r="F10" s="65">
        <f t="shared" si="2"/>
        <v>12</v>
      </c>
      <c r="G10" s="65">
        <f t="shared" si="2"/>
        <v>14</v>
      </c>
      <c r="H10" s="65">
        <f t="shared" si="2"/>
        <v>25</v>
      </c>
      <c r="I10" s="65">
        <f t="shared" si="2"/>
        <v>20</v>
      </c>
      <c r="J10" s="55">
        <f>SUM(B10:I10)</f>
        <v>97.55</v>
      </c>
      <c r="K10" s="56"/>
      <c r="L10" s="55" t="s">
        <v>141</v>
      </c>
      <c r="M10" s="65">
        <f t="shared" ref="M10:V10" si="3">M9*M8</f>
        <v>2.5500000000000003</v>
      </c>
      <c r="N10" s="65">
        <f t="shared" si="3"/>
        <v>3</v>
      </c>
      <c r="O10" s="65">
        <f t="shared" si="3"/>
        <v>1</v>
      </c>
      <c r="P10" s="65">
        <f t="shared" si="3"/>
        <v>16</v>
      </c>
      <c r="Q10" s="65">
        <f t="shared" si="3"/>
        <v>11</v>
      </c>
      <c r="R10" s="65">
        <f t="shared" si="3"/>
        <v>48</v>
      </c>
      <c r="S10" s="65">
        <f t="shared" si="3"/>
        <v>60</v>
      </c>
      <c r="T10" s="65">
        <f t="shared" si="3"/>
        <v>70</v>
      </c>
      <c r="U10" s="65">
        <f t="shared" si="3"/>
        <v>60</v>
      </c>
      <c r="V10" s="65">
        <f t="shared" si="3"/>
        <v>50</v>
      </c>
      <c r="W10" s="54">
        <f>SUM(M10:V10)</f>
        <v>321.55</v>
      </c>
      <c r="X10" s="55">
        <f>W10-J10</f>
        <v>224</v>
      </c>
      <c r="Y10" s="63">
        <v>113.2</v>
      </c>
      <c r="Z10" s="63">
        <v>15.3</v>
      </c>
      <c r="AA10" s="66">
        <f>X10+Z10</f>
        <v>239.3</v>
      </c>
      <c r="AB10" s="55">
        <v>40</v>
      </c>
      <c r="AC10" s="55">
        <f>Y10-AB10</f>
        <v>73.2</v>
      </c>
      <c r="AD10" s="55">
        <f>X10-Y10</f>
        <v>110.8</v>
      </c>
      <c r="AE10" s="55">
        <f>20</f>
        <v>20</v>
      </c>
      <c r="AF10" s="55">
        <f>AD10-AE10</f>
        <v>90.8</v>
      </c>
      <c r="AG10" s="61"/>
    </row>
    <row r="11" spans="1:33" ht="12.75" x14ac:dyDescent="0.2">
      <c r="C11" s="41"/>
      <c r="K11" s="56"/>
      <c r="Y11" s="51"/>
      <c r="Z11" s="51"/>
      <c r="AA11" s="67"/>
    </row>
    <row r="12" spans="1:33" ht="12.75" x14ac:dyDescent="0.2">
      <c r="C12" s="41"/>
      <c r="K12" s="56"/>
      <c r="Y12" s="51"/>
      <c r="Z12" s="51"/>
      <c r="AA12" s="67"/>
    </row>
    <row r="13" spans="1:33" ht="51" x14ac:dyDescent="0.2">
      <c r="A13" s="52" t="s">
        <v>135</v>
      </c>
      <c r="B13" s="53">
        <v>45568</v>
      </c>
      <c r="C13" s="54"/>
      <c r="D13" s="54"/>
      <c r="E13" s="54"/>
      <c r="F13" s="54"/>
      <c r="G13" s="54"/>
      <c r="H13" s="54"/>
      <c r="I13" s="54"/>
      <c r="J13" s="55" t="s">
        <v>141</v>
      </c>
      <c r="K13" s="56"/>
      <c r="L13" s="52" t="s">
        <v>136</v>
      </c>
      <c r="M13" s="53">
        <v>45568</v>
      </c>
      <c r="N13" s="54"/>
      <c r="O13" s="54"/>
      <c r="P13" s="54"/>
      <c r="Q13" s="54"/>
      <c r="R13" s="54"/>
      <c r="S13" s="54"/>
      <c r="T13" s="54"/>
      <c r="U13" s="54"/>
      <c r="V13" s="54"/>
      <c r="W13" s="57" t="s">
        <v>137</v>
      </c>
      <c r="X13" s="57" t="s">
        <v>192</v>
      </c>
      <c r="Y13" s="58" t="s">
        <v>142</v>
      </c>
      <c r="Z13" s="59" t="s">
        <v>193</v>
      </c>
      <c r="AA13" s="60" t="s">
        <v>194</v>
      </c>
      <c r="AB13" s="57" t="s">
        <v>165</v>
      </c>
      <c r="AC13" s="55" t="s">
        <v>195</v>
      </c>
      <c r="AD13" s="55" t="s">
        <v>196</v>
      </c>
      <c r="AE13" s="57" t="s">
        <v>197</v>
      </c>
      <c r="AF13" s="55"/>
      <c r="AG13" s="61"/>
    </row>
    <row r="14" spans="1:33" ht="12.75" x14ac:dyDescent="0.2">
      <c r="A14" s="55" t="s">
        <v>199</v>
      </c>
      <c r="B14" s="62">
        <v>0.05</v>
      </c>
      <c r="C14" s="62">
        <v>0.1</v>
      </c>
      <c r="D14" s="62">
        <v>0.2</v>
      </c>
      <c r="E14" s="62">
        <v>0.5</v>
      </c>
      <c r="F14" s="62">
        <v>1</v>
      </c>
      <c r="G14" s="62">
        <v>2</v>
      </c>
      <c r="H14" s="62">
        <v>5</v>
      </c>
      <c r="I14" s="62">
        <v>10</v>
      </c>
      <c r="K14" s="56"/>
      <c r="L14" s="55" t="s">
        <v>199</v>
      </c>
      <c r="M14" s="62">
        <v>0.05</v>
      </c>
      <c r="N14" s="62">
        <v>0.1</v>
      </c>
      <c r="O14" s="62">
        <v>0.2</v>
      </c>
      <c r="P14" s="62">
        <v>0.5</v>
      </c>
      <c r="Q14" s="62">
        <v>1</v>
      </c>
      <c r="R14" s="62">
        <v>2</v>
      </c>
      <c r="S14" s="62">
        <v>5</v>
      </c>
      <c r="T14" s="62">
        <v>10</v>
      </c>
      <c r="U14" s="62">
        <v>20</v>
      </c>
      <c r="V14" s="62">
        <v>50</v>
      </c>
      <c r="W14" s="54"/>
      <c r="X14" s="54"/>
      <c r="Y14" s="63"/>
      <c r="Z14" s="63"/>
      <c r="AA14" s="64"/>
      <c r="AB14" s="54"/>
      <c r="AC14" s="54"/>
      <c r="AD14" s="54"/>
      <c r="AE14" s="54"/>
      <c r="AF14" s="54"/>
    </row>
    <row r="15" spans="1:33" ht="12.75" x14ac:dyDescent="0.2">
      <c r="A15" s="55" t="s">
        <v>200</v>
      </c>
      <c r="B15" s="65">
        <v>51</v>
      </c>
      <c r="C15" s="65">
        <v>30</v>
      </c>
      <c r="D15" s="65">
        <v>5</v>
      </c>
      <c r="E15" s="65">
        <v>32</v>
      </c>
      <c r="F15" s="65">
        <v>11</v>
      </c>
      <c r="G15" s="65">
        <v>10</v>
      </c>
      <c r="H15" s="65">
        <v>4</v>
      </c>
      <c r="I15" s="65">
        <v>2</v>
      </c>
      <c r="J15" s="54"/>
      <c r="K15" s="56"/>
      <c r="L15" s="55" t="s">
        <v>200</v>
      </c>
      <c r="M15" s="65">
        <v>49</v>
      </c>
      <c r="N15" s="65">
        <v>21</v>
      </c>
      <c r="O15" s="65">
        <v>10</v>
      </c>
      <c r="P15" s="65">
        <v>32</v>
      </c>
      <c r="Q15" s="65">
        <v>15</v>
      </c>
      <c r="R15" s="65">
        <v>14</v>
      </c>
      <c r="S15" s="65">
        <v>11</v>
      </c>
      <c r="T15" s="65">
        <v>13</v>
      </c>
      <c r="U15" s="65">
        <v>6</v>
      </c>
      <c r="V15" s="65">
        <v>1</v>
      </c>
      <c r="W15" s="54"/>
      <c r="X15" s="54"/>
      <c r="Y15" s="63"/>
      <c r="Z15" s="63"/>
      <c r="AA15" s="64"/>
      <c r="AB15" s="54"/>
      <c r="AC15" s="54"/>
      <c r="AD15" s="54"/>
      <c r="AE15" s="54"/>
      <c r="AF15" s="54"/>
    </row>
    <row r="16" spans="1:33" ht="12.75" x14ac:dyDescent="0.2">
      <c r="A16" s="55" t="s">
        <v>141</v>
      </c>
      <c r="B16" s="65">
        <f t="shared" ref="B16:I16" si="4">B15*B14</f>
        <v>2.5500000000000003</v>
      </c>
      <c r="C16" s="65">
        <f t="shared" si="4"/>
        <v>3</v>
      </c>
      <c r="D16" s="65">
        <f t="shared" si="4"/>
        <v>1</v>
      </c>
      <c r="E16" s="65">
        <f t="shared" si="4"/>
        <v>16</v>
      </c>
      <c r="F16" s="65">
        <f t="shared" si="4"/>
        <v>11</v>
      </c>
      <c r="G16" s="65">
        <f t="shared" si="4"/>
        <v>20</v>
      </c>
      <c r="H16" s="65">
        <f t="shared" si="4"/>
        <v>20</v>
      </c>
      <c r="I16" s="65">
        <f t="shared" si="4"/>
        <v>20</v>
      </c>
      <c r="J16" s="54">
        <f>SUM(B16:I16)</f>
        <v>93.55</v>
      </c>
      <c r="K16" s="56"/>
      <c r="L16" s="55" t="s">
        <v>141</v>
      </c>
      <c r="M16" s="65">
        <f t="shared" ref="M16:V16" si="5">M15*M14</f>
        <v>2.4500000000000002</v>
      </c>
      <c r="N16" s="65">
        <f t="shared" si="5"/>
        <v>2.1</v>
      </c>
      <c r="O16" s="65">
        <f t="shared" si="5"/>
        <v>2</v>
      </c>
      <c r="P16" s="65">
        <f t="shared" si="5"/>
        <v>16</v>
      </c>
      <c r="Q16" s="65">
        <f t="shared" si="5"/>
        <v>15</v>
      </c>
      <c r="R16" s="65">
        <f t="shared" si="5"/>
        <v>28</v>
      </c>
      <c r="S16" s="65">
        <f t="shared" si="5"/>
        <v>55</v>
      </c>
      <c r="T16" s="65">
        <f t="shared" si="5"/>
        <v>130</v>
      </c>
      <c r="U16" s="65">
        <f t="shared" si="5"/>
        <v>120</v>
      </c>
      <c r="V16" s="65">
        <f t="shared" si="5"/>
        <v>50</v>
      </c>
      <c r="W16" s="54">
        <f>SUM(M16:V16)</f>
        <v>420.55</v>
      </c>
      <c r="X16" s="55">
        <f>W16-J16</f>
        <v>327</v>
      </c>
      <c r="Y16" s="63">
        <v>160.69999999999999</v>
      </c>
      <c r="Z16" s="63">
        <v>40.799999999999997</v>
      </c>
      <c r="AA16" s="66">
        <f>X16+Z16</f>
        <v>367.8</v>
      </c>
      <c r="AB16" s="55">
        <f>SUM(Y16+Z16)*0.2</f>
        <v>40.300000000000004</v>
      </c>
      <c r="AC16" s="55">
        <f>Y16-AB16</f>
        <v>120.39999999999998</v>
      </c>
      <c r="AD16" s="55">
        <f>X16-Y16</f>
        <v>166.3</v>
      </c>
      <c r="AE16" s="55">
        <f>AD16*0.2</f>
        <v>33.260000000000005</v>
      </c>
      <c r="AF16" s="55">
        <f>AD16-AE16</f>
        <v>133.04000000000002</v>
      </c>
      <c r="AG16" s="61"/>
    </row>
    <row r="17" spans="1:33" ht="12.75" x14ac:dyDescent="0.2">
      <c r="C17" s="41"/>
      <c r="K17" s="56"/>
      <c r="Y17" s="51"/>
      <c r="Z17" s="51"/>
      <c r="AA17" s="67"/>
    </row>
    <row r="18" spans="1:33" ht="51" x14ac:dyDescent="0.2">
      <c r="A18" s="52" t="s">
        <v>135</v>
      </c>
      <c r="B18" s="53">
        <v>45569</v>
      </c>
      <c r="C18" s="54"/>
      <c r="D18" s="54"/>
      <c r="E18" s="54"/>
      <c r="F18" s="54"/>
      <c r="G18" s="54"/>
      <c r="H18" s="54"/>
      <c r="I18" s="54"/>
      <c r="J18" s="55" t="s">
        <v>141</v>
      </c>
      <c r="K18" s="56"/>
      <c r="L18" s="52" t="s">
        <v>136</v>
      </c>
      <c r="M18" s="53">
        <v>45569</v>
      </c>
      <c r="N18" s="54"/>
      <c r="O18" s="54"/>
      <c r="P18" s="54"/>
      <c r="Q18" s="54"/>
      <c r="R18" s="54"/>
      <c r="S18" s="54"/>
      <c r="T18" s="54"/>
      <c r="U18" s="54"/>
      <c r="V18" s="54"/>
      <c r="W18" s="57" t="s">
        <v>137</v>
      </c>
      <c r="X18" s="57" t="s">
        <v>192</v>
      </c>
      <c r="Y18" s="58" t="s">
        <v>142</v>
      </c>
      <c r="Z18" s="59" t="s">
        <v>193</v>
      </c>
      <c r="AA18" s="60" t="s">
        <v>194</v>
      </c>
      <c r="AB18" s="57" t="s">
        <v>165</v>
      </c>
      <c r="AC18" s="55" t="s">
        <v>195</v>
      </c>
      <c r="AD18" s="55" t="s">
        <v>196</v>
      </c>
      <c r="AE18" s="57" t="s">
        <v>197</v>
      </c>
      <c r="AF18" s="55"/>
      <c r="AG18" s="61"/>
    </row>
    <row r="19" spans="1:33" ht="12.75" x14ac:dyDescent="0.2">
      <c r="A19" s="55" t="s">
        <v>199</v>
      </c>
      <c r="B19" s="62">
        <v>0.05</v>
      </c>
      <c r="C19" s="62">
        <v>0.1</v>
      </c>
      <c r="D19" s="62">
        <v>0.2</v>
      </c>
      <c r="E19" s="62">
        <v>0.5</v>
      </c>
      <c r="F19" s="62">
        <v>1</v>
      </c>
      <c r="G19" s="62">
        <v>2</v>
      </c>
      <c r="H19" s="62">
        <v>5</v>
      </c>
      <c r="I19" s="62">
        <v>10</v>
      </c>
      <c r="K19" s="56"/>
      <c r="L19" s="55" t="s">
        <v>199</v>
      </c>
      <c r="M19" s="62">
        <v>0.05</v>
      </c>
      <c r="N19" s="62">
        <v>0.1</v>
      </c>
      <c r="O19" s="62">
        <v>0.2</v>
      </c>
      <c r="P19" s="62">
        <v>0.5</v>
      </c>
      <c r="Q19" s="62">
        <v>1</v>
      </c>
      <c r="R19" s="62">
        <v>2</v>
      </c>
      <c r="S19" s="62">
        <v>5</v>
      </c>
      <c r="T19" s="62">
        <v>10</v>
      </c>
      <c r="U19" s="62">
        <v>20</v>
      </c>
      <c r="V19" s="62">
        <v>50</v>
      </c>
      <c r="W19" s="54"/>
      <c r="X19" s="54"/>
      <c r="Y19" s="63"/>
      <c r="Z19" s="63"/>
      <c r="AA19" s="64"/>
      <c r="AB19" s="54"/>
      <c r="AC19" s="54"/>
      <c r="AD19" s="54"/>
      <c r="AE19" s="54"/>
      <c r="AF19" s="54"/>
    </row>
    <row r="20" spans="1:33" ht="12.75" x14ac:dyDescent="0.2">
      <c r="A20" s="55" t="s">
        <v>200</v>
      </c>
      <c r="B20" s="65">
        <v>49</v>
      </c>
      <c r="C20" s="65">
        <v>21</v>
      </c>
      <c r="D20" s="65">
        <v>10</v>
      </c>
      <c r="E20" s="65">
        <v>32</v>
      </c>
      <c r="F20" s="65">
        <v>15</v>
      </c>
      <c r="G20" s="65">
        <v>14</v>
      </c>
      <c r="H20" s="65">
        <v>3</v>
      </c>
      <c r="I20" s="65">
        <v>2</v>
      </c>
      <c r="J20" s="54"/>
      <c r="K20" s="56"/>
      <c r="L20" s="55" t="s">
        <v>200</v>
      </c>
      <c r="M20" s="65">
        <v>51</v>
      </c>
      <c r="N20" s="65">
        <v>32</v>
      </c>
      <c r="O20" s="65">
        <v>11</v>
      </c>
      <c r="P20" s="65">
        <v>29</v>
      </c>
      <c r="Q20" s="65">
        <v>17</v>
      </c>
      <c r="R20" s="65">
        <v>16</v>
      </c>
      <c r="S20" s="65">
        <v>12</v>
      </c>
      <c r="T20" s="65">
        <v>3</v>
      </c>
      <c r="U20" s="65">
        <v>9</v>
      </c>
      <c r="V20" s="65">
        <v>3</v>
      </c>
      <c r="W20" s="54"/>
      <c r="X20" s="54"/>
      <c r="Y20" s="63"/>
      <c r="Z20" s="63"/>
      <c r="AA20" s="64"/>
      <c r="AB20" s="54"/>
      <c r="AC20" s="54"/>
      <c r="AD20" s="54"/>
      <c r="AE20" s="54"/>
      <c r="AF20" s="54"/>
    </row>
    <row r="21" spans="1:33" ht="12.75" x14ac:dyDescent="0.2">
      <c r="A21" s="55" t="s">
        <v>141</v>
      </c>
      <c r="B21" s="65">
        <f t="shared" ref="B21:I21" si="6">B20*B19</f>
        <v>2.4500000000000002</v>
      </c>
      <c r="C21" s="65">
        <f t="shared" si="6"/>
        <v>2.1</v>
      </c>
      <c r="D21" s="65">
        <f t="shared" si="6"/>
        <v>2</v>
      </c>
      <c r="E21" s="65">
        <f t="shared" si="6"/>
        <v>16</v>
      </c>
      <c r="F21" s="65">
        <f t="shared" si="6"/>
        <v>15</v>
      </c>
      <c r="G21" s="65">
        <f t="shared" si="6"/>
        <v>28</v>
      </c>
      <c r="H21" s="65">
        <f t="shared" si="6"/>
        <v>15</v>
      </c>
      <c r="I21" s="65">
        <f t="shared" si="6"/>
        <v>20</v>
      </c>
      <c r="J21" s="54">
        <f>SUM(B21:I21)</f>
        <v>100.55</v>
      </c>
      <c r="K21" s="56"/>
      <c r="L21" s="55" t="s">
        <v>141</v>
      </c>
      <c r="M21" s="65">
        <f t="shared" ref="M21:V21" si="7">M20*M19</f>
        <v>2.5500000000000003</v>
      </c>
      <c r="N21" s="65">
        <f t="shared" si="7"/>
        <v>3.2</v>
      </c>
      <c r="O21" s="65">
        <f t="shared" si="7"/>
        <v>2.2000000000000002</v>
      </c>
      <c r="P21" s="65">
        <f t="shared" si="7"/>
        <v>14.5</v>
      </c>
      <c r="Q21" s="65">
        <f t="shared" si="7"/>
        <v>17</v>
      </c>
      <c r="R21" s="65">
        <f t="shared" si="7"/>
        <v>32</v>
      </c>
      <c r="S21" s="65">
        <f t="shared" si="7"/>
        <v>60</v>
      </c>
      <c r="T21" s="65">
        <f t="shared" si="7"/>
        <v>30</v>
      </c>
      <c r="U21" s="65">
        <f t="shared" si="7"/>
        <v>180</v>
      </c>
      <c r="V21" s="65">
        <f t="shared" si="7"/>
        <v>150</v>
      </c>
      <c r="W21" s="54">
        <f>SUM(M21:V21)</f>
        <v>491.45</v>
      </c>
      <c r="X21" s="55">
        <f>W21-J21</f>
        <v>390.9</v>
      </c>
      <c r="Y21" s="63">
        <v>214.8</v>
      </c>
      <c r="Z21" s="63">
        <v>43.8</v>
      </c>
      <c r="AA21" s="66">
        <f>X21+Z21</f>
        <v>434.7</v>
      </c>
      <c r="AB21" s="55">
        <f>SUM(Y21+Z21)*0.2</f>
        <v>51.720000000000006</v>
      </c>
      <c r="AC21" s="55">
        <f>Y21-AB21</f>
        <v>163.08000000000001</v>
      </c>
      <c r="AD21" s="55">
        <f>X21-Y21</f>
        <v>176.09999999999997</v>
      </c>
      <c r="AE21" s="55"/>
      <c r="AF21" s="55">
        <f>AD21-AE21</f>
        <v>176.09999999999997</v>
      </c>
      <c r="AG21" s="61"/>
    </row>
    <row r="22" spans="1:33" ht="12.75" x14ac:dyDescent="0.2">
      <c r="K22" s="56"/>
      <c r="Y22" s="51"/>
      <c r="Z22" s="51"/>
      <c r="AA22" s="67"/>
      <c r="AC22" s="38">
        <v>-61</v>
      </c>
    </row>
    <row r="23" spans="1:33" ht="51" x14ac:dyDescent="0.2">
      <c r="A23" s="52" t="s">
        <v>135</v>
      </c>
      <c r="B23" s="53">
        <v>45570</v>
      </c>
      <c r="C23" s="54"/>
      <c r="D23" s="54"/>
      <c r="E23" s="54"/>
      <c r="F23" s="54"/>
      <c r="G23" s="54"/>
      <c r="H23" s="54"/>
      <c r="I23" s="54"/>
      <c r="J23" s="55" t="s">
        <v>141</v>
      </c>
      <c r="K23" s="56"/>
      <c r="L23" s="52" t="s">
        <v>136</v>
      </c>
      <c r="M23" s="53">
        <v>45570</v>
      </c>
      <c r="N23" s="54"/>
      <c r="O23" s="54"/>
      <c r="P23" s="54"/>
      <c r="Q23" s="54"/>
      <c r="R23" s="54"/>
      <c r="S23" s="54"/>
      <c r="T23" s="54"/>
      <c r="U23" s="54"/>
      <c r="V23" s="54"/>
      <c r="W23" s="57" t="s">
        <v>137</v>
      </c>
      <c r="X23" s="57" t="s">
        <v>192</v>
      </c>
      <c r="Y23" s="58" t="s">
        <v>142</v>
      </c>
      <c r="Z23" s="59" t="s">
        <v>193</v>
      </c>
      <c r="AA23" s="60" t="s">
        <v>194</v>
      </c>
      <c r="AB23" s="57" t="s">
        <v>165</v>
      </c>
      <c r="AC23" s="55" t="s">
        <v>195</v>
      </c>
      <c r="AD23" s="55" t="s">
        <v>196</v>
      </c>
      <c r="AE23" s="57" t="s">
        <v>197</v>
      </c>
      <c r="AF23" s="55"/>
      <c r="AG23" s="61"/>
    </row>
    <row r="24" spans="1:33" ht="12.75" x14ac:dyDescent="0.2">
      <c r="A24" s="55" t="s">
        <v>199</v>
      </c>
      <c r="B24" s="62">
        <v>0.05</v>
      </c>
      <c r="C24" s="62">
        <v>0.1</v>
      </c>
      <c r="D24" s="62">
        <v>0.2</v>
      </c>
      <c r="E24" s="62">
        <v>0.5</v>
      </c>
      <c r="F24" s="62">
        <v>1</v>
      </c>
      <c r="G24" s="62">
        <v>2</v>
      </c>
      <c r="H24" s="62">
        <v>5</v>
      </c>
      <c r="I24" s="62">
        <v>10</v>
      </c>
      <c r="K24" s="56"/>
      <c r="L24" s="55" t="s">
        <v>199</v>
      </c>
      <c r="M24" s="62">
        <v>0.05</v>
      </c>
      <c r="N24" s="62">
        <v>0.1</v>
      </c>
      <c r="O24" s="62">
        <v>0.2</v>
      </c>
      <c r="P24" s="62">
        <v>0.5</v>
      </c>
      <c r="Q24" s="62">
        <v>1</v>
      </c>
      <c r="R24" s="62">
        <v>2</v>
      </c>
      <c r="S24" s="62">
        <v>5</v>
      </c>
      <c r="T24" s="62">
        <v>10</v>
      </c>
      <c r="U24" s="62">
        <v>20</v>
      </c>
      <c r="V24" s="62">
        <v>50</v>
      </c>
      <c r="W24" s="54"/>
      <c r="X24" s="54"/>
      <c r="Y24" s="63"/>
      <c r="Z24" s="63"/>
      <c r="AA24" s="64"/>
      <c r="AB24" s="54"/>
      <c r="AC24" s="54"/>
      <c r="AD24" s="54"/>
      <c r="AE24" s="54"/>
      <c r="AF24" s="54"/>
    </row>
    <row r="25" spans="1:33" ht="12.75" x14ac:dyDescent="0.2">
      <c r="A25" s="55" t="s">
        <v>200</v>
      </c>
      <c r="B25" s="65">
        <v>51</v>
      </c>
      <c r="C25" s="65">
        <v>32</v>
      </c>
      <c r="D25" s="65">
        <v>11</v>
      </c>
      <c r="E25" s="65">
        <v>29</v>
      </c>
      <c r="F25" s="65">
        <v>17</v>
      </c>
      <c r="G25" s="65">
        <v>10</v>
      </c>
      <c r="H25" s="65">
        <v>3</v>
      </c>
      <c r="I25" s="65">
        <v>2</v>
      </c>
      <c r="J25" s="54"/>
      <c r="K25" s="56"/>
      <c r="L25" s="55" t="s">
        <v>200</v>
      </c>
      <c r="M25" s="65">
        <v>51</v>
      </c>
      <c r="N25" s="65">
        <v>28</v>
      </c>
      <c r="O25" s="65">
        <v>14</v>
      </c>
      <c r="P25" s="65">
        <v>25</v>
      </c>
      <c r="Q25" s="65">
        <v>19</v>
      </c>
      <c r="R25" s="65">
        <v>20</v>
      </c>
      <c r="S25" s="65">
        <v>7</v>
      </c>
      <c r="T25" s="65">
        <v>2</v>
      </c>
      <c r="U25" s="65">
        <v>7</v>
      </c>
      <c r="V25" s="65">
        <v>1</v>
      </c>
      <c r="W25" s="54"/>
      <c r="X25" s="54"/>
      <c r="Y25" s="63"/>
      <c r="Z25" s="63"/>
      <c r="AA25" s="64"/>
      <c r="AB25" s="54"/>
      <c r="AC25" s="54"/>
      <c r="AD25" s="54"/>
      <c r="AE25" s="54"/>
      <c r="AF25" s="54"/>
    </row>
    <row r="26" spans="1:33" ht="12.75" x14ac:dyDescent="0.2">
      <c r="A26" s="55" t="s">
        <v>141</v>
      </c>
      <c r="B26" s="65">
        <f t="shared" ref="B26:I26" si="8">B25*B24</f>
        <v>2.5500000000000003</v>
      </c>
      <c r="C26" s="65">
        <f t="shared" si="8"/>
        <v>3.2</v>
      </c>
      <c r="D26" s="65">
        <f t="shared" si="8"/>
        <v>2.2000000000000002</v>
      </c>
      <c r="E26" s="65">
        <f t="shared" si="8"/>
        <v>14.5</v>
      </c>
      <c r="F26" s="65">
        <f t="shared" si="8"/>
        <v>17</v>
      </c>
      <c r="G26" s="65">
        <f t="shared" si="8"/>
        <v>20</v>
      </c>
      <c r="H26" s="65">
        <f t="shared" si="8"/>
        <v>15</v>
      </c>
      <c r="I26" s="65">
        <f t="shared" si="8"/>
        <v>20</v>
      </c>
      <c r="J26" s="54">
        <f>SUM(B26:I26)</f>
        <v>94.45</v>
      </c>
      <c r="K26" s="56"/>
      <c r="L26" s="55" t="s">
        <v>141</v>
      </c>
      <c r="M26" s="65">
        <f t="shared" ref="M26:V26" si="9">M25*M24</f>
        <v>2.5500000000000003</v>
      </c>
      <c r="N26" s="65">
        <f t="shared" si="9"/>
        <v>2.8000000000000003</v>
      </c>
      <c r="O26" s="65">
        <f t="shared" si="9"/>
        <v>2.8000000000000003</v>
      </c>
      <c r="P26" s="65">
        <f t="shared" si="9"/>
        <v>12.5</v>
      </c>
      <c r="Q26" s="65">
        <f t="shared" si="9"/>
        <v>19</v>
      </c>
      <c r="R26" s="65">
        <f t="shared" si="9"/>
        <v>40</v>
      </c>
      <c r="S26" s="65">
        <f t="shared" si="9"/>
        <v>35</v>
      </c>
      <c r="T26" s="65">
        <f t="shared" si="9"/>
        <v>20</v>
      </c>
      <c r="U26" s="65">
        <f t="shared" si="9"/>
        <v>140</v>
      </c>
      <c r="V26" s="65">
        <f t="shared" si="9"/>
        <v>50</v>
      </c>
      <c r="W26" s="54">
        <f>SUM(M26:V26)</f>
        <v>324.64999999999998</v>
      </c>
      <c r="X26" s="55">
        <f>W26-J26</f>
        <v>230.2</v>
      </c>
      <c r="Y26" s="63">
        <v>139</v>
      </c>
      <c r="Z26" s="63">
        <v>100</v>
      </c>
      <c r="AA26" s="66">
        <f>X26+Z26</f>
        <v>330.2</v>
      </c>
      <c r="AB26" s="55">
        <f>SUM(Y26+Z26)*0.2</f>
        <v>47.800000000000004</v>
      </c>
      <c r="AC26" s="55">
        <f>Y26-AB26</f>
        <v>91.199999999999989</v>
      </c>
      <c r="AD26" s="55">
        <f>X26-Y26</f>
        <v>91.199999999999989</v>
      </c>
      <c r="AE26" s="55">
        <f>AD26*0.2</f>
        <v>18.239999999999998</v>
      </c>
      <c r="AF26" s="55">
        <f>AD26-AE26</f>
        <v>72.959999999999994</v>
      </c>
      <c r="AG26" s="61"/>
    </row>
    <row r="27" spans="1:33" ht="12.75" x14ac:dyDescent="0.2">
      <c r="K27" s="56"/>
      <c r="Y27" s="51"/>
      <c r="Z27" s="51"/>
      <c r="AA27" s="67"/>
    </row>
    <row r="28" spans="1:33" ht="51" x14ac:dyDescent="0.2">
      <c r="A28" s="52" t="s">
        <v>135</v>
      </c>
      <c r="B28" s="53">
        <v>45571</v>
      </c>
      <c r="C28" s="54"/>
      <c r="D28" s="54"/>
      <c r="E28" s="54"/>
      <c r="F28" s="54"/>
      <c r="G28" s="54"/>
      <c r="H28" s="54"/>
      <c r="I28" s="54"/>
      <c r="J28" s="55" t="s">
        <v>141</v>
      </c>
      <c r="K28" s="56"/>
      <c r="L28" s="52" t="s">
        <v>136</v>
      </c>
      <c r="M28" s="53">
        <v>45571</v>
      </c>
      <c r="N28" s="54"/>
      <c r="O28" s="54"/>
      <c r="P28" s="54"/>
      <c r="Q28" s="54"/>
      <c r="R28" s="54"/>
      <c r="S28" s="54"/>
      <c r="T28" s="54"/>
      <c r="U28" s="54"/>
      <c r="V28" s="54"/>
      <c r="W28" s="57" t="s">
        <v>137</v>
      </c>
      <c r="X28" s="57" t="s">
        <v>192</v>
      </c>
      <c r="Y28" s="58" t="s">
        <v>142</v>
      </c>
      <c r="Z28" s="59" t="s">
        <v>193</v>
      </c>
      <c r="AA28" s="60" t="s">
        <v>194</v>
      </c>
      <c r="AB28" s="57" t="s">
        <v>165</v>
      </c>
      <c r="AC28" s="55" t="s">
        <v>195</v>
      </c>
      <c r="AD28" s="55" t="s">
        <v>196</v>
      </c>
      <c r="AE28" s="57" t="s">
        <v>197</v>
      </c>
      <c r="AF28" s="55"/>
      <c r="AG28" s="61"/>
    </row>
    <row r="29" spans="1:33" ht="12.75" x14ac:dyDescent="0.2">
      <c r="A29" s="55" t="s">
        <v>199</v>
      </c>
      <c r="B29" s="62">
        <v>0.05</v>
      </c>
      <c r="C29" s="62">
        <v>0.1</v>
      </c>
      <c r="D29" s="62">
        <v>0.2</v>
      </c>
      <c r="E29" s="62">
        <v>0.5</v>
      </c>
      <c r="F29" s="62">
        <v>1</v>
      </c>
      <c r="G29" s="62">
        <v>2</v>
      </c>
      <c r="H29" s="62">
        <v>5</v>
      </c>
      <c r="I29" s="62">
        <v>10</v>
      </c>
      <c r="K29" s="56"/>
      <c r="L29" s="55" t="s">
        <v>199</v>
      </c>
      <c r="M29" s="62">
        <v>0.05</v>
      </c>
      <c r="N29" s="62">
        <v>0.1</v>
      </c>
      <c r="O29" s="62">
        <v>0.2</v>
      </c>
      <c r="P29" s="62">
        <v>0.5</v>
      </c>
      <c r="Q29" s="62">
        <v>1</v>
      </c>
      <c r="R29" s="62">
        <v>2</v>
      </c>
      <c r="S29" s="62">
        <v>5</v>
      </c>
      <c r="T29" s="62">
        <v>10</v>
      </c>
      <c r="U29" s="62">
        <v>20</v>
      </c>
      <c r="V29" s="62">
        <v>50</v>
      </c>
      <c r="W29" s="54"/>
      <c r="X29" s="54"/>
      <c r="Y29" s="63"/>
      <c r="Z29" s="63"/>
      <c r="AA29" s="64"/>
      <c r="AB29" s="54"/>
      <c r="AC29" s="54"/>
      <c r="AD29" s="54"/>
      <c r="AE29" s="54"/>
      <c r="AF29" s="54"/>
    </row>
    <row r="30" spans="1:33" ht="12.75" x14ac:dyDescent="0.2">
      <c r="A30" s="55" t="s">
        <v>200</v>
      </c>
      <c r="B30" s="65">
        <v>51</v>
      </c>
      <c r="C30" s="65">
        <v>28</v>
      </c>
      <c r="D30" s="65">
        <v>14</v>
      </c>
      <c r="E30" s="65">
        <v>25</v>
      </c>
      <c r="F30" s="65">
        <v>19</v>
      </c>
      <c r="G30" s="65">
        <v>10</v>
      </c>
      <c r="H30" s="65">
        <v>3</v>
      </c>
      <c r="I30" s="65">
        <v>2</v>
      </c>
      <c r="J30" s="54"/>
      <c r="K30" s="56"/>
      <c r="L30" s="55" t="s">
        <v>200</v>
      </c>
      <c r="M30" s="65">
        <v>52</v>
      </c>
      <c r="N30" s="65">
        <v>30</v>
      </c>
      <c r="O30" s="65">
        <v>15</v>
      </c>
      <c r="P30" s="65">
        <v>28</v>
      </c>
      <c r="Q30" s="65">
        <v>14</v>
      </c>
      <c r="R30" s="65">
        <v>10</v>
      </c>
      <c r="S30" s="65">
        <v>6</v>
      </c>
      <c r="T30" s="65">
        <v>2</v>
      </c>
      <c r="U30" s="65">
        <v>3</v>
      </c>
      <c r="V30" s="65">
        <v>2</v>
      </c>
      <c r="W30" s="54"/>
      <c r="X30" s="54"/>
      <c r="Y30" s="63"/>
      <c r="Z30" s="63"/>
      <c r="AA30" s="64"/>
      <c r="AB30" s="54"/>
      <c r="AC30" s="54"/>
      <c r="AD30" s="54"/>
      <c r="AE30" s="54"/>
      <c r="AF30" s="54"/>
    </row>
    <row r="31" spans="1:33" ht="12.75" x14ac:dyDescent="0.2">
      <c r="A31" s="55" t="s">
        <v>141</v>
      </c>
      <c r="B31" s="65">
        <f t="shared" ref="B31:I31" si="10">B30*B29</f>
        <v>2.5500000000000003</v>
      </c>
      <c r="C31" s="65">
        <f t="shared" si="10"/>
        <v>2.8000000000000003</v>
      </c>
      <c r="D31" s="65">
        <f t="shared" si="10"/>
        <v>2.8000000000000003</v>
      </c>
      <c r="E31" s="65">
        <f t="shared" si="10"/>
        <v>12.5</v>
      </c>
      <c r="F31" s="65">
        <f t="shared" si="10"/>
        <v>19</v>
      </c>
      <c r="G31" s="65">
        <f t="shared" si="10"/>
        <v>20</v>
      </c>
      <c r="H31" s="65">
        <f t="shared" si="10"/>
        <v>15</v>
      </c>
      <c r="I31" s="65">
        <f t="shared" si="10"/>
        <v>20</v>
      </c>
      <c r="J31" s="54">
        <f>SUM(B31:I31)</f>
        <v>94.65</v>
      </c>
      <c r="K31" s="56"/>
      <c r="L31" s="55" t="s">
        <v>141</v>
      </c>
      <c r="M31" s="65">
        <f t="shared" ref="M31:V31" si="11">M30*M29</f>
        <v>2.6</v>
      </c>
      <c r="N31" s="65">
        <f t="shared" si="11"/>
        <v>3</v>
      </c>
      <c r="O31" s="65">
        <f t="shared" si="11"/>
        <v>3</v>
      </c>
      <c r="P31" s="65">
        <f t="shared" si="11"/>
        <v>14</v>
      </c>
      <c r="Q31" s="65">
        <f t="shared" si="11"/>
        <v>14</v>
      </c>
      <c r="R31" s="65">
        <f t="shared" si="11"/>
        <v>20</v>
      </c>
      <c r="S31" s="65">
        <f t="shared" si="11"/>
        <v>30</v>
      </c>
      <c r="T31" s="65">
        <f t="shared" si="11"/>
        <v>20</v>
      </c>
      <c r="U31" s="65">
        <f t="shared" si="11"/>
        <v>60</v>
      </c>
      <c r="V31" s="65">
        <f t="shared" si="11"/>
        <v>100</v>
      </c>
      <c r="W31" s="54">
        <f>SUM(M31:V31)</f>
        <v>266.60000000000002</v>
      </c>
      <c r="X31" s="55">
        <f>W31-J31</f>
        <v>171.95000000000002</v>
      </c>
      <c r="Y31" s="63">
        <v>85.7</v>
      </c>
      <c r="Z31" s="63"/>
      <c r="AA31" s="66">
        <f>X31+Z31</f>
        <v>171.95000000000002</v>
      </c>
      <c r="AB31" s="55">
        <f>SUM(Y31+Z31)*0.2+2.86</f>
        <v>20</v>
      </c>
      <c r="AC31" s="55">
        <f>Y31-AB31</f>
        <v>65.7</v>
      </c>
      <c r="AD31" s="55">
        <f>X31-Y31</f>
        <v>86.250000000000014</v>
      </c>
      <c r="AF31" s="55">
        <f>AD31-AD32-1.25</f>
        <v>165</v>
      </c>
      <c r="AG31" s="61"/>
    </row>
    <row r="32" spans="1:33" ht="12.75" x14ac:dyDescent="0.2">
      <c r="K32" s="56"/>
      <c r="Y32" s="51"/>
      <c r="Z32" s="51"/>
      <c r="AA32" s="67"/>
      <c r="AC32" s="38">
        <v>-15</v>
      </c>
      <c r="AD32" s="55">
        <v>-80</v>
      </c>
      <c r="AE32" s="38" t="s">
        <v>201</v>
      </c>
    </row>
    <row r="33" spans="1:33" ht="51" x14ac:dyDescent="0.2">
      <c r="A33" s="52" t="s">
        <v>135</v>
      </c>
      <c r="B33" s="53">
        <v>45572</v>
      </c>
      <c r="C33" s="54"/>
      <c r="D33" s="54"/>
      <c r="E33" s="54"/>
      <c r="F33" s="54"/>
      <c r="G33" s="54"/>
      <c r="H33" s="54"/>
      <c r="I33" s="54"/>
      <c r="J33" s="55" t="s">
        <v>141</v>
      </c>
      <c r="K33" s="56"/>
      <c r="L33" s="52" t="s">
        <v>136</v>
      </c>
      <c r="M33" s="53">
        <v>45572</v>
      </c>
      <c r="N33" s="54"/>
      <c r="O33" s="54"/>
      <c r="P33" s="54"/>
      <c r="Q33" s="54"/>
      <c r="R33" s="54"/>
      <c r="S33" s="54"/>
      <c r="T33" s="54"/>
      <c r="U33" s="54"/>
      <c r="V33" s="54"/>
      <c r="W33" s="57" t="s">
        <v>137</v>
      </c>
      <c r="X33" s="57" t="s">
        <v>192</v>
      </c>
      <c r="Y33" s="58" t="s">
        <v>142</v>
      </c>
      <c r="Z33" s="59" t="s">
        <v>193</v>
      </c>
      <c r="AA33" s="60" t="s">
        <v>194</v>
      </c>
      <c r="AB33" s="57" t="s">
        <v>165</v>
      </c>
      <c r="AC33" s="55" t="s">
        <v>195</v>
      </c>
      <c r="AD33" s="55" t="s">
        <v>196</v>
      </c>
      <c r="AE33" s="57" t="s">
        <v>197</v>
      </c>
      <c r="AF33" s="55"/>
      <c r="AG33" s="61"/>
    </row>
    <row r="34" spans="1:33" ht="12.75" x14ac:dyDescent="0.2">
      <c r="A34" s="55" t="s">
        <v>199</v>
      </c>
      <c r="B34" s="62">
        <v>0.05</v>
      </c>
      <c r="C34" s="62">
        <v>0.1</v>
      </c>
      <c r="D34" s="62">
        <v>0.2</v>
      </c>
      <c r="E34" s="62">
        <v>0.5</v>
      </c>
      <c r="F34" s="62">
        <v>1</v>
      </c>
      <c r="G34" s="62">
        <v>2</v>
      </c>
      <c r="H34" s="62">
        <v>5</v>
      </c>
      <c r="I34" s="62">
        <v>10</v>
      </c>
      <c r="K34" s="56"/>
      <c r="L34" s="55" t="s">
        <v>199</v>
      </c>
      <c r="M34" s="62">
        <v>0.05</v>
      </c>
      <c r="N34" s="62">
        <v>0.1</v>
      </c>
      <c r="O34" s="62">
        <v>0.2</v>
      </c>
      <c r="P34" s="62">
        <v>0.5</v>
      </c>
      <c r="Q34" s="62">
        <v>1</v>
      </c>
      <c r="R34" s="62">
        <v>2</v>
      </c>
      <c r="S34" s="62">
        <v>5</v>
      </c>
      <c r="T34" s="62">
        <v>10</v>
      </c>
      <c r="U34" s="62">
        <v>20</v>
      </c>
      <c r="V34" s="62">
        <v>50</v>
      </c>
      <c r="W34" s="54"/>
      <c r="X34" s="54"/>
      <c r="Y34" s="63"/>
      <c r="Z34" s="63"/>
      <c r="AA34" s="64"/>
      <c r="AB34" s="54"/>
      <c r="AC34" s="54"/>
      <c r="AD34" s="54"/>
      <c r="AE34" s="54"/>
      <c r="AF34" s="54"/>
    </row>
    <row r="35" spans="1:33" ht="12.75" x14ac:dyDescent="0.2">
      <c r="A35" s="55" t="s">
        <v>200</v>
      </c>
      <c r="B35" s="65">
        <v>52</v>
      </c>
      <c r="C35" s="65">
        <v>30</v>
      </c>
      <c r="D35" s="65">
        <v>15</v>
      </c>
      <c r="E35" s="65">
        <v>28</v>
      </c>
      <c r="F35" s="65">
        <v>14</v>
      </c>
      <c r="G35" s="65">
        <v>10</v>
      </c>
      <c r="H35" s="65">
        <v>4</v>
      </c>
      <c r="I35" s="65">
        <v>2</v>
      </c>
      <c r="J35" s="54"/>
      <c r="K35" s="56"/>
      <c r="L35" s="55" t="s">
        <v>200</v>
      </c>
      <c r="M35" s="65">
        <v>46</v>
      </c>
      <c r="N35" s="65">
        <v>17</v>
      </c>
      <c r="O35" s="65">
        <v>7</v>
      </c>
      <c r="P35" s="65">
        <v>31</v>
      </c>
      <c r="Q35" s="65">
        <v>23</v>
      </c>
      <c r="R35" s="65">
        <v>10</v>
      </c>
      <c r="S35" s="65">
        <v>5</v>
      </c>
      <c r="T35" s="65">
        <v>11</v>
      </c>
      <c r="U35" s="65">
        <v>3</v>
      </c>
      <c r="V35" s="65">
        <v>3</v>
      </c>
      <c r="W35" s="54"/>
      <c r="X35" s="54"/>
      <c r="Y35" s="63"/>
      <c r="Z35" s="63"/>
      <c r="AA35" s="64"/>
      <c r="AB35" s="54"/>
      <c r="AC35" s="54"/>
      <c r="AD35" s="54"/>
      <c r="AE35" s="54"/>
      <c r="AF35" s="54"/>
    </row>
    <row r="36" spans="1:33" ht="12.75" x14ac:dyDescent="0.2">
      <c r="A36" s="55" t="s">
        <v>141</v>
      </c>
      <c r="B36" s="65">
        <f t="shared" ref="B36:I36" si="12">B35*B34</f>
        <v>2.6</v>
      </c>
      <c r="C36" s="65">
        <f t="shared" si="12"/>
        <v>3</v>
      </c>
      <c r="D36" s="65">
        <f t="shared" si="12"/>
        <v>3</v>
      </c>
      <c r="E36" s="65">
        <f t="shared" si="12"/>
        <v>14</v>
      </c>
      <c r="F36" s="65">
        <f t="shared" si="12"/>
        <v>14</v>
      </c>
      <c r="G36" s="65">
        <f t="shared" si="12"/>
        <v>20</v>
      </c>
      <c r="H36" s="65">
        <f t="shared" si="12"/>
        <v>20</v>
      </c>
      <c r="I36" s="65">
        <f t="shared" si="12"/>
        <v>20</v>
      </c>
      <c r="J36" s="54">
        <f>SUM(B36:I36)</f>
        <v>96.6</v>
      </c>
      <c r="K36" s="56"/>
      <c r="L36" s="55" t="s">
        <v>141</v>
      </c>
      <c r="M36" s="65">
        <f t="shared" ref="M36:V36" si="13">M35*M34</f>
        <v>2.3000000000000003</v>
      </c>
      <c r="N36" s="65">
        <f t="shared" si="13"/>
        <v>1.7000000000000002</v>
      </c>
      <c r="O36" s="65">
        <f t="shared" si="13"/>
        <v>1.4000000000000001</v>
      </c>
      <c r="P36" s="65">
        <f t="shared" si="13"/>
        <v>15.5</v>
      </c>
      <c r="Q36" s="65">
        <f t="shared" si="13"/>
        <v>23</v>
      </c>
      <c r="R36" s="65">
        <f t="shared" si="13"/>
        <v>20</v>
      </c>
      <c r="S36" s="65">
        <f t="shared" si="13"/>
        <v>25</v>
      </c>
      <c r="T36" s="65">
        <f t="shared" si="13"/>
        <v>110</v>
      </c>
      <c r="U36" s="65">
        <f t="shared" si="13"/>
        <v>60</v>
      </c>
      <c r="V36" s="65">
        <f t="shared" si="13"/>
        <v>150</v>
      </c>
      <c r="W36" s="54">
        <f>SUM(M36:V36)</f>
        <v>408.9</v>
      </c>
      <c r="X36" s="55">
        <f>W36-J36</f>
        <v>312.29999999999995</v>
      </c>
      <c r="Y36" s="63">
        <v>180.8</v>
      </c>
      <c r="Z36" s="63">
        <v>6.5</v>
      </c>
      <c r="AA36" s="66">
        <f>X36+Z36</f>
        <v>318.79999999999995</v>
      </c>
      <c r="AB36" s="55">
        <v>180</v>
      </c>
      <c r="AC36" s="55">
        <f>Y36-AB36</f>
        <v>0.80000000000001137</v>
      </c>
      <c r="AD36" s="55">
        <f>X36-Y36</f>
        <v>131.49999999999994</v>
      </c>
      <c r="AE36" s="55">
        <f>AD36*0.2</f>
        <v>26.29999999999999</v>
      </c>
      <c r="AF36" s="55">
        <f>AD36-AE36</f>
        <v>105.19999999999996</v>
      </c>
      <c r="AG36" s="61"/>
    </row>
    <row r="37" spans="1:33" ht="12.75" x14ac:dyDescent="0.2">
      <c r="K37" s="56"/>
      <c r="Y37" s="51"/>
      <c r="Z37" s="51"/>
      <c r="AA37" s="67"/>
    </row>
    <row r="38" spans="1:33" ht="51" x14ac:dyDescent="0.2">
      <c r="A38" s="52" t="s">
        <v>135</v>
      </c>
      <c r="B38" s="53">
        <v>45573</v>
      </c>
      <c r="C38" s="54"/>
      <c r="D38" s="54"/>
      <c r="E38" s="54"/>
      <c r="F38" s="54"/>
      <c r="G38" s="54"/>
      <c r="H38" s="54"/>
      <c r="I38" s="54"/>
      <c r="J38" s="55" t="s">
        <v>141</v>
      </c>
      <c r="K38" s="56"/>
      <c r="L38" s="52" t="s">
        <v>136</v>
      </c>
      <c r="M38" s="54" t="s">
        <v>202</v>
      </c>
      <c r="N38" s="54"/>
      <c r="O38" s="54"/>
      <c r="P38" s="54"/>
      <c r="Q38" s="54"/>
      <c r="R38" s="54"/>
      <c r="S38" s="54"/>
      <c r="T38" s="54"/>
      <c r="U38" s="54"/>
      <c r="V38" s="54"/>
      <c r="W38" s="57" t="s">
        <v>137</v>
      </c>
      <c r="X38" s="57" t="s">
        <v>192</v>
      </c>
      <c r="Y38" s="58" t="s">
        <v>142</v>
      </c>
      <c r="Z38" s="59" t="s">
        <v>193</v>
      </c>
      <c r="AA38" s="60" t="s">
        <v>194</v>
      </c>
      <c r="AB38" s="57" t="s">
        <v>165</v>
      </c>
      <c r="AC38" s="55" t="s">
        <v>195</v>
      </c>
      <c r="AD38" s="55" t="s">
        <v>196</v>
      </c>
      <c r="AE38" s="57" t="s">
        <v>197</v>
      </c>
      <c r="AF38" s="55"/>
      <c r="AG38" s="61"/>
    </row>
    <row r="39" spans="1:33" ht="12.75" x14ac:dyDescent="0.2">
      <c r="A39" s="55" t="s">
        <v>199</v>
      </c>
      <c r="B39" s="62">
        <v>0.05</v>
      </c>
      <c r="C39" s="62">
        <v>0.1</v>
      </c>
      <c r="D39" s="62">
        <v>0.2</v>
      </c>
      <c r="E39" s="62">
        <v>0.5</v>
      </c>
      <c r="F39" s="62">
        <v>1</v>
      </c>
      <c r="G39" s="62">
        <v>2</v>
      </c>
      <c r="H39" s="62">
        <v>5</v>
      </c>
      <c r="I39" s="62">
        <v>10</v>
      </c>
      <c r="K39" s="56"/>
      <c r="L39" s="55" t="s">
        <v>199</v>
      </c>
      <c r="M39" s="62">
        <v>0.05</v>
      </c>
      <c r="N39" s="62">
        <v>0.1</v>
      </c>
      <c r="O39" s="62">
        <v>0.2</v>
      </c>
      <c r="P39" s="62">
        <v>0.5</v>
      </c>
      <c r="Q39" s="62">
        <v>1</v>
      </c>
      <c r="R39" s="62">
        <v>2</v>
      </c>
      <c r="S39" s="62">
        <v>5</v>
      </c>
      <c r="T39" s="62">
        <v>10</v>
      </c>
      <c r="U39" s="62">
        <v>20</v>
      </c>
      <c r="V39" s="62">
        <v>50</v>
      </c>
      <c r="W39" s="54"/>
      <c r="X39" s="54"/>
      <c r="Y39" s="63"/>
      <c r="Z39" s="63"/>
      <c r="AA39" s="64"/>
      <c r="AB39" s="54"/>
      <c r="AC39" s="54"/>
      <c r="AD39" s="54"/>
      <c r="AE39" s="54"/>
      <c r="AF39" s="54"/>
    </row>
    <row r="40" spans="1:33" ht="12.75" x14ac:dyDescent="0.2">
      <c r="A40" s="55" t="s">
        <v>200</v>
      </c>
      <c r="B40" s="65">
        <v>46</v>
      </c>
      <c r="C40" s="65">
        <v>17</v>
      </c>
      <c r="D40" s="65">
        <v>7</v>
      </c>
      <c r="E40" s="65">
        <v>31</v>
      </c>
      <c r="F40" s="65">
        <v>23</v>
      </c>
      <c r="G40" s="65">
        <v>10</v>
      </c>
      <c r="H40" s="65">
        <v>2</v>
      </c>
      <c r="I40" s="65">
        <v>2</v>
      </c>
      <c r="J40" s="54"/>
      <c r="K40" s="56"/>
      <c r="L40" s="55" t="s">
        <v>200</v>
      </c>
      <c r="M40" s="65">
        <v>37</v>
      </c>
      <c r="N40" s="65">
        <v>7</v>
      </c>
      <c r="O40" s="65">
        <v>17</v>
      </c>
      <c r="P40" s="65">
        <v>31</v>
      </c>
      <c r="Q40" s="65">
        <v>32</v>
      </c>
      <c r="R40" s="65">
        <v>23</v>
      </c>
      <c r="S40" s="65">
        <v>3</v>
      </c>
      <c r="T40" s="65">
        <v>3</v>
      </c>
      <c r="U40" s="65">
        <v>7</v>
      </c>
      <c r="V40" s="65"/>
      <c r="W40" s="54"/>
      <c r="X40" s="54"/>
      <c r="Y40" s="63"/>
      <c r="Z40" s="63"/>
      <c r="AA40" s="64"/>
      <c r="AB40" s="54"/>
      <c r="AC40" s="54"/>
      <c r="AD40" s="54"/>
      <c r="AE40" s="54"/>
      <c r="AF40" s="54"/>
    </row>
    <row r="41" spans="1:33" ht="12.75" x14ac:dyDescent="0.2">
      <c r="A41" s="55" t="s">
        <v>141</v>
      </c>
      <c r="B41" s="65">
        <f t="shared" ref="B41:I41" si="14">B40*B39</f>
        <v>2.3000000000000003</v>
      </c>
      <c r="C41" s="65">
        <f t="shared" si="14"/>
        <v>1.7000000000000002</v>
      </c>
      <c r="D41" s="65">
        <f t="shared" si="14"/>
        <v>1.4000000000000001</v>
      </c>
      <c r="E41" s="65">
        <f t="shared" si="14"/>
        <v>15.5</v>
      </c>
      <c r="F41" s="65">
        <f t="shared" si="14"/>
        <v>23</v>
      </c>
      <c r="G41" s="65">
        <f t="shared" si="14"/>
        <v>20</v>
      </c>
      <c r="H41" s="65">
        <f t="shared" si="14"/>
        <v>10</v>
      </c>
      <c r="I41" s="65">
        <f t="shared" si="14"/>
        <v>20</v>
      </c>
      <c r="J41" s="54">
        <f>SUM(B41:I41)</f>
        <v>93.9</v>
      </c>
      <c r="K41" s="56"/>
      <c r="L41" s="55" t="s">
        <v>141</v>
      </c>
      <c r="M41" s="65">
        <f t="shared" ref="M41:V41" si="15">M40*M39</f>
        <v>1.85</v>
      </c>
      <c r="N41" s="65">
        <f t="shared" si="15"/>
        <v>0.70000000000000007</v>
      </c>
      <c r="O41" s="65">
        <f t="shared" si="15"/>
        <v>3.4000000000000004</v>
      </c>
      <c r="P41" s="65">
        <f t="shared" si="15"/>
        <v>15.5</v>
      </c>
      <c r="Q41" s="65">
        <f t="shared" si="15"/>
        <v>32</v>
      </c>
      <c r="R41" s="65">
        <f t="shared" si="15"/>
        <v>46</v>
      </c>
      <c r="S41" s="65">
        <f t="shared" si="15"/>
        <v>15</v>
      </c>
      <c r="T41" s="65">
        <f t="shared" si="15"/>
        <v>30</v>
      </c>
      <c r="U41" s="65">
        <f t="shared" si="15"/>
        <v>140</v>
      </c>
      <c r="V41" s="65">
        <f t="shared" si="15"/>
        <v>0</v>
      </c>
      <c r="W41" s="54">
        <f>SUM(M41:V41)</f>
        <v>284.45</v>
      </c>
      <c r="X41" s="55">
        <f>W41-J41</f>
        <v>190.54999999999998</v>
      </c>
      <c r="Y41" s="63">
        <v>112.7</v>
      </c>
      <c r="Z41" s="63">
        <f>9.4</f>
        <v>9.4</v>
      </c>
      <c r="AA41" s="66">
        <f>X41+Z41</f>
        <v>199.95</v>
      </c>
      <c r="AB41" s="55">
        <f>SUM(Y41+Z41)*0.3</f>
        <v>36.630000000000003</v>
      </c>
      <c r="AC41" s="55">
        <f>Y41-AB41</f>
        <v>76.069999999999993</v>
      </c>
      <c r="AD41" s="55">
        <f>X41-Y41</f>
        <v>77.84999999999998</v>
      </c>
      <c r="AE41" s="55">
        <f>AD41*0.2</f>
        <v>15.569999999999997</v>
      </c>
      <c r="AF41" s="55">
        <f>AD41-AE41</f>
        <v>62.279999999999987</v>
      </c>
      <c r="AG41" s="61"/>
    </row>
    <row r="42" spans="1:33" ht="12.75" x14ac:dyDescent="0.2">
      <c r="K42" s="56"/>
      <c r="Y42" s="51"/>
      <c r="Z42" s="51"/>
      <c r="AA42" s="67"/>
      <c r="AC42" s="38">
        <v>-26</v>
      </c>
    </row>
    <row r="43" spans="1:33" ht="51" x14ac:dyDescent="0.2">
      <c r="A43" s="52" t="s">
        <v>135</v>
      </c>
      <c r="B43" s="53">
        <v>45574</v>
      </c>
      <c r="C43" s="54"/>
      <c r="D43" s="54"/>
      <c r="E43" s="54"/>
      <c r="F43" s="54"/>
      <c r="G43" s="54"/>
      <c r="H43" s="54"/>
      <c r="I43" s="54"/>
      <c r="J43" s="55" t="s">
        <v>141</v>
      </c>
      <c r="K43" s="56"/>
      <c r="L43" s="52" t="s">
        <v>136</v>
      </c>
      <c r="M43" s="53">
        <v>45574</v>
      </c>
      <c r="N43" s="54"/>
      <c r="O43" s="54"/>
      <c r="P43" s="54"/>
      <c r="Q43" s="54"/>
      <c r="R43" s="54"/>
      <c r="S43" s="54"/>
      <c r="T43" s="54"/>
      <c r="U43" s="54"/>
      <c r="V43" s="54"/>
      <c r="W43" s="57" t="s">
        <v>137</v>
      </c>
      <c r="X43" s="57" t="s">
        <v>192</v>
      </c>
      <c r="Y43" s="58" t="s">
        <v>142</v>
      </c>
      <c r="Z43" s="59" t="s">
        <v>193</v>
      </c>
      <c r="AA43" s="60" t="s">
        <v>194</v>
      </c>
      <c r="AB43" s="57" t="s">
        <v>165</v>
      </c>
      <c r="AC43" s="55" t="s">
        <v>195</v>
      </c>
      <c r="AD43" s="55" t="s">
        <v>196</v>
      </c>
      <c r="AE43" s="57" t="s">
        <v>197</v>
      </c>
      <c r="AF43" s="55" t="s">
        <v>195</v>
      </c>
      <c r="AG43" s="61"/>
    </row>
    <row r="44" spans="1:33" ht="12.75" x14ac:dyDescent="0.2">
      <c r="A44" s="55" t="s">
        <v>199</v>
      </c>
      <c r="B44" s="62">
        <v>0.05</v>
      </c>
      <c r="C44" s="62">
        <v>0.1</v>
      </c>
      <c r="D44" s="62">
        <v>0.2</v>
      </c>
      <c r="E44" s="62">
        <v>0.5</v>
      </c>
      <c r="F44" s="62">
        <v>1</v>
      </c>
      <c r="G44" s="62">
        <v>2</v>
      </c>
      <c r="H44" s="62">
        <v>5</v>
      </c>
      <c r="I44" s="62">
        <v>10</v>
      </c>
      <c r="K44" s="56"/>
      <c r="L44" s="55" t="s">
        <v>199</v>
      </c>
      <c r="M44" s="62">
        <v>0.05</v>
      </c>
      <c r="N44" s="62">
        <v>0.1</v>
      </c>
      <c r="O44" s="62">
        <v>0.2</v>
      </c>
      <c r="P44" s="62">
        <v>0.5</v>
      </c>
      <c r="Q44" s="62">
        <v>1</v>
      </c>
      <c r="R44" s="62">
        <v>2</v>
      </c>
      <c r="S44" s="62">
        <v>5</v>
      </c>
      <c r="T44" s="62">
        <v>10</v>
      </c>
      <c r="U44" s="62">
        <v>20</v>
      </c>
      <c r="V44" s="62">
        <v>50</v>
      </c>
      <c r="W44" s="54"/>
      <c r="X44" s="54"/>
      <c r="Y44" s="63"/>
      <c r="Z44" s="63"/>
      <c r="AA44" s="64"/>
      <c r="AB44" s="54"/>
      <c r="AC44" s="54"/>
      <c r="AD44" s="54"/>
      <c r="AE44" s="54"/>
      <c r="AF44" s="54"/>
    </row>
    <row r="45" spans="1:33" ht="12.75" x14ac:dyDescent="0.2">
      <c r="A45" s="55" t="s">
        <v>200</v>
      </c>
      <c r="B45" s="65">
        <v>37</v>
      </c>
      <c r="C45" s="65">
        <v>7</v>
      </c>
      <c r="D45" s="65">
        <v>17</v>
      </c>
      <c r="E45" s="65">
        <v>31</v>
      </c>
      <c r="F45" s="65">
        <v>20</v>
      </c>
      <c r="G45" s="65">
        <v>10</v>
      </c>
      <c r="H45" s="65">
        <v>3</v>
      </c>
      <c r="I45" s="65">
        <v>2</v>
      </c>
      <c r="J45" s="54"/>
      <c r="K45" s="56"/>
      <c r="L45" s="55" t="s">
        <v>200</v>
      </c>
      <c r="M45" s="65">
        <v>31</v>
      </c>
      <c r="N45" s="65">
        <v>5</v>
      </c>
      <c r="O45" s="65">
        <v>4</v>
      </c>
      <c r="P45" s="65">
        <v>30</v>
      </c>
      <c r="Q45" s="65">
        <v>7</v>
      </c>
      <c r="R45" s="65">
        <v>24</v>
      </c>
      <c r="S45" s="65">
        <v>9</v>
      </c>
      <c r="T45" s="65">
        <v>4</v>
      </c>
      <c r="U45" s="65">
        <v>6</v>
      </c>
      <c r="V45" s="65">
        <v>2</v>
      </c>
      <c r="W45" s="54"/>
      <c r="X45" s="54"/>
      <c r="Y45" s="63"/>
      <c r="Z45" s="63"/>
      <c r="AA45" s="64"/>
      <c r="AB45" s="54"/>
      <c r="AC45" s="54"/>
      <c r="AD45" s="54"/>
      <c r="AE45" s="54"/>
      <c r="AF45" s="54"/>
    </row>
    <row r="46" spans="1:33" ht="12.75" x14ac:dyDescent="0.2">
      <c r="A46" s="55" t="s">
        <v>141</v>
      </c>
      <c r="B46" s="65">
        <f t="shared" ref="B46:I46" si="16">B45*B44</f>
        <v>1.85</v>
      </c>
      <c r="C46" s="65">
        <f t="shared" si="16"/>
        <v>0.70000000000000007</v>
      </c>
      <c r="D46" s="65">
        <f t="shared" si="16"/>
        <v>3.4000000000000004</v>
      </c>
      <c r="E46" s="65">
        <f t="shared" si="16"/>
        <v>15.5</v>
      </c>
      <c r="F46" s="65">
        <f t="shared" si="16"/>
        <v>20</v>
      </c>
      <c r="G46" s="65">
        <f t="shared" si="16"/>
        <v>20</v>
      </c>
      <c r="H46" s="65">
        <f t="shared" si="16"/>
        <v>15</v>
      </c>
      <c r="I46" s="65">
        <f t="shared" si="16"/>
        <v>20</v>
      </c>
      <c r="J46" s="54">
        <f>SUM(B46:I46)</f>
        <v>96.45</v>
      </c>
      <c r="K46" s="56"/>
      <c r="L46" s="55" t="s">
        <v>141</v>
      </c>
      <c r="M46" s="65">
        <f t="shared" ref="M46:V46" si="17">M45*M44</f>
        <v>1.55</v>
      </c>
      <c r="N46" s="65">
        <f t="shared" si="17"/>
        <v>0.5</v>
      </c>
      <c r="O46" s="65">
        <f t="shared" si="17"/>
        <v>0.8</v>
      </c>
      <c r="P46" s="65">
        <f t="shared" si="17"/>
        <v>15</v>
      </c>
      <c r="Q46" s="65">
        <f t="shared" si="17"/>
        <v>7</v>
      </c>
      <c r="R46" s="65">
        <f t="shared" si="17"/>
        <v>48</v>
      </c>
      <c r="S46" s="65">
        <f t="shared" si="17"/>
        <v>45</v>
      </c>
      <c r="T46" s="65">
        <f t="shared" si="17"/>
        <v>40</v>
      </c>
      <c r="U46" s="65">
        <f t="shared" si="17"/>
        <v>120</v>
      </c>
      <c r="V46" s="65">
        <f t="shared" si="17"/>
        <v>100</v>
      </c>
      <c r="W46" s="54">
        <f>SUM(M46:V46)</f>
        <v>377.85</v>
      </c>
      <c r="X46" s="55">
        <f>W46-J46</f>
        <v>281.40000000000003</v>
      </c>
      <c r="Y46" s="63">
        <v>145.1</v>
      </c>
      <c r="Z46" s="63">
        <v>45.9</v>
      </c>
      <c r="AA46" s="66">
        <f>X46+Z46</f>
        <v>327.3</v>
      </c>
      <c r="AB46" s="55">
        <f>SUM(Y46+Z46)*0.3</f>
        <v>57.3</v>
      </c>
      <c r="AC46" s="55">
        <f>Y46-AB46</f>
        <v>87.8</v>
      </c>
      <c r="AD46" s="55">
        <f>X46-Y46</f>
        <v>136.30000000000004</v>
      </c>
      <c r="AE46" s="55"/>
      <c r="AF46" s="55">
        <f>AD46-AE46</f>
        <v>136.30000000000004</v>
      </c>
      <c r="AG46" s="61"/>
    </row>
    <row r="47" spans="1:33" ht="12.75" x14ac:dyDescent="0.2">
      <c r="K47" s="56"/>
      <c r="Y47" s="51"/>
      <c r="Z47" s="51"/>
      <c r="AA47" s="67"/>
      <c r="AC47" s="38">
        <v>-20</v>
      </c>
    </row>
    <row r="48" spans="1:33" ht="51" x14ac:dyDescent="0.2">
      <c r="A48" s="52" t="s">
        <v>135</v>
      </c>
      <c r="B48" s="53">
        <v>45575</v>
      </c>
      <c r="C48" s="54"/>
      <c r="D48" s="54"/>
      <c r="E48" s="54"/>
      <c r="F48" s="54"/>
      <c r="G48" s="54"/>
      <c r="H48" s="54"/>
      <c r="I48" s="54"/>
      <c r="J48" s="55" t="s">
        <v>141</v>
      </c>
      <c r="K48" s="56"/>
      <c r="L48" s="52" t="s">
        <v>136</v>
      </c>
      <c r="M48" s="53">
        <v>45575</v>
      </c>
      <c r="N48" s="54"/>
      <c r="O48" s="54"/>
      <c r="P48" s="54"/>
      <c r="Q48" s="54"/>
      <c r="R48" s="54"/>
      <c r="S48" s="54"/>
      <c r="T48" s="54"/>
      <c r="U48" s="54"/>
      <c r="V48" s="54"/>
      <c r="W48" s="57" t="s">
        <v>137</v>
      </c>
      <c r="X48" s="57" t="s">
        <v>192</v>
      </c>
      <c r="Y48" s="58" t="s">
        <v>142</v>
      </c>
      <c r="Z48" s="59" t="s">
        <v>193</v>
      </c>
      <c r="AA48" s="60" t="s">
        <v>194</v>
      </c>
      <c r="AB48" s="57" t="s">
        <v>165</v>
      </c>
      <c r="AC48" s="55" t="s">
        <v>195</v>
      </c>
      <c r="AD48" s="55" t="s">
        <v>196</v>
      </c>
      <c r="AE48" s="57" t="s">
        <v>197</v>
      </c>
      <c r="AF48" s="55" t="s">
        <v>195</v>
      </c>
      <c r="AG48" s="61"/>
    </row>
    <row r="49" spans="1:33" ht="12.75" x14ac:dyDescent="0.2">
      <c r="A49" s="55" t="s">
        <v>199</v>
      </c>
      <c r="B49" s="62">
        <v>0.05</v>
      </c>
      <c r="C49" s="62">
        <v>0.1</v>
      </c>
      <c r="D49" s="62">
        <v>0.2</v>
      </c>
      <c r="E49" s="62">
        <v>0.5</v>
      </c>
      <c r="F49" s="62">
        <v>1</v>
      </c>
      <c r="G49" s="62">
        <v>2</v>
      </c>
      <c r="H49" s="62">
        <v>5</v>
      </c>
      <c r="I49" s="62">
        <v>10</v>
      </c>
      <c r="K49" s="56"/>
      <c r="L49" s="55" t="s">
        <v>199</v>
      </c>
      <c r="M49" s="62">
        <v>0.05</v>
      </c>
      <c r="N49" s="62">
        <v>0.1</v>
      </c>
      <c r="O49" s="62">
        <v>0.2</v>
      </c>
      <c r="P49" s="62">
        <v>0.5</v>
      </c>
      <c r="Q49" s="62">
        <v>1</v>
      </c>
      <c r="R49" s="62">
        <v>2</v>
      </c>
      <c r="S49" s="62">
        <v>5</v>
      </c>
      <c r="T49" s="62">
        <v>10</v>
      </c>
      <c r="U49" s="62">
        <v>20</v>
      </c>
      <c r="V49" s="62">
        <v>50</v>
      </c>
      <c r="W49" s="54"/>
      <c r="X49" s="54"/>
      <c r="Y49" s="63"/>
      <c r="Z49" s="63"/>
      <c r="AA49" s="64"/>
      <c r="AB49" s="54"/>
      <c r="AC49" s="54"/>
      <c r="AD49" s="54"/>
      <c r="AE49" s="54"/>
      <c r="AF49" s="54"/>
    </row>
    <row r="50" spans="1:33" ht="12.75" x14ac:dyDescent="0.2">
      <c r="A50" s="55" t="s">
        <v>200</v>
      </c>
      <c r="B50" s="65">
        <v>31</v>
      </c>
      <c r="C50" s="65">
        <v>5</v>
      </c>
      <c r="D50" s="65">
        <v>4</v>
      </c>
      <c r="E50" s="65">
        <v>30</v>
      </c>
      <c r="F50" s="65">
        <v>7</v>
      </c>
      <c r="G50" s="65">
        <v>20</v>
      </c>
      <c r="H50" s="65">
        <v>2</v>
      </c>
      <c r="I50" s="65">
        <v>2</v>
      </c>
      <c r="J50" s="54"/>
      <c r="K50" s="56"/>
      <c r="L50" s="55" t="s">
        <v>200</v>
      </c>
      <c r="M50" s="65">
        <v>29</v>
      </c>
      <c r="N50" s="65">
        <v>15</v>
      </c>
      <c r="O50" s="65">
        <v>4</v>
      </c>
      <c r="P50" s="65">
        <v>27</v>
      </c>
      <c r="Q50" s="65">
        <v>21</v>
      </c>
      <c r="R50" s="65">
        <v>18</v>
      </c>
      <c r="S50" s="65">
        <v>11</v>
      </c>
      <c r="T50" s="65">
        <v>4</v>
      </c>
      <c r="U50" s="65">
        <v>1</v>
      </c>
      <c r="V50" s="65">
        <v>3</v>
      </c>
      <c r="W50" s="54"/>
      <c r="X50" s="54"/>
      <c r="Y50" s="63"/>
      <c r="Z50" s="63"/>
      <c r="AA50" s="64"/>
      <c r="AB50" s="54"/>
      <c r="AC50" s="54"/>
      <c r="AD50" s="54"/>
      <c r="AE50" s="54"/>
      <c r="AF50" s="54"/>
    </row>
    <row r="51" spans="1:33" ht="12.75" x14ac:dyDescent="0.2">
      <c r="A51" s="55" t="s">
        <v>141</v>
      </c>
      <c r="B51" s="65">
        <f t="shared" ref="B51:I51" si="18">B50*B49</f>
        <v>1.55</v>
      </c>
      <c r="C51" s="65">
        <f t="shared" si="18"/>
        <v>0.5</v>
      </c>
      <c r="D51" s="65">
        <f t="shared" si="18"/>
        <v>0.8</v>
      </c>
      <c r="E51" s="65">
        <f t="shared" si="18"/>
        <v>15</v>
      </c>
      <c r="F51" s="65">
        <f t="shared" si="18"/>
        <v>7</v>
      </c>
      <c r="G51" s="65">
        <f t="shared" si="18"/>
        <v>40</v>
      </c>
      <c r="H51" s="65">
        <f t="shared" si="18"/>
        <v>10</v>
      </c>
      <c r="I51" s="65">
        <f t="shared" si="18"/>
        <v>20</v>
      </c>
      <c r="J51" s="54">
        <f>SUM(B51:I51)</f>
        <v>94.85</v>
      </c>
      <c r="K51" s="56"/>
      <c r="L51" s="55" t="s">
        <v>141</v>
      </c>
      <c r="M51" s="65">
        <f t="shared" ref="M51:V51" si="19">M50*M49</f>
        <v>1.4500000000000002</v>
      </c>
      <c r="N51" s="65">
        <f t="shared" si="19"/>
        <v>1.5</v>
      </c>
      <c r="O51" s="65">
        <f t="shared" si="19"/>
        <v>0.8</v>
      </c>
      <c r="P51" s="65">
        <f t="shared" si="19"/>
        <v>13.5</v>
      </c>
      <c r="Q51" s="65">
        <f t="shared" si="19"/>
        <v>21</v>
      </c>
      <c r="R51" s="65">
        <f t="shared" si="19"/>
        <v>36</v>
      </c>
      <c r="S51" s="65">
        <f t="shared" si="19"/>
        <v>55</v>
      </c>
      <c r="T51" s="65">
        <f t="shared" si="19"/>
        <v>40</v>
      </c>
      <c r="U51" s="65">
        <f t="shared" si="19"/>
        <v>20</v>
      </c>
      <c r="V51" s="65">
        <f t="shared" si="19"/>
        <v>150</v>
      </c>
      <c r="W51" s="54">
        <f>SUM(M51:V51)</f>
        <v>339.25</v>
      </c>
      <c r="X51" s="55">
        <f>W51-J51</f>
        <v>244.4</v>
      </c>
      <c r="Y51" s="63">
        <v>136.5</v>
      </c>
      <c r="Z51" s="63">
        <v>67.900000000000006</v>
      </c>
      <c r="AA51" s="66">
        <f>X51+Z51</f>
        <v>312.3</v>
      </c>
      <c r="AB51" s="55">
        <f>SUM(Y51+Z51)*0.3</f>
        <v>61.32</v>
      </c>
      <c r="AC51" s="55">
        <f>Y51-AB51</f>
        <v>75.180000000000007</v>
      </c>
      <c r="AD51" s="55">
        <f>X51-Y51</f>
        <v>107.9</v>
      </c>
      <c r="AE51" s="55">
        <f>AD51*0.2</f>
        <v>21.580000000000002</v>
      </c>
      <c r="AF51" s="55">
        <f>AD51-AE51</f>
        <v>86.320000000000007</v>
      </c>
      <c r="AG51" s="61"/>
    </row>
    <row r="52" spans="1:33" ht="12.75" x14ac:dyDescent="0.2">
      <c r="K52" s="56"/>
      <c r="Y52" s="51"/>
      <c r="Z52" s="51"/>
      <c r="AA52" s="67"/>
      <c r="AC52" s="38">
        <v>-20</v>
      </c>
    </row>
    <row r="53" spans="1:33" ht="51" x14ac:dyDescent="0.2">
      <c r="A53" s="52" t="s">
        <v>135</v>
      </c>
      <c r="B53" s="53">
        <v>45576</v>
      </c>
      <c r="C53" s="54"/>
      <c r="D53" s="54"/>
      <c r="E53" s="54"/>
      <c r="F53" s="54"/>
      <c r="G53" s="54"/>
      <c r="H53" s="54"/>
      <c r="I53" s="54"/>
      <c r="J53" s="55" t="s">
        <v>141</v>
      </c>
      <c r="K53" s="56"/>
      <c r="L53" s="52" t="s">
        <v>136</v>
      </c>
      <c r="M53" s="53">
        <v>45576</v>
      </c>
      <c r="N53" s="54"/>
      <c r="O53" s="54"/>
      <c r="P53" s="54"/>
      <c r="Q53" s="54"/>
      <c r="R53" s="54"/>
      <c r="S53" s="54"/>
      <c r="T53" s="54"/>
      <c r="U53" s="54"/>
      <c r="V53" s="54"/>
      <c r="W53" s="57" t="s">
        <v>137</v>
      </c>
      <c r="X53" s="57" t="s">
        <v>192</v>
      </c>
      <c r="Y53" s="58" t="s">
        <v>142</v>
      </c>
      <c r="Z53" s="59" t="s">
        <v>193</v>
      </c>
      <c r="AA53" s="60" t="s">
        <v>194</v>
      </c>
      <c r="AB53" s="57" t="s">
        <v>165</v>
      </c>
      <c r="AC53" s="55" t="s">
        <v>195</v>
      </c>
      <c r="AD53" s="55" t="s">
        <v>196</v>
      </c>
      <c r="AE53" s="57" t="s">
        <v>197</v>
      </c>
      <c r="AF53" s="55" t="s">
        <v>195</v>
      </c>
      <c r="AG53" s="61"/>
    </row>
    <row r="54" spans="1:33" ht="12.75" x14ac:dyDescent="0.2">
      <c r="A54" s="55" t="s">
        <v>199</v>
      </c>
      <c r="B54" s="62">
        <v>0.05</v>
      </c>
      <c r="C54" s="62">
        <v>0.1</v>
      </c>
      <c r="D54" s="62">
        <v>0.2</v>
      </c>
      <c r="E54" s="62">
        <v>0.5</v>
      </c>
      <c r="F54" s="62">
        <v>1</v>
      </c>
      <c r="G54" s="62">
        <v>2</v>
      </c>
      <c r="H54" s="62">
        <v>5</v>
      </c>
      <c r="I54" s="62">
        <v>10</v>
      </c>
      <c r="K54" s="56"/>
      <c r="L54" s="55" t="s">
        <v>199</v>
      </c>
      <c r="M54" s="62">
        <v>0.05</v>
      </c>
      <c r="N54" s="62">
        <v>0.1</v>
      </c>
      <c r="O54" s="62">
        <v>0.2</v>
      </c>
      <c r="P54" s="62">
        <v>0.5</v>
      </c>
      <c r="Q54" s="62">
        <v>1</v>
      </c>
      <c r="R54" s="62">
        <v>2</v>
      </c>
      <c r="S54" s="62">
        <v>5</v>
      </c>
      <c r="T54" s="62">
        <v>10</v>
      </c>
      <c r="U54" s="62">
        <v>20</v>
      </c>
      <c r="V54" s="62">
        <v>50</v>
      </c>
      <c r="W54" s="54"/>
      <c r="X54" s="54"/>
      <c r="Y54" s="63"/>
      <c r="Z54" s="63"/>
      <c r="AA54" s="64"/>
      <c r="AB54" s="54"/>
      <c r="AC54" s="54"/>
      <c r="AD54" s="54"/>
      <c r="AE54" s="54"/>
      <c r="AF54" s="54"/>
    </row>
    <row r="55" spans="1:33" ht="12.75" x14ac:dyDescent="0.2">
      <c r="A55" s="55" t="s">
        <v>200</v>
      </c>
      <c r="B55" s="65">
        <v>29</v>
      </c>
      <c r="C55" s="65">
        <v>15</v>
      </c>
      <c r="D55" s="65">
        <v>4</v>
      </c>
      <c r="E55" s="65">
        <v>27</v>
      </c>
      <c r="F55" s="65">
        <v>10</v>
      </c>
      <c r="G55" s="65">
        <v>15</v>
      </c>
      <c r="H55" s="65">
        <v>3</v>
      </c>
      <c r="I55" s="65">
        <v>2</v>
      </c>
      <c r="J55" s="54"/>
      <c r="K55" s="56"/>
      <c r="L55" s="55" t="s">
        <v>200</v>
      </c>
      <c r="M55" s="65">
        <v>31</v>
      </c>
      <c r="N55" s="65">
        <v>47</v>
      </c>
      <c r="O55" s="65">
        <v>8</v>
      </c>
      <c r="P55" s="65">
        <v>43</v>
      </c>
      <c r="Q55" s="65">
        <v>40</v>
      </c>
      <c r="R55" s="65">
        <v>29</v>
      </c>
      <c r="S55" s="65">
        <v>5</v>
      </c>
      <c r="T55" s="65"/>
      <c r="U55" s="65">
        <v>12</v>
      </c>
      <c r="V55" s="65"/>
      <c r="W55" s="54"/>
      <c r="X55" s="54"/>
      <c r="Y55" s="63"/>
      <c r="Z55" s="63"/>
      <c r="AA55" s="64"/>
      <c r="AB55" s="54"/>
      <c r="AC55" s="54"/>
      <c r="AD55" s="54"/>
      <c r="AE55" s="54"/>
      <c r="AF55" s="54"/>
    </row>
    <row r="56" spans="1:33" ht="12.75" x14ac:dyDescent="0.2">
      <c r="A56" s="55" t="s">
        <v>141</v>
      </c>
      <c r="B56" s="65">
        <f t="shared" ref="B56:I56" si="20">B55*B54</f>
        <v>1.4500000000000002</v>
      </c>
      <c r="C56" s="65">
        <f t="shared" si="20"/>
        <v>1.5</v>
      </c>
      <c r="D56" s="65">
        <f t="shared" si="20"/>
        <v>0.8</v>
      </c>
      <c r="E56" s="65">
        <f t="shared" si="20"/>
        <v>13.5</v>
      </c>
      <c r="F56" s="65">
        <f t="shared" si="20"/>
        <v>10</v>
      </c>
      <c r="G56" s="65">
        <f t="shared" si="20"/>
        <v>30</v>
      </c>
      <c r="H56" s="65">
        <f t="shared" si="20"/>
        <v>15</v>
      </c>
      <c r="I56" s="65">
        <f t="shared" si="20"/>
        <v>20</v>
      </c>
      <c r="J56" s="54">
        <f>SUM(B56:I56)</f>
        <v>92.25</v>
      </c>
      <c r="K56" s="56"/>
      <c r="L56" s="55" t="s">
        <v>141</v>
      </c>
      <c r="M56" s="65">
        <f t="shared" ref="M56:V56" si="21">M55*M54</f>
        <v>1.55</v>
      </c>
      <c r="N56" s="65">
        <f t="shared" si="21"/>
        <v>4.7</v>
      </c>
      <c r="O56" s="65">
        <f t="shared" si="21"/>
        <v>1.6</v>
      </c>
      <c r="P56" s="65">
        <f t="shared" si="21"/>
        <v>21.5</v>
      </c>
      <c r="Q56" s="65">
        <f t="shared" si="21"/>
        <v>40</v>
      </c>
      <c r="R56" s="65">
        <f t="shared" si="21"/>
        <v>58</v>
      </c>
      <c r="S56" s="65">
        <f t="shared" si="21"/>
        <v>25</v>
      </c>
      <c r="T56" s="65">
        <f t="shared" si="21"/>
        <v>0</v>
      </c>
      <c r="U56" s="65">
        <f t="shared" si="21"/>
        <v>240</v>
      </c>
      <c r="V56" s="65">
        <f t="shared" si="21"/>
        <v>0</v>
      </c>
      <c r="W56" s="54">
        <f>SUM(M56:V56)</f>
        <v>392.35</v>
      </c>
      <c r="X56" s="55">
        <f>W56-J56</f>
        <v>300.10000000000002</v>
      </c>
      <c r="Y56" s="63">
        <v>181.9</v>
      </c>
      <c r="Z56" s="63">
        <v>77.400000000000006</v>
      </c>
      <c r="AA56" s="66">
        <f>X56+Z56</f>
        <v>377.5</v>
      </c>
      <c r="AB56" s="55">
        <f>SUM(Y56+Z56)*0.2</f>
        <v>51.860000000000007</v>
      </c>
      <c r="AC56" s="55">
        <f>Y56-AB56</f>
        <v>130.04</v>
      </c>
      <c r="AD56" s="55">
        <f>X56-Y56</f>
        <v>118.20000000000002</v>
      </c>
      <c r="AE56" s="55">
        <v>0</v>
      </c>
      <c r="AF56" s="55">
        <f>AD56-AE56</f>
        <v>118.20000000000002</v>
      </c>
      <c r="AG56" s="61"/>
    </row>
    <row r="57" spans="1:33" ht="12.75" x14ac:dyDescent="0.2">
      <c r="K57" s="56"/>
      <c r="Y57" s="51"/>
      <c r="Z57" s="51"/>
      <c r="AA57" s="67"/>
      <c r="AC57" s="38">
        <v>-30</v>
      </c>
    </row>
    <row r="58" spans="1:33" ht="12.75" x14ac:dyDescent="0.2">
      <c r="K58" s="56"/>
      <c r="Y58" s="51"/>
      <c r="Z58" s="51"/>
      <c r="AA58" s="67"/>
    </row>
    <row r="59" spans="1:33" ht="51" x14ac:dyDescent="0.2">
      <c r="A59" s="52" t="s">
        <v>135</v>
      </c>
      <c r="B59" s="53">
        <v>45577</v>
      </c>
      <c r="C59" s="54"/>
      <c r="D59" s="54"/>
      <c r="E59" s="54"/>
      <c r="F59" s="54"/>
      <c r="G59" s="54"/>
      <c r="H59" s="54"/>
      <c r="I59" s="54"/>
      <c r="J59" s="55" t="s">
        <v>141</v>
      </c>
      <c r="K59" s="56"/>
      <c r="L59" s="52" t="s">
        <v>136</v>
      </c>
      <c r="M59" s="53">
        <v>45577</v>
      </c>
      <c r="N59" s="54"/>
      <c r="O59" s="54"/>
      <c r="P59" s="54"/>
      <c r="Q59" s="54"/>
      <c r="R59" s="54"/>
      <c r="S59" s="54"/>
      <c r="T59" s="54"/>
      <c r="U59" s="54"/>
      <c r="V59" s="54"/>
      <c r="W59" s="57" t="s">
        <v>137</v>
      </c>
      <c r="X59" s="57" t="s">
        <v>192</v>
      </c>
      <c r="Y59" s="58" t="s">
        <v>142</v>
      </c>
      <c r="Z59" s="59" t="s">
        <v>193</v>
      </c>
      <c r="AA59" s="60" t="s">
        <v>194</v>
      </c>
      <c r="AB59" s="57" t="s">
        <v>165</v>
      </c>
      <c r="AC59" s="55" t="s">
        <v>195</v>
      </c>
      <c r="AD59" s="55" t="s">
        <v>196</v>
      </c>
      <c r="AE59" s="57" t="s">
        <v>197</v>
      </c>
      <c r="AF59" s="55" t="s">
        <v>195</v>
      </c>
      <c r="AG59" s="61"/>
    </row>
    <row r="60" spans="1:33" ht="12.75" x14ac:dyDescent="0.2">
      <c r="A60" s="55" t="s">
        <v>199</v>
      </c>
      <c r="B60" s="62">
        <v>0.05</v>
      </c>
      <c r="C60" s="62">
        <v>0.1</v>
      </c>
      <c r="D60" s="62">
        <v>0.2</v>
      </c>
      <c r="E60" s="62">
        <v>0.5</v>
      </c>
      <c r="F60" s="62">
        <v>1</v>
      </c>
      <c r="G60" s="62">
        <v>2</v>
      </c>
      <c r="H60" s="62">
        <v>5</v>
      </c>
      <c r="I60" s="62">
        <v>10</v>
      </c>
      <c r="K60" s="56"/>
      <c r="L60" s="55" t="s">
        <v>199</v>
      </c>
      <c r="M60" s="62">
        <v>0.05</v>
      </c>
      <c r="N60" s="62">
        <v>0.1</v>
      </c>
      <c r="O60" s="62">
        <v>0.2</v>
      </c>
      <c r="P60" s="62">
        <v>0.5</v>
      </c>
      <c r="Q60" s="62">
        <v>1</v>
      </c>
      <c r="R60" s="62">
        <v>2</v>
      </c>
      <c r="S60" s="62">
        <v>5</v>
      </c>
      <c r="T60" s="62">
        <v>10</v>
      </c>
      <c r="U60" s="62">
        <v>20</v>
      </c>
      <c r="V60" s="62">
        <v>50</v>
      </c>
      <c r="W60" s="54"/>
      <c r="X60" s="54"/>
      <c r="Y60" s="63"/>
      <c r="Z60" s="63"/>
      <c r="AA60" s="64"/>
      <c r="AB60" s="54"/>
      <c r="AC60" s="54"/>
      <c r="AD60" s="54"/>
      <c r="AE60" s="54"/>
      <c r="AF60" s="54"/>
    </row>
    <row r="61" spans="1:33" ht="12.75" x14ac:dyDescent="0.2">
      <c r="A61" s="55" t="s">
        <v>200</v>
      </c>
      <c r="B61" s="65">
        <v>31</v>
      </c>
      <c r="C61" s="65">
        <v>47</v>
      </c>
      <c r="D61" s="65">
        <v>8</v>
      </c>
      <c r="E61" s="65">
        <v>43</v>
      </c>
      <c r="F61" s="65">
        <v>15</v>
      </c>
      <c r="G61" s="65">
        <v>10</v>
      </c>
      <c r="H61" s="65">
        <v>2</v>
      </c>
      <c r="I61" s="65">
        <v>2</v>
      </c>
      <c r="J61" s="54"/>
      <c r="K61" s="56"/>
      <c r="L61" s="55" t="s">
        <v>200</v>
      </c>
      <c r="M61" s="65">
        <v>38</v>
      </c>
      <c r="N61" s="65">
        <v>34</v>
      </c>
      <c r="O61" s="65">
        <v>10</v>
      </c>
      <c r="P61" s="65">
        <v>49</v>
      </c>
      <c r="Q61" s="65">
        <v>36</v>
      </c>
      <c r="R61" s="65">
        <v>14</v>
      </c>
      <c r="S61" s="65">
        <v>5</v>
      </c>
      <c r="T61" s="65">
        <v>10</v>
      </c>
      <c r="U61" s="65">
        <v>1</v>
      </c>
      <c r="V61" s="65">
        <v>3</v>
      </c>
      <c r="W61" s="54"/>
      <c r="X61" s="54"/>
      <c r="Y61" s="51"/>
      <c r="Z61" s="63"/>
      <c r="AA61" s="64"/>
      <c r="AB61" s="54"/>
      <c r="AC61" s="54"/>
      <c r="AD61" s="54"/>
      <c r="AE61" s="54"/>
      <c r="AF61" s="54"/>
    </row>
    <row r="62" spans="1:33" ht="12.75" x14ac:dyDescent="0.2">
      <c r="A62" s="55" t="s">
        <v>141</v>
      </c>
      <c r="B62" s="65">
        <f t="shared" ref="B62:I62" si="22">B61*B60</f>
        <v>1.55</v>
      </c>
      <c r="C62" s="65">
        <f t="shared" si="22"/>
        <v>4.7</v>
      </c>
      <c r="D62" s="65">
        <f t="shared" si="22"/>
        <v>1.6</v>
      </c>
      <c r="E62" s="65">
        <f t="shared" si="22"/>
        <v>21.5</v>
      </c>
      <c r="F62" s="65">
        <f t="shared" si="22"/>
        <v>15</v>
      </c>
      <c r="G62" s="65">
        <f t="shared" si="22"/>
        <v>20</v>
      </c>
      <c r="H62" s="65">
        <f t="shared" si="22"/>
        <v>10</v>
      </c>
      <c r="I62" s="65">
        <f t="shared" si="22"/>
        <v>20</v>
      </c>
      <c r="J62" s="54">
        <f>SUM(B62:I62)</f>
        <v>94.35</v>
      </c>
      <c r="K62" s="56"/>
      <c r="L62" s="55" t="s">
        <v>141</v>
      </c>
      <c r="M62" s="65">
        <f t="shared" ref="M62:V62" si="23">M61*M60</f>
        <v>1.9000000000000001</v>
      </c>
      <c r="N62" s="65">
        <f t="shared" si="23"/>
        <v>3.4000000000000004</v>
      </c>
      <c r="O62" s="65">
        <f t="shared" si="23"/>
        <v>2</v>
      </c>
      <c r="P62" s="65">
        <f t="shared" si="23"/>
        <v>24.5</v>
      </c>
      <c r="Q62" s="65">
        <f t="shared" si="23"/>
        <v>36</v>
      </c>
      <c r="R62" s="65">
        <f t="shared" si="23"/>
        <v>28</v>
      </c>
      <c r="S62" s="65">
        <f t="shared" si="23"/>
        <v>25</v>
      </c>
      <c r="T62" s="65">
        <f t="shared" si="23"/>
        <v>100</v>
      </c>
      <c r="U62" s="65">
        <f t="shared" si="23"/>
        <v>20</v>
      </c>
      <c r="V62" s="65">
        <f t="shared" si="23"/>
        <v>150</v>
      </c>
      <c r="W62" s="54">
        <f>SUM(M62:V62)</f>
        <v>390.8</v>
      </c>
      <c r="X62" s="55">
        <f>W62-J62</f>
        <v>296.45000000000005</v>
      </c>
      <c r="Y62" s="63">
        <v>170.8</v>
      </c>
      <c r="Z62" s="63">
        <v>83.2</v>
      </c>
      <c r="AA62" s="66">
        <f>X62+Z62</f>
        <v>379.65000000000003</v>
      </c>
      <c r="AB62" s="55">
        <v>70</v>
      </c>
      <c r="AC62" s="55">
        <f>Y62-AB62</f>
        <v>100.80000000000001</v>
      </c>
      <c r="AD62" s="55">
        <f>X62-Y62</f>
        <v>125.65000000000003</v>
      </c>
      <c r="AE62" s="55">
        <f>AD62*0.2</f>
        <v>25.13000000000001</v>
      </c>
      <c r="AF62" s="55">
        <f>AD62-AE62</f>
        <v>100.52000000000002</v>
      </c>
      <c r="AG62" s="61"/>
    </row>
    <row r="63" spans="1:33" ht="12.75" x14ac:dyDescent="0.2">
      <c r="K63" s="56"/>
      <c r="Y63" s="51"/>
      <c r="Z63" s="51"/>
      <c r="AA63" s="67"/>
      <c r="AC63" s="38">
        <v>-50</v>
      </c>
    </row>
    <row r="64" spans="1:33" ht="12.75" x14ac:dyDescent="0.2">
      <c r="K64" s="56"/>
      <c r="Y64" s="51"/>
      <c r="Z64" s="51"/>
      <c r="AA64" s="67"/>
    </row>
    <row r="65" spans="1:33" ht="51" x14ac:dyDescent="0.2">
      <c r="A65" s="52" t="s">
        <v>135</v>
      </c>
      <c r="B65" s="53">
        <v>45578</v>
      </c>
      <c r="C65" s="54"/>
      <c r="D65" s="54"/>
      <c r="E65" s="54"/>
      <c r="F65" s="54"/>
      <c r="G65" s="54"/>
      <c r="H65" s="54"/>
      <c r="I65" s="54"/>
      <c r="J65" s="55" t="s">
        <v>141</v>
      </c>
      <c r="K65" s="56"/>
      <c r="L65" s="52" t="s">
        <v>203</v>
      </c>
      <c r="M65" s="53">
        <v>45578</v>
      </c>
      <c r="N65" s="54"/>
      <c r="O65" s="54"/>
      <c r="P65" s="54"/>
      <c r="Q65" s="54"/>
      <c r="R65" s="54"/>
      <c r="S65" s="54"/>
      <c r="T65" s="54"/>
      <c r="U65" s="54"/>
      <c r="V65" s="54"/>
      <c r="W65" s="57" t="s">
        <v>137</v>
      </c>
      <c r="X65" s="57" t="s">
        <v>192</v>
      </c>
      <c r="Y65" s="58" t="s">
        <v>142</v>
      </c>
      <c r="Z65" s="59" t="s">
        <v>193</v>
      </c>
      <c r="AA65" s="60" t="s">
        <v>194</v>
      </c>
      <c r="AB65" s="57" t="s">
        <v>165</v>
      </c>
      <c r="AC65" s="55" t="s">
        <v>195</v>
      </c>
      <c r="AD65" s="55" t="s">
        <v>196</v>
      </c>
      <c r="AE65" s="57" t="s">
        <v>197</v>
      </c>
      <c r="AF65" s="55" t="s">
        <v>195</v>
      </c>
      <c r="AG65" s="61"/>
    </row>
    <row r="66" spans="1:33" ht="12.75" x14ac:dyDescent="0.2">
      <c r="A66" s="55" t="s">
        <v>199</v>
      </c>
      <c r="B66" s="62">
        <v>0.05</v>
      </c>
      <c r="C66" s="62">
        <v>0.1</v>
      </c>
      <c r="D66" s="62">
        <v>0.2</v>
      </c>
      <c r="E66" s="62">
        <v>0.5</v>
      </c>
      <c r="F66" s="62">
        <v>1</v>
      </c>
      <c r="G66" s="62">
        <v>2</v>
      </c>
      <c r="H66" s="62">
        <v>5</v>
      </c>
      <c r="I66" s="62">
        <v>10</v>
      </c>
      <c r="K66" s="56"/>
      <c r="L66" s="55" t="s">
        <v>199</v>
      </c>
      <c r="M66" s="62">
        <v>0.05</v>
      </c>
      <c r="N66" s="62">
        <v>0.1</v>
      </c>
      <c r="O66" s="62">
        <v>0.2</v>
      </c>
      <c r="P66" s="62">
        <v>0.5</v>
      </c>
      <c r="Q66" s="62">
        <v>1</v>
      </c>
      <c r="R66" s="62">
        <v>2</v>
      </c>
      <c r="S66" s="62">
        <v>5</v>
      </c>
      <c r="T66" s="62">
        <v>10</v>
      </c>
      <c r="U66" s="62">
        <v>20</v>
      </c>
      <c r="V66" s="62">
        <v>50</v>
      </c>
      <c r="W66" s="54"/>
      <c r="X66" s="54"/>
      <c r="Y66" s="63"/>
      <c r="Z66" s="63"/>
      <c r="AA66" s="64"/>
      <c r="AB66" s="54"/>
      <c r="AD66" s="54"/>
      <c r="AE66" s="54"/>
      <c r="AF66" s="54"/>
    </row>
    <row r="67" spans="1:33" ht="12.75" x14ac:dyDescent="0.2">
      <c r="A67" s="55" t="s">
        <v>200</v>
      </c>
      <c r="B67" s="65">
        <v>38</v>
      </c>
      <c r="C67" s="65">
        <v>34</v>
      </c>
      <c r="D67" s="65">
        <v>10</v>
      </c>
      <c r="E67" s="65">
        <v>30</v>
      </c>
      <c r="F67" s="65">
        <v>15</v>
      </c>
      <c r="G67" s="65">
        <v>5</v>
      </c>
      <c r="H67" s="65">
        <v>2</v>
      </c>
      <c r="I67" s="65">
        <v>2</v>
      </c>
      <c r="J67" s="54"/>
      <c r="K67" s="56"/>
      <c r="L67" s="55" t="s">
        <v>200</v>
      </c>
      <c r="M67" s="65">
        <v>42</v>
      </c>
      <c r="N67" s="65">
        <v>38</v>
      </c>
      <c r="O67" s="65">
        <v>17</v>
      </c>
      <c r="P67" s="65">
        <v>30</v>
      </c>
      <c r="Q67" s="65">
        <v>12</v>
      </c>
      <c r="R67" s="65">
        <v>10</v>
      </c>
      <c r="S67" s="65">
        <v>5</v>
      </c>
      <c r="T67" s="65"/>
      <c r="U67" s="65">
        <v>5</v>
      </c>
      <c r="V67" s="65">
        <v>1</v>
      </c>
      <c r="W67" s="54"/>
      <c r="X67" s="54"/>
      <c r="Y67" s="63"/>
      <c r="Z67" s="63"/>
      <c r="AA67" s="64"/>
      <c r="AB67" s="54"/>
      <c r="AC67" s="54"/>
      <c r="AD67" s="54"/>
      <c r="AE67" s="54"/>
      <c r="AF67" s="54"/>
    </row>
    <row r="68" spans="1:33" ht="12.75" x14ac:dyDescent="0.2">
      <c r="A68" s="55" t="s">
        <v>141</v>
      </c>
      <c r="B68" s="65">
        <f t="shared" ref="B68:I68" si="24">B67*B66</f>
        <v>1.9000000000000001</v>
      </c>
      <c r="C68" s="65">
        <f t="shared" si="24"/>
        <v>3.4000000000000004</v>
      </c>
      <c r="D68" s="65">
        <f t="shared" si="24"/>
        <v>2</v>
      </c>
      <c r="E68" s="65">
        <f t="shared" si="24"/>
        <v>15</v>
      </c>
      <c r="F68" s="65">
        <f t="shared" si="24"/>
        <v>15</v>
      </c>
      <c r="G68" s="65">
        <f t="shared" si="24"/>
        <v>10</v>
      </c>
      <c r="H68" s="65">
        <f t="shared" si="24"/>
        <v>10</v>
      </c>
      <c r="I68" s="65">
        <f t="shared" si="24"/>
        <v>20</v>
      </c>
      <c r="J68" s="54">
        <f>SUM(B68:I68)</f>
        <v>77.3</v>
      </c>
      <c r="K68" s="56"/>
      <c r="L68" s="55" t="s">
        <v>141</v>
      </c>
      <c r="M68" s="65">
        <f t="shared" ref="M68:V68" si="25">M67*M66</f>
        <v>2.1</v>
      </c>
      <c r="N68" s="65">
        <f t="shared" si="25"/>
        <v>3.8000000000000003</v>
      </c>
      <c r="O68" s="65">
        <f t="shared" si="25"/>
        <v>3.4000000000000004</v>
      </c>
      <c r="P68" s="65">
        <f t="shared" si="25"/>
        <v>15</v>
      </c>
      <c r="Q68" s="65">
        <f t="shared" si="25"/>
        <v>12</v>
      </c>
      <c r="R68" s="65">
        <f t="shared" si="25"/>
        <v>20</v>
      </c>
      <c r="S68" s="65">
        <f t="shared" si="25"/>
        <v>25</v>
      </c>
      <c r="T68" s="65">
        <f t="shared" si="25"/>
        <v>0</v>
      </c>
      <c r="U68" s="65">
        <f t="shared" si="25"/>
        <v>100</v>
      </c>
      <c r="V68" s="65">
        <f t="shared" si="25"/>
        <v>50</v>
      </c>
      <c r="W68" s="54">
        <f>SUM(M68:V68)</f>
        <v>231.3</v>
      </c>
      <c r="X68" s="55">
        <f>W68-J68</f>
        <v>154</v>
      </c>
      <c r="Y68" s="63">
        <v>98.9</v>
      </c>
      <c r="Z68" s="63">
        <v>5.6</v>
      </c>
      <c r="AA68" s="66">
        <f>X68+Z68</f>
        <v>159.6</v>
      </c>
      <c r="AB68" s="55">
        <f>SUM(Y68+Z68)*0.2</f>
        <v>20.900000000000002</v>
      </c>
      <c r="AC68" s="55">
        <f>Y68-AB68</f>
        <v>78</v>
      </c>
      <c r="AD68" s="55">
        <f>X68-Y68</f>
        <v>55.099999999999994</v>
      </c>
      <c r="AE68" s="55">
        <v>0</v>
      </c>
      <c r="AF68" s="55">
        <f>AD68-AE68</f>
        <v>55.099999999999994</v>
      </c>
      <c r="AG68" s="61"/>
    </row>
    <row r="69" spans="1:33" ht="12.75" x14ac:dyDescent="0.2">
      <c r="K69" s="56"/>
      <c r="Y69" s="51"/>
      <c r="Z69" s="51"/>
      <c r="AA69" s="67"/>
      <c r="AB69" s="54" t="s">
        <v>204</v>
      </c>
      <c r="AC69" s="38">
        <v>-20</v>
      </c>
    </row>
    <row r="70" spans="1:33" ht="12.75" x14ac:dyDescent="0.2">
      <c r="K70" s="56"/>
      <c r="Y70" s="51"/>
      <c r="Z70" s="51"/>
      <c r="AA70" s="67"/>
    </row>
    <row r="71" spans="1:33" ht="51" x14ac:dyDescent="0.2">
      <c r="A71" s="52" t="s">
        <v>135</v>
      </c>
      <c r="B71" s="53">
        <v>45579</v>
      </c>
      <c r="C71" s="54"/>
      <c r="D71" s="54"/>
      <c r="E71" s="54"/>
      <c r="F71" s="54"/>
      <c r="G71" s="54"/>
      <c r="H71" s="54"/>
      <c r="I71" s="54"/>
      <c r="J71" s="55" t="s">
        <v>141</v>
      </c>
      <c r="K71" s="56"/>
      <c r="L71" s="52" t="s">
        <v>136</v>
      </c>
      <c r="M71" s="53">
        <v>45579</v>
      </c>
      <c r="N71" s="54"/>
      <c r="O71" s="54"/>
      <c r="P71" s="54"/>
      <c r="Q71" s="54"/>
      <c r="R71" s="54"/>
      <c r="S71" s="54"/>
      <c r="T71" s="54"/>
      <c r="U71" s="54"/>
      <c r="V71" s="54"/>
      <c r="W71" s="57" t="s">
        <v>137</v>
      </c>
      <c r="X71" s="57" t="s">
        <v>192</v>
      </c>
      <c r="Y71" s="58" t="s">
        <v>142</v>
      </c>
      <c r="Z71" s="59" t="s">
        <v>193</v>
      </c>
      <c r="AA71" s="60" t="s">
        <v>194</v>
      </c>
      <c r="AB71" s="57" t="s">
        <v>165</v>
      </c>
      <c r="AC71" s="55" t="s">
        <v>195</v>
      </c>
      <c r="AD71" s="55" t="s">
        <v>196</v>
      </c>
      <c r="AE71" s="57" t="s">
        <v>197</v>
      </c>
      <c r="AF71" s="55" t="s">
        <v>195</v>
      </c>
      <c r="AG71" s="61"/>
    </row>
    <row r="72" spans="1:33" ht="12.75" x14ac:dyDescent="0.2">
      <c r="A72" s="55" t="s">
        <v>199</v>
      </c>
      <c r="B72" s="62">
        <v>0.05</v>
      </c>
      <c r="C72" s="62">
        <v>0.1</v>
      </c>
      <c r="D72" s="62">
        <v>0.2</v>
      </c>
      <c r="E72" s="62">
        <v>0.5</v>
      </c>
      <c r="F72" s="62">
        <v>1</v>
      </c>
      <c r="G72" s="62">
        <v>2</v>
      </c>
      <c r="H72" s="62">
        <v>5</v>
      </c>
      <c r="I72" s="62">
        <v>10</v>
      </c>
      <c r="K72" s="56"/>
      <c r="L72" s="55" t="s">
        <v>199</v>
      </c>
      <c r="M72" s="62">
        <v>0.05</v>
      </c>
      <c r="N72" s="62">
        <v>0.1</v>
      </c>
      <c r="O72" s="62">
        <v>0.2</v>
      </c>
      <c r="P72" s="62">
        <v>0.5</v>
      </c>
      <c r="Q72" s="62">
        <v>1</v>
      </c>
      <c r="R72" s="62">
        <v>2</v>
      </c>
      <c r="S72" s="62">
        <v>5</v>
      </c>
      <c r="T72" s="62">
        <v>10</v>
      </c>
      <c r="U72" s="62">
        <v>20</v>
      </c>
      <c r="V72" s="62">
        <v>50</v>
      </c>
      <c r="W72" s="54"/>
      <c r="X72" s="54"/>
      <c r="Y72" s="63"/>
      <c r="Z72" s="63"/>
      <c r="AA72" s="64"/>
      <c r="AB72" s="54"/>
      <c r="AC72" s="54"/>
      <c r="AD72" s="54"/>
      <c r="AE72" s="54"/>
      <c r="AF72" s="54"/>
    </row>
    <row r="73" spans="1:33" ht="12.75" x14ac:dyDescent="0.2">
      <c r="A73" s="55" t="s">
        <v>200</v>
      </c>
      <c r="B73" s="65">
        <v>42</v>
      </c>
      <c r="C73" s="65">
        <v>38</v>
      </c>
      <c r="D73" s="65">
        <v>17</v>
      </c>
      <c r="E73" s="65">
        <v>30</v>
      </c>
      <c r="F73" s="65">
        <v>12</v>
      </c>
      <c r="G73" s="65">
        <v>10</v>
      </c>
      <c r="H73" s="65">
        <v>2</v>
      </c>
      <c r="I73" s="65">
        <v>2</v>
      </c>
      <c r="J73" s="54"/>
      <c r="K73" s="56"/>
      <c r="L73" s="55" t="s">
        <v>200</v>
      </c>
      <c r="M73" s="65">
        <v>46</v>
      </c>
      <c r="N73" s="65">
        <v>27</v>
      </c>
      <c r="O73" s="65">
        <v>3</v>
      </c>
      <c r="P73" s="65">
        <v>34</v>
      </c>
      <c r="Q73" s="65">
        <v>20</v>
      </c>
      <c r="R73" s="65">
        <v>4</v>
      </c>
      <c r="S73" s="65">
        <v>6</v>
      </c>
      <c r="T73" s="65">
        <v>8</v>
      </c>
      <c r="U73" s="65">
        <v>6</v>
      </c>
      <c r="V73" s="65">
        <v>2</v>
      </c>
      <c r="W73" s="54"/>
      <c r="X73" s="54"/>
      <c r="Y73" s="63"/>
      <c r="Z73" s="63"/>
      <c r="AA73" s="64"/>
      <c r="AB73" s="54"/>
      <c r="AC73" s="54"/>
      <c r="AD73" s="54"/>
      <c r="AE73" s="54"/>
      <c r="AF73" s="54"/>
    </row>
    <row r="74" spans="1:33" ht="12.75" x14ac:dyDescent="0.2">
      <c r="A74" s="55" t="s">
        <v>141</v>
      </c>
      <c r="B74" s="65">
        <f t="shared" ref="B74:I74" si="26">B73*B72</f>
        <v>2.1</v>
      </c>
      <c r="C74" s="65">
        <f t="shared" si="26"/>
        <v>3.8000000000000003</v>
      </c>
      <c r="D74" s="65">
        <f t="shared" si="26"/>
        <v>3.4000000000000004</v>
      </c>
      <c r="E74" s="65">
        <f t="shared" si="26"/>
        <v>15</v>
      </c>
      <c r="F74" s="65">
        <f t="shared" si="26"/>
        <v>12</v>
      </c>
      <c r="G74" s="65">
        <f t="shared" si="26"/>
        <v>20</v>
      </c>
      <c r="H74" s="65">
        <f t="shared" si="26"/>
        <v>10</v>
      </c>
      <c r="I74" s="65">
        <f t="shared" si="26"/>
        <v>20</v>
      </c>
      <c r="J74" s="54">
        <f>SUM(B74:I74)</f>
        <v>86.3</v>
      </c>
      <c r="K74" s="56"/>
      <c r="L74" s="55" t="s">
        <v>141</v>
      </c>
      <c r="M74" s="65">
        <f t="shared" ref="M74:V74" si="27">M73*M72</f>
        <v>2.3000000000000003</v>
      </c>
      <c r="N74" s="65">
        <f t="shared" si="27"/>
        <v>2.7</v>
      </c>
      <c r="O74" s="65">
        <f t="shared" si="27"/>
        <v>0.60000000000000009</v>
      </c>
      <c r="P74" s="65">
        <f t="shared" si="27"/>
        <v>17</v>
      </c>
      <c r="Q74" s="65">
        <f t="shared" si="27"/>
        <v>20</v>
      </c>
      <c r="R74" s="65">
        <f t="shared" si="27"/>
        <v>8</v>
      </c>
      <c r="S74" s="65">
        <f t="shared" si="27"/>
        <v>30</v>
      </c>
      <c r="T74" s="65">
        <f t="shared" si="27"/>
        <v>80</v>
      </c>
      <c r="U74" s="65">
        <f t="shared" si="27"/>
        <v>120</v>
      </c>
      <c r="V74" s="65">
        <f t="shared" si="27"/>
        <v>100</v>
      </c>
      <c r="W74" s="54">
        <f>SUM(M74:V74)</f>
        <v>380.6</v>
      </c>
      <c r="X74" s="55">
        <f>W74-J74</f>
        <v>294.3</v>
      </c>
      <c r="Y74" s="63">
        <v>164</v>
      </c>
      <c r="Z74" s="63">
        <v>61.6</v>
      </c>
      <c r="AA74" s="66">
        <f>X74+Z74</f>
        <v>355.90000000000003</v>
      </c>
      <c r="AB74" s="55">
        <v>68</v>
      </c>
      <c r="AC74" s="55">
        <f>Y74-AB74</f>
        <v>96</v>
      </c>
      <c r="AD74" s="55">
        <f>X74-Y74</f>
        <v>130.30000000000001</v>
      </c>
      <c r="AE74" s="55">
        <v>0</v>
      </c>
      <c r="AF74" s="55">
        <f>AD74-AE74</f>
        <v>130.30000000000001</v>
      </c>
      <c r="AG74" s="61"/>
    </row>
    <row r="75" spans="1:33" ht="12.75" x14ac:dyDescent="0.2">
      <c r="K75" s="56"/>
      <c r="Y75" s="51"/>
      <c r="Z75" s="51"/>
      <c r="AA75" s="67"/>
      <c r="AC75" s="38">
        <v>-26</v>
      </c>
    </row>
    <row r="76" spans="1:33" ht="12.75" x14ac:dyDescent="0.2">
      <c r="K76" s="56"/>
      <c r="Y76" s="51"/>
      <c r="Z76" s="51"/>
      <c r="AA76" s="67"/>
    </row>
    <row r="77" spans="1:33" ht="51" x14ac:dyDescent="0.2">
      <c r="A77" s="52" t="s">
        <v>135</v>
      </c>
      <c r="B77" s="53">
        <v>45580</v>
      </c>
      <c r="C77" s="54"/>
      <c r="D77" s="54"/>
      <c r="E77" s="54"/>
      <c r="F77" s="54"/>
      <c r="G77" s="54"/>
      <c r="H77" s="54"/>
      <c r="I77" s="54"/>
      <c r="J77" s="55" t="s">
        <v>141</v>
      </c>
      <c r="K77" s="56"/>
      <c r="L77" s="52" t="s">
        <v>136</v>
      </c>
      <c r="M77" s="53">
        <v>45580</v>
      </c>
      <c r="N77" s="54"/>
      <c r="O77" s="54"/>
      <c r="P77" s="54"/>
      <c r="Q77" s="54"/>
      <c r="R77" s="54"/>
      <c r="S77" s="54"/>
      <c r="T77" s="54"/>
      <c r="U77" s="54"/>
      <c r="V77" s="54"/>
      <c r="W77" s="57" t="s">
        <v>137</v>
      </c>
      <c r="X77" s="57" t="s">
        <v>192</v>
      </c>
      <c r="Y77" s="58" t="s">
        <v>142</v>
      </c>
      <c r="Z77" s="59" t="s">
        <v>193</v>
      </c>
      <c r="AA77" s="60" t="s">
        <v>194</v>
      </c>
      <c r="AB77" s="57" t="s">
        <v>165</v>
      </c>
      <c r="AC77" s="55" t="s">
        <v>198</v>
      </c>
      <c r="AD77" s="55" t="s">
        <v>196</v>
      </c>
      <c r="AE77" s="57" t="s">
        <v>197</v>
      </c>
      <c r="AF77" s="55" t="s">
        <v>198</v>
      </c>
      <c r="AG77" s="61"/>
    </row>
    <row r="78" spans="1:33" ht="12.75" x14ac:dyDescent="0.2">
      <c r="A78" s="55" t="s">
        <v>199</v>
      </c>
      <c r="B78" s="62">
        <v>0.05</v>
      </c>
      <c r="C78" s="62">
        <v>0.1</v>
      </c>
      <c r="D78" s="62">
        <v>0.2</v>
      </c>
      <c r="E78" s="62">
        <v>0.5</v>
      </c>
      <c r="F78" s="62">
        <v>1</v>
      </c>
      <c r="G78" s="62">
        <v>2</v>
      </c>
      <c r="H78" s="62">
        <v>5</v>
      </c>
      <c r="I78" s="62">
        <v>10</v>
      </c>
      <c r="K78" s="56"/>
      <c r="L78" s="55" t="s">
        <v>199</v>
      </c>
      <c r="M78" s="62">
        <v>0.05</v>
      </c>
      <c r="N78" s="62">
        <v>0.1</v>
      </c>
      <c r="O78" s="62">
        <v>0.2</v>
      </c>
      <c r="P78" s="62">
        <v>0.5</v>
      </c>
      <c r="Q78" s="62">
        <v>1</v>
      </c>
      <c r="R78" s="62">
        <v>2</v>
      </c>
      <c r="S78" s="62">
        <v>5</v>
      </c>
      <c r="T78" s="62">
        <v>10</v>
      </c>
      <c r="U78" s="62">
        <v>20</v>
      </c>
      <c r="V78" s="62">
        <v>50</v>
      </c>
      <c r="W78" s="54"/>
      <c r="X78" s="54"/>
      <c r="Y78" s="63"/>
      <c r="Z78" s="63"/>
      <c r="AA78" s="64"/>
      <c r="AB78" s="54"/>
      <c r="AC78" s="54"/>
      <c r="AD78" s="54"/>
      <c r="AE78" s="54"/>
      <c r="AF78" s="54"/>
    </row>
    <row r="79" spans="1:33" ht="12.75" x14ac:dyDescent="0.2">
      <c r="A79" s="55" t="s">
        <v>200</v>
      </c>
      <c r="B79" s="65">
        <v>46</v>
      </c>
      <c r="C79" s="65">
        <v>27</v>
      </c>
      <c r="D79" s="65">
        <v>3</v>
      </c>
      <c r="E79" s="65">
        <v>34</v>
      </c>
      <c r="F79" s="65">
        <v>20</v>
      </c>
      <c r="G79" s="65">
        <v>4</v>
      </c>
      <c r="H79" s="65">
        <v>3</v>
      </c>
      <c r="I79" s="65">
        <v>2</v>
      </c>
      <c r="J79" s="54"/>
      <c r="K79" s="56"/>
      <c r="L79" s="55" t="s">
        <v>200</v>
      </c>
      <c r="M79" s="65">
        <v>45</v>
      </c>
      <c r="N79" s="65">
        <v>9</v>
      </c>
      <c r="O79" s="65">
        <v>10</v>
      </c>
      <c r="P79" s="65">
        <v>37</v>
      </c>
      <c r="Q79" s="65">
        <v>17</v>
      </c>
      <c r="R79" s="65">
        <v>5</v>
      </c>
      <c r="S79" s="65">
        <v>8</v>
      </c>
      <c r="T79" s="65">
        <v>5</v>
      </c>
      <c r="U79" s="65">
        <v>3</v>
      </c>
      <c r="V79" s="65">
        <v>3</v>
      </c>
      <c r="W79" s="54"/>
      <c r="X79" s="54"/>
      <c r="Y79" s="63"/>
      <c r="Z79" s="63"/>
      <c r="AA79" s="64"/>
      <c r="AB79" s="54"/>
      <c r="AC79" s="54"/>
      <c r="AD79" s="54"/>
      <c r="AE79" s="54"/>
      <c r="AF79" s="54"/>
    </row>
    <row r="80" spans="1:33" ht="12.75" x14ac:dyDescent="0.2">
      <c r="A80" s="55" t="s">
        <v>141</v>
      </c>
      <c r="B80" s="65">
        <f t="shared" ref="B80:I80" si="28">B79*B78</f>
        <v>2.3000000000000003</v>
      </c>
      <c r="C80" s="65">
        <f t="shared" si="28"/>
        <v>2.7</v>
      </c>
      <c r="D80" s="65">
        <f t="shared" si="28"/>
        <v>0.60000000000000009</v>
      </c>
      <c r="E80" s="65">
        <f t="shared" si="28"/>
        <v>17</v>
      </c>
      <c r="F80" s="65">
        <f t="shared" si="28"/>
        <v>20</v>
      </c>
      <c r="G80" s="65">
        <f t="shared" si="28"/>
        <v>8</v>
      </c>
      <c r="H80" s="65">
        <f t="shared" si="28"/>
        <v>15</v>
      </c>
      <c r="I80" s="65">
        <f t="shared" si="28"/>
        <v>20</v>
      </c>
      <c r="J80" s="54">
        <f>SUM(B80:I80)</f>
        <v>85.6</v>
      </c>
      <c r="K80" s="56"/>
      <c r="L80" s="55" t="s">
        <v>141</v>
      </c>
      <c r="M80" s="65">
        <f t="shared" ref="M80:V80" si="29">M79*M78</f>
        <v>2.25</v>
      </c>
      <c r="N80" s="65">
        <f t="shared" si="29"/>
        <v>0.9</v>
      </c>
      <c r="O80" s="65">
        <f t="shared" si="29"/>
        <v>2</v>
      </c>
      <c r="P80" s="65">
        <f t="shared" si="29"/>
        <v>18.5</v>
      </c>
      <c r="Q80" s="65">
        <f t="shared" si="29"/>
        <v>17</v>
      </c>
      <c r="R80" s="65">
        <f t="shared" si="29"/>
        <v>10</v>
      </c>
      <c r="S80" s="65">
        <f t="shared" si="29"/>
        <v>40</v>
      </c>
      <c r="T80" s="65">
        <f t="shared" si="29"/>
        <v>50</v>
      </c>
      <c r="U80" s="65">
        <f t="shared" si="29"/>
        <v>60</v>
      </c>
      <c r="V80" s="65">
        <f t="shared" si="29"/>
        <v>150</v>
      </c>
      <c r="W80" s="54">
        <f>SUM(M80:V80)</f>
        <v>350.65</v>
      </c>
      <c r="X80" s="55">
        <f>W80-J80</f>
        <v>265.04999999999995</v>
      </c>
      <c r="Y80" s="63">
        <v>145.80000000000001</v>
      </c>
      <c r="Z80" s="63">
        <v>42.7</v>
      </c>
      <c r="AA80" s="66">
        <f>X80+Z80</f>
        <v>307.74999999999994</v>
      </c>
      <c r="AB80" s="55">
        <f>SUM(Y80+Z80)*0.3</f>
        <v>56.55</v>
      </c>
      <c r="AC80" s="55">
        <f>Y80-AB80</f>
        <v>89.250000000000014</v>
      </c>
      <c r="AD80" s="55">
        <f>X80-Y80</f>
        <v>119.24999999999994</v>
      </c>
      <c r="AE80" s="55">
        <v>0</v>
      </c>
      <c r="AF80" s="55">
        <f>AD80-AE80</f>
        <v>119.24999999999994</v>
      </c>
      <c r="AG80" s="61"/>
    </row>
    <row r="81" spans="1:33" ht="12.75" x14ac:dyDescent="0.2">
      <c r="K81" s="56"/>
      <c r="Y81" s="51"/>
      <c r="Z81" s="51"/>
      <c r="AA81" s="67"/>
      <c r="AC81" s="38">
        <v>-50</v>
      </c>
    </row>
    <row r="82" spans="1:33" ht="51" x14ac:dyDescent="0.2">
      <c r="A82" s="52" t="s">
        <v>135</v>
      </c>
      <c r="B82" s="53">
        <v>45581</v>
      </c>
      <c r="C82" s="54"/>
      <c r="D82" s="54"/>
      <c r="E82" s="54"/>
      <c r="F82" s="54"/>
      <c r="G82" s="54"/>
      <c r="H82" s="54"/>
      <c r="I82" s="54"/>
      <c r="J82" s="55" t="s">
        <v>141</v>
      </c>
      <c r="K82" s="56"/>
      <c r="L82" s="52" t="s">
        <v>136</v>
      </c>
      <c r="M82" s="53">
        <v>45581</v>
      </c>
      <c r="N82" s="54"/>
      <c r="O82" s="54"/>
      <c r="P82" s="54"/>
      <c r="Q82" s="54"/>
      <c r="R82" s="54"/>
      <c r="S82" s="54"/>
      <c r="T82" s="54"/>
      <c r="U82" s="54"/>
      <c r="V82" s="54"/>
      <c r="W82" s="57" t="s">
        <v>137</v>
      </c>
      <c r="X82" s="57" t="s">
        <v>192</v>
      </c>
      <c r="Y82" s="58" t="s">
        <v>142</v>
      </c>
      <c r="Z82" s="59" t="s">
        <v>193</v>
      </c>
      <c r="AA82" s="60" t="s">
        <v>194</v>
      </c>
      <c r="AB82" s="57" t="s">
        <v>165</v>
      </c>
      <c r="AC82" s="55" t="s">
        <v>198</v>
      </c>
      <c r="AD82" s="55" t="s">
        <v>196</v>
      </c>
      <c r="AE82" s="57" t="s">
        <v>197</v>
      </c>
      <c r="AF82" s="55" t="s">
        <v>198</v>
      </c>
      <c r="AG82" s="61"/>
    </row>
    <row r="83" spans="1:33" ht="12.75" x14ac:dyDescent="0.2">
      <c r="A83" s="55" t="s">
        <v>199</v>
      </c>
      <c r="B83" s="62">
        <v>0.05</v>
      </c>
      <c r="C83" s="62">
        <v>0.1</v>
      </c>
      <c r="D83" s="62">
        <v>0.2</v>
      </c>
      <c r="E83" s="62">
        <v>0.5</v>
      </c>
      <c r="F83" s="62">
        <v>1</v>
      </c>
      <c r="G83" s="62">
        <v>2</v>
      </c>
      <c r="H83" s="62">
        <v>5</v>
      </c>
      <c r="I83" s="62">
        <v>10</v>
      </c>
      <c r="K83" s="56"/>
      <c r="L83" s="55" t="s">
        <v>199</v>
      </c>
      <c r="M83" s="62">
        <v>0.05</v>
      </c>
      <c r="N83" s="62">
        <v>0.1</v>
      </c>
      <c r="O83" s="62">
        <v>0.2</v>
      </c>
      <c r="P83" s="62">
        <v>0.5</v>
      </c>
      <c r="Q83" s="62">
        <v>1</v>
      </c>
      <c r="R83" s="62">
        <v>2</v>
      </c>
      <c r="S83" s="62">
        <v>5</v>
      </c>
      <c r="T83" s="62">
        <v>10</v>
      </c>
      <c r="U83" s="62">
        <v>20</v>
      </c>
      <c r="V83" s="62">
        <v>50</v>
      </c>
      <c r="W83" s="54"/>
      <c r="X83" s="54"/>
      <c r="Y83" s="63"/>
      <c r="Z83" s="63"/>
      <c r="AA83" s="64"/>
      <c r="AB83" s="54"/>
      <c r="AC83" s="54"/>
      <c r="AD83" s="54"/>
      <c r="AE83" s="54"/>
      <c r="AF83" s="54"/>
    </row>
    <row r="84" spans="1:33" ht="12.75" x14ac:dyDescent="0.2">
      <c r="A84" s="55" t="s">
        <v>200</v>
      </c>
      <c r="B84" s="65">
        <v>45</v>
      </c>
      <c r="C84" s="65">
        <v>9</v>
      </c>
      <c r="D84" s="65">
        <v>10</v>
      </c>
      <c r="E84" s="65">
        <v>37</v>
      </c>
      <c r="F84" s="65">
        <v>17</v>
      </c>
      <c r="G84" s="65">
        <v>8</v>
      </c>
      <c r="H84" s="65">
        <v>2</v>
      </c>
      <c r="I84" s="65">
        <v>2</v>
      </c>
      <c r="J84" s="54"/>
      <c r="K84" s="56"/>
      <c r="L84" s="55" t="s">
        <v>200</v>
      </c>
      <c r="M84" s="65">
        <v>43</v>
      </c>
      <c r="N84" s="65">
        <v>8</v>
      </c>
      <c r="O84" s="65">
        <v>15</v>
      </c>
      <c r="P84" s="65">
        <v>40</v>
      </c>
      <c r="Q84" s="65">
        <v>15</v>
      </c>
      <c r="R84" s="65">
        <v>7</v>
      </c>
      <c r="S84" s="65">
        <v>8</v>
      </c>
      <c r="T84" s="65">
        <v>9</v>
      </c>
      <c r="U84" s="65">
        <v>9</v>
      </c>
      <c r="V84" s="65">
        <v>3</v>
      </c>
      <c r="W84" s="54"/>
      <c r="X84" s="54"/>
      <c r="Y84" s="63"/>
      <c r="Z84" s="63"/>
      <c r="AA84" s="64"/>
      <c r="AB84" s="54"/>
      <c r="AC84" s="54"/>
      <c r="AD84" s="54"/>
      <c r="AE84" s="54"/>
      <c r="AF84" s="54"/>
    </row>
    <row r="85" spans="1:33" ht="12.75" x14ac:dyDescent="0.2">
      <c r="A85" s="55" t="s">
        <v>141</v>
      </c>
      <c r="B85" s="65">
        <f t="shared" ref="B85:I85" si="30">B84*B83</f>
        <v>2.25</v>
      </c>
      <c r="C85" s="65">
        <f t="shared" si="30"/>
        <v>0.9</v>
      </c>
      <c r="D85" s="65">
        <f t="shared" si="30"/>
        <v>2</v>
      </c>
      <c r="E85" s="65">
        <f t="shared" si="30"/>
        <v>18.5</v>
      </c>
      <c r="F85" s="65">
        <f t="shared" si="30"/>
        <v>17</v>
      </c>
      <c r="G85" s="65">
        <f t="shared" si="30"/>
        <v>16</v>
      </c>
      <c r="H85" s="65">
        <f t="shared" si="30"/>
        <v>10</v>
      </c>
      <c r="I85" s="65">
        <f t="shared" si="30"/>
        <v>20</v>
      </c>
      <c r="J85" s="54">
        <f>SUM(B85:I85)</f>
        <v>86.65</v>
      </c>
      <c r="K85" s="56"/>
      <c r="L85" s="55" t="s">
        <v>141</v>
      </c>
      <c r="M85" s="65">
        <f t="shared" ref="M85:V85" si="31">M84*M83</f>
        <v>2.15</v>
      </c>
      <c r="N85" s="65">
        <f t="shared" si="31"/>
        <v>0.8</v>
      </c>
      <c r="O85" s="65">
        <f t="shared" si="31"/>
        <v>3</v>
      </c>
      <c r="P85" s="65">
        <f t="shared" si="31"/>
        <v>20</v>
      </c>
      <c r="Q85" s="65">
        <f t="shared" si="31"/>
        <v>15</v>
      </c>
      <c r="R85" s="65">
        <f t="shared" si="31"/>
        <v>14</v>
      </c>
      <c r="S85" s="65">
        <f t="shared" si="31"/>
        <v>40</v>
      </c>
      <c r="T85" s="65">
        <f t="shared" si="31"/>
        <v>90</v>
      </c>
      <c r="U85" s="65">
        <f t="shared" si="31"/>
        <v>180</v>
      </c>
      <c r="V85" s="65">
        <f t="shared" si="31"/>
        <v>150</v>
      </c>
      <c r="W85" s="54">
        <f>SUM(M85:V85)</f>
        <v>514.95000000000005</v>
      </c>
      <c r="X85" s="55">
        <f>W85-J85</f>
        <v>428.30000000000007</v>
      </c>
      <c r="Y85" s="63">
        <v>225.1</v>
      </c>
      <c r="Z85" s="63">
        <v>28.7</v>
      </c>
      <c r="AA85" s="66">
        <f>X85+Z85</f>
        <v>457.00000000000006</v>
      </c>
      <c r="AB85" s="55">
        <v>75</v>
      </c>
      <c r="AC85" s="55">
        <f>Y85-AB85</f>
        <v>150.1</v>
      </c>
      <c r="AD85" s="55">
        <f>X85-Y85</f>
        <v>203.20000000000007</v>
      </c>
      <c r="AE85" s="55">
        <v>0</v>
      </c>
      <c r="AF85" s="55">
        <f>AD85-AE85</f>
        <v>203.20000000000007</v>
      </c>
      <c r="AG85" s="61"/>
    </row>
    <row r="86" spans="1:33" ht="12.75" x14ac:dyDescent="0.2">
      <c r="K86" s="56"/>
      <c r="Y86" s="51"/>
      <c r="Z86" s="51"/>
      <c r="AA86" s="67"/>
      <c r="AC86" s="38">
        <v>-20</v>
      </c>
    </row>
    <row r="87" spans="1:33" ht="12.75" x14ac:dyDescent="0.2">
      <c r="K87" s="56"/>
      <c r="Y87" s="51"/>
      <c r="Z87" s="51"/>
      <c r="AA87" s="67"/>
    </row>
    <row r="88" spans="1:33" ht="51" x14ac:dyDescent="0.2">
      <c r="A88" s="52" t="s">
        <v>135</v>
      </c>
      <c r="B88" s="53">
        <v>45582</v>
      </c>
      <c r="C88" s="54"/>
      <c r="D88" s="54"/>
      <c r="E88" s="54"/>
      <c r="F88" s="54"/>
      <c r="G88" s="54"/>
      <c r="H88" s="54"/>
      <c r="I88" s="54"/>
      <c r="J88" s="55" t="s">
        <v>141</v>
      </c>
      <c r="K88" s="56"/>
      <c r="L88" s="52" t="s">
        <v>136</v>
      </c>
      <c r="M88" s="53">
        <v>45582</v>
      </c>
      <c r="N88" s="54"/>
      <c r="O88" s="54"/>
      <c r="P88" s="54"/>
      <c r="Q88" s="54"/>
      <c r="R88" s="54"/>
      <c r="S88" s="54"/>
      <c r="T88" s="54"/>
      <c r="U88" s="54"/>
      <c r="V88" s="54"/>
      <c r="W88" s="57" t="s">
        <v>137</v>
      </c>
      <c r="X88" s="57" t="s">
        <v>192</v>
      </c>
      <c r="Y88" s="58" t="s">
        <v>142</v>
      </c>
      <c r="Z88" s="59" t="s">
        <v>193</v>
      </c>
      <c r="AA88" s="60" t="s">
        <v>194</v>
      </c>
      <c r="AB88" s="57" t="s">
        <v>165</v>
      </c>
      <c r="AC88" s="55" t="s">
        <v>198</v>
      </c>
      <c r="AD88" s="55" t="s">
        <v>196</v>
      </c>
      <c r="AE88" s="57" t="s">
        <v>197</v>
      </c>
      <c r="AF88" s="55" t="s">
        <v>198</v>
      </c>
      <c r="AG88" s="61"/>
    </row>
    <row r="89" spans="1:33" ht="12.75" x14ac:dyDescent="0.2">
      <c r="A89" s="55" t="s">
        <v>199</v>
      </c>
      <c r="B89" s="62">
        <v>0.05</v>
      </c>
      <c r="C89" s="62">
        <v>0.1</v>
      </c>
      <c r="D89" s="62">
        <v>0.2</v>
      </c>
      <c r="E89" s="62">
        <v>0.5</v>
      </c>
      <c r="F89" s="62">
        <v>1</v>
      </c>
      <c r="G89" s="62">
        <v>2</v>
      </c>
      <c r="H89" s="62">
        <v>5</v>
      </c>
      <c r="I89" s="62">
        <v>10</v>
      </c>
      <c r="K89" s="56"/>
      <c r="L89" s="55" t="s">
        <v>199</v>
      </c>
      <c r="M89" s="62">
        <v>0.05</v>
      </c>
      <c r="N89" s="62">
        <v>0.1</v>
      </c>
      <c r="O89" s="62">
        <v>0.2</v>
      </c>
      <c r="P89" s="62">
        <v>0.5</v>
      </c>
      <c r="Q89" s="62">
        <v>1</v>
      </c>
      <c r="R89" s="62">
        <v>2</v>
      </c>
      <c r="S89" s="62">
        <v>5</v>
      </c>
      <c r="T89" s="62">
        <v>10</v>
      </c>
      <c r="U89" s="62">
        <v>20</v>
      </c>
      <c r="V89" s="62">
        <v>50</v>
      </c>
      <c r="W89" s="54"/>
      <c r="X89" s="54"/>
      <c r="Y89" s="63"/>
      <c r="Z89" s="63"/>
      <c r="AA89" s="64"/>
      <c r="AB89" s="54"/>
      <c r="AC89" s="54"/>
      <c r="AD89" s="54"/>
      <c r="AE89" s="54"/>
      <c r="AF89" s="54"/>
    </row>
    <row r="90" spans="1:33" ht="12.75" x14ac:dyDescent="0.2">
      <c r="A90" s="55" t="s">
        <v>200</v>
      </c>
      <c r="B90" s="65">
        <v>43</v>
      </c>
      <c r="C90" s="65">
        <v>8</v>
      </c>
      <c r="D90" s="65">
        <v>15</v>
      </c>
      <c r="E90" s="65">
        <v>40</v>
      </c>
      <c r="F90" s="65">
        <v>15</v>
      </c>
      <c r="G90" s="65">
        <v>7</v>
      </c>
      <c r="H90" s="65">
        <v>2</v>
      </c>
      <c r="I90" s="65">
        <v>2</v>
      </c>
      <c r="J90" s="54"/>
      <c r="K90" s="56"/>
      <c r="L90" s="55" t="s">
        <v>200</v>
      </c>
      <c r="M90" s="65">
        <v>48</v>
      </c>
      <c r="N90" s="65">
        <v>11</v>
      </c>
      <c r="O90" s="65">
        <v>1</v>
      </c>
      <c r="P90" s="65">
        <v>31</v>
      </c>
      <c r="Q90" s="65">
        <v>15</v>
      </c>
      <c r="R90" s="65">
        <v>4</v>
      </c>
      <c r="S90" s="65">
        <v>5</v>
      </c>
      <c r="T90" s="65">
        <v>5</v>
      </c>
      <c r="U90" s="65">
        <v>3</v>
      </c>
      <c r="V90" s="65">
        <v>3</v>
      </c>
      <c r="W90" s="54"/>
      <c r="X90" s="54"/>
      <c r="Y90" s="63"/>
      <c r="Z90" s="63"/>
      <c r="AA90" s="64"/>
      <c r="AB90" s="54"/>
      <c r="AC90" s="54"/>
      <c r="AD90" s="54"/>
      <c r="AE90" s="54"/>
      <c r="AF90" s="54"/>
    </row>
    <row r="91" spans="1:33" ht="12.75" x14ac:dyDescent="0.2">
      <c r="A91" s="55" t="s">
        <v>141</v>
      </c>
      <c r="B91" s="65">
        <f t="shared" ref="B91:I91" si="32">B90*B89</f>
        <v>2.15</v>
      </c>
      <c r="C91" s="65">
        <f t="shared" si="32"/>
        <v>0.8</v>
      </c>
      <c r="D91" s="65">
        <f t="shared" si="32"/>
        <v>3</v>
      </c>
      <c r="E91" s="65">
        <f t="shared" si="32"/>
        <v>20</v>
      </c>
      <c r="F91" s="65">
        <f t="shared" si="32"/>
        <v>15</v>
      </c>
      <c r="G91" s="65">
        <f t="shared" si="32"/>
        <v>14</v>
      </c>
      <c r="H91" s="65">
        <f t="shared" si="32"/>
        <v>10</v>
      </c>
      <c r="I91" s="65">
        <f t="shared" si="32"/>
        <v>20</v>
      </c>
      <c r="J91" s="54">
        <f>SUM(B91:I91)</f>
        <v>84.95</v>
      </c>
      <c r="K91" s="56"/>
      <c r="L91" s="55" t="s">
        <v>141</v>
      </c>
      <c r="M91" s="65">
        <f t="shared" ref="M91:V91" si="33">M90*M89</f>
        <v>2.4000000000000004</v>
      </c>
      <c r="N91" s="65">
        <f t="shared" si="33"/>
        <v>1.1000000000000001</v>
      </c>
      <c r="O91" s="65">
        <f t="shared" si="33"/>
        <v>0.2</v>
      </c>
      <c r="P91" s="65">
        <f t="shared" si="33"/>
        <v>15.5</v>
      </c>
      <c r="Q91" s="65">
        <f t="shared" si="33"/>
        <v>15</v>
      </c>
      <c r="R91" s="65">
        <f t="shared" si="33"/>
        <v>8</v>
      </c>
      <c r="S91" s="65">
        <f t="shared" si="33"/>
        <v>25</v>
      </c>
      <c r="T91" s="65">
        <f t="shared" si="33"/>
        <v>50</v>
      </c>
      <c r="U91" s="65">
        <f t="shared" si="33"/>
        <v>60</v>
      </c>
      <c r="V91" s="65">
        <f t="shared" si="33"/>
        <v>150</v>
      </c>
      <c r="W91" s="54">
        <f>SUM(M91:V91)</f>
        <v>327.2</v>
      </c>
      <c r="X91" s="55">
        <f>W91-J91</f>
        <v>242.25</v>
      </c>
      <c r="Y91" s="63">
        <v>142.4</v>
      </c>
      <c r="Z91" s="63">
        <v>7.4</v>
      </c>
      <c r="AA91" s="66">
        <f>X91+Z91</f>
        <v>249.65</v>
      </c>
      <c r="AB91" s="55">
        <f>30</f>
        <v>30</v>
      </c>
      <c r="AC91" s="55">
        <f>Y91-AB91</f>
        <v>112.4</v>
      </c>
      <c r="AD91" s="55">
        <f>X91-Y91</f>
        <v>99.85</v>
      </c>
      <c r="AE91" s="55">
        <f>20</f>
        <v>20</v>
      </c>
      <c r="AF91" s="55">
        <f>AD91-AE91</f>
        <v>79.849999999999994</v>
      </c>
      <c r="AG91" s="61"/>
    </row>
    <row r="92" spans="1:33" ht="12.75" x14ac:dyDescent="0.2">
      <c r="K92" s="56"/>
      <c r="Y92" s="51"/>
      <c r="Z92" s="51"/>
      <c r="AA92" s="67"/>
      <c r="AC92" s="38">
        <v>-12</v>
      </c>
    </row>
    <row r="93" spans="1:33" ht="12.75" x14ac:dyDescent="0.2">
      <c r="K93" s="56"/>
      <c r="Y93" s="51"/>
      <c r="Z93" s="51"/>
      <c r="AA93" s="67"/>
    </row>
    <row r="94" spans="1:33" ht="51" x14ac:dyDescent="0.2">
      <c r="A94" s="52" t="s">
        <v>135</v>
      </c>
      <c r="B94" s="53">
        <v>45583</v>
      </c>
      <c r="C94" s="54"/>
      <c r="D94" s="54"/>
      <c r="E94" s="54"/>
      <c r="F94" s="54"/>
      <c r="G94" s="54"/>
      <c r="H94" s="54"/>
      <c r="I94" s="54"/>
      <c r="J94" s="55" t="s">
        <v>141</v>
      </c>
      <c r="K94" s="56"/>
      <c r="L94" s="52" t="s">
        <v>136</v>
      </c>
      <c r="M94" s="53">
        <v>45583</v>
      </c>
      <c r="N94" s="54"/>
      <c r="O94" s="54"/>
      <c r="P94" s="54"/>
      <c r="Q94" s="54"/>
      <c r="R94" s="54"/>
      <c r="S94" s="54"/>
      <c r="T94" s="54"/>
      <c r="U94" s="54"/>
      <c r="V94" s="54"/>
      <c r="W94" s="55" t="s">
        <v>141</v>
      </c>
      <c r="X94" s="57" t="s">
        <v>192</v>
      </c>
      <c r="Y94" s="58" t="s">
        <v>142</v>
      </c>
      <c r="Z94" s="59" t="s">
        <v>193</v>
      </c>
      <c r="AA94" s="60" t="s">
        <v>194</v>
      </c>
      <c r="AB94" s="57" t="s">
        <v>165</v>
      </c>
      <c r="AC94" s="55" t="s">
        <v>198</v>
      </c>
      <c r="AD94" s="55" t="s">
        <v>196</v>
      </c>
      <c r="AE94" s="57" t="s">
        <v>197</v>
      </c>
      <c r="AF94" s="55" t="s">
        <v>198</v>
      </c>
      <c r="AG94" s="61"/>
    </row>
    <row r="95" spans="1:33" ht="12.75" x14ac:dyDescent="0.2">
      <c r="A95" s="55" t="s">
        <v>199</v>
      </c>
      <c r="B95" s="62">
        <v>0.05</v>
      </c>
      <c r="C95" s="62">
        <v>0.1</v>
      </c>
      <c r="D95" s="62">
        <v>0.2</v>
      </c>
      <c r="E95" s="62">
        <v>0.5</v>
      </c>
      <c r="F95" s="62">
        <v>1</v>
      </c>
      <c r="G95" s="62">
        <v>2</v>
      </c>
      <c r="H95" s="62">
        <v>5</v>
      </c>
      <c r="I95" s="62">
        <v>10</v>
      </c>
      <c r="K95" s="56"/>
      <c r="L95" s="55" t="s">
        <v>199</v>
      </c>
      <c r="M95" s="62">
        <v>0.05</v>
      </c>
      <c r="N95" s="62">
        <v>0.1</v>
      </c>
      <c r="O95" s="62">
        <v>0.2</v>
      </c>
      <c r="P95" s="62">
        <v>0.5</v>
      </c>
      <c r="Q95" s="62">
        <v>1</v>
      </c>
      <c r="R95" s="62">
        <v>2</v>
      </c>
      <c r="S95" s="62">
        <v>5</v>
      </c>
      <c r="T95" s="62">
        <v>10</v>
      </c>
      <c r="U95" s="62">
        <v>20</v>
      </c>
      <c r="V95" s="62">
        <v>50</v>
      </c>
      <c r="W95" s="54"/>
      <c r="X95" s="54"/>
      <c r="Y95" s="63"/>
      <c r="Z95" s="63"/>
      <c r="AA95" s="64"/>
      <c r="AB95" s="54"/>
      <c r="AC95" s="54"/>
      <c r="AD95" s="54"/>
      <c r="AE95" s="54"/>
      <c r="AF95" s="54"/>
    </row>
    <row r="96" spans="1:33" ht="12.75" x14ac:dyDescent="0.2">
      <c r="A96" s="55" t="s">
        <v>200</v>
      </c>
      <c r="B96" s="65">
        <v>48</v>
      </c>
      <c r="C96" s="65">
        <v>14</v>
      </c>
      <c r="D96" s="65">
        <v>4</v>
      </c>
      <c r="E96" s="65">
        <v>31</v>
      </c>
      <c r="F96" s="65">
        <v>15</v>
      </c>
      <c r="G96" s="65">
        <v>9</v>
      </c>
      <c r="H96" s="65">
        <v>2</v>
      </c>
      <c r="I96" s="65">
        <v>2</v>
      </c>
      <c r="J96" s="54"/>
      <c r="K96" s="56"/>
      <c r="L96" s="55" t="s">
        <v>200</v>
      </c>
      <c r="M96" s="65">
        <v>43</v>
      </c>
      <c r="N96" s="65">
        <v>14</v>
      </c>
      <c r="O96" s="65">
        <v>19</v>
      </c>
      <c r="P96" s="65">
        <v>33</v>
      </c>
      <c r="Q96" s="65">
        <v>13</v>
      </c>
      <c r="R96" s="65">
        <v>15</v>
      </c>
      <c r="S96" s="65">
        <v>3</v>
      </c>
      <c r="T96" s="65">
        <v>6</v>
      </c>
      <c r="U96" s="65">
        <v>10</v>
      </c>
      <c r="V96" s="65">
        <v>3</v>
      </c>
      <c r="W96" s="54"/>
      <c r="X96" s="54"/>
      <c r="Y96" s="63"/>
      <c r="Z96" s="63"/>
      <c r="AA96" s="64"/>
      <c r="AB96" s="54"/>
      <c r="AC96" s="54"/>
      <c r="AD96" s="54"/>
      <c r="AE96" s="54"/>
      <c r="AF96" s="54"/>
    </row>
    <row r="97" spans="1:33" ht="12.75" x14ac:dyDescent="0.2">
      <c r="A97" s="55" t="s">
        <v>141</v>
      </c>
      <c r="B97" s="65">
        <f t="shared" ref="B97:I97" si="34">B96*B95</f>
        <v>2.4000000000000004</v>
      </c>
      <c r="C97" s="65">
        <f t="shared" si="34"/>
        <v>1.4000000000000001</v>
      </c>
      <c r="D97" s="65">
        <f t="shared" si="34"/>
        <v>0.8</v>
      </c>
      <c r="E97" s="65">
        <f t="shared" si="34"/>
        <v>15.5</v>
      </c>
      <c r="F97" s="65">
        <f t="shared" si="34"/>
        <v>15</v>
      </c>
      <c r="G97" s="65">
        <f t="shared" si="34"/>
        <v>18</v>
      </c>
      <c r="H97" s="65">
        <f t="shared" si="34"/>
        <v>10</v>
      </c>
      <c r="I97" s="65">
        <f t="shared" si="34"/>
        <v>20</v>
      </c>
      <c r="J97" s="54">
        <f>SUM(B97:I97)</f>
        <v>83.1</v>
      </c>
      <c r="K97" s="56"/>
      <c r="L97" s="55" t="s">
        <v>141</v>
      </c>
      <c r="M97" s="65">
        <f t="shared" ref="M97:V97" si="35">M96*M95</f>
        <v>2.15</v>
      </c>
      <c r="N97" s="65">
        <f t="shared" si="35"/>
        <v>1.4000000000000001</v>
      </c>
      <c r="O97" s="65">
        <f t="shared" si="35"/>
        <v>3.8000000000000003</v>
      </c>
      <c r="P97" s="65">
        <f t="shared" si="35"/>
        <v>16.5</v>
      </c>
      <c r="Q97" s="65">
        <f t="shared" si="35"/>
        <v>13</v>
      </c>
      <c r="R97" s="65">
        <f t="shared" si="35"/>
        <v>30</v>
      </c>
      <c r="S97" s="65">
        <f t="shared" si="35"/>
        <v>15</v>
      </c>
      <c r="T97" s="65">
        <f t="shared" si="35"/>
        <v>60</v>
      </c>
      <c r="U97" s="65">
        <f t="shared" si="35"/>
        <v>200</v>
      </c>
      <c r="V97" s="65">
        <f t="shared" si="35"/>
        <v>150</v>
      </c>
      <c r="W97" s="54">
        <f>SUM(M97:V97)</f>
        <v>491.85</v>
      </c>
      <c r="X97" s="55">
        <f>W97-J97</f>
        <v>408.75</v>
      </c>
      <c r="Y97" s="63">
        <v>138.4</v>
      </c>
      <c r="Z97" s="63">
        <v>126.6</v>
      </c>
      <c r="AA97" s="66">
        <f>X97+Z97</f>
        <v>535.35</v>
      </c>
      <c r="AB97" s="55">
        <f>80</f>
        <v>80</v>
      </c>
      <c r="AC97" s="55">
        <f>Y97-AB97</f>
        <v>58.400000000000006</v>
      </c>
      <c r="AD97" s="55">
        <f>X97-Y97</f>
        <v>270.35000000000002</v>
      </c>
      <c r="AE97" s="55">
        <f>50</f>
        <v>50</v>
      </c>
      <c r="AF97" s="55">
        <f>AD97-AE97</f>
        <v>220.35000000000002</v>
      </c>
      <c r="AG97" s="61"/>
    </row>
    <row r="98" spans="1:33" ht="12.75" x14ac:dyDescent="0.2">
      <c r="K98" s="56"/>
      <c r="Y98" s="51"/>
      <c r="Z98" s="51"/>
      <c r="AA98" s="67"/>
      <c r="AC98" s="38">
        <v>-18</v>
      </c>
      <c r="AF98" s="38">
        <v>-20</v>
      </c>
    </row>
    <row r="99" spans="1:33" ht="12.75" x14ac:dyDescent="0.2">
      <c r="K99" s="56"/>
      <c r="Y99" s="51"/>
      <c r="Z99" s="51"/>
      <c r="AA99" s="67"/>
    </row>
    <row r="100" spans="1:33" ht="51" x14ac:dyDescent="0.2">
      <c r="A100" s="52" t="s">
        <v>135</v>
      </c>
      <c r="B100" s="53">
        <v>45584</v>
      </c>
      <c r="C100" s="54"/>
      <c r="D100" s="54"/>
      <c r="E100" s="54"/>
      <c r="F100" s="54"/>
      <c r="G100" s="54"/>
      <c r="H100" s="54"/>
      <c r="I100" s="54"/>
      <c r="J100" s="55" t="s">
        <v>141</v>
      </c>
      <c r="K100" s="56"/>
      <c r="L100" s="52" t="s">
        <v>136</v>
      </c>
      <c r="M100" s="53">
        <v>45584</v>
      </c>
      <c r="N100" s="54"/>
      <c r="O100" s="54"/>
      <c r="P100" s="54"/>
      <c r="Q100" s="54"/>
      <c r="R100" s="54"/>
      <c r="S100" s="54"/>
      <c r="T100" s="54"/>
      <c r="U100" s="54"/>
      <c r="V100" s="54"/>
      <c r="W100" s="55" t="s">
        <v>141</v>
      </c>
      <c r="X100" s="57" t="s">
        <v>192</v>
      </c>
      <c r="Y100" s="58" t="s">
        <v>142</v>
      </c>
      <c r="Z100" s="59" t="s">
        <v>193</v>
      </c>
      <c r="AA100" s="60" t="s">
        <v>194</v>
      </c>
      <c r="AB100" s="57" t="s">
        <v>165</v>
      </c>
      <c r="AC100" s="55" t="s">
        <v>195</v>
      </c>
      <c r="AD100" s="55" t="s">
        <v>196</v>
      </c>
      <c r="AE100" s="57" t="s">
        <v>197</v>
      </c>
      <c r="AF100" s="55" t="s">
        <v>198</v>
      </c>
      <c r="AG100" s="61"/>
    </row>
    <row r="101" spans="1:33" ht="12.75" x14ac:dyDescent="0.2">
      <c r="A101" s="55" t="s">
        <v>199</v>
      </c>
      <c r="B101" s="62">
        <v>0.05</v>
      </c>
      <c r="C101" s="62">
        <v>0.1</v>
      </c>
      <c r="D101" s="62">
        <v>0.2</v>
      </c>
      <c r="E101" s="62">
        <v>0.5</v>
      </c>
      <c r="F101" s="62">
        <v>1</v>
      </c>
      <c r="G101" s="62">
        <v>2</v>
      </c>
      <c r="H101" s="62">
        <v>5</v>
      </c>
      <c r="I101" s="62">
        <v>10</v>
      </c>
      <c r="K101" s="56"/>
      <c r="L101" s="55" t="s">
        <v>199</v>
      </c>
      <c r="M101" s="62">
        <v>0.05</v>
      </c>
      <c r="N101" s="62">
        <v>0.1</v>
      </c>
      <c r="O101" s="62">
        <v>0.2</v>
      </c>
      <c r="P101" s="62">
        <v>0.5</v>
      </c>
      <c r="Q101" s="62">
        <v>1</v>
      </c>
      <c r="R101" s="62">
        <v>2</v>
      </c>
      <c r="S101" s="62">
        <v>5</v>
      </c>
      <c r="T101" s="62">
        <v>10</v>
      </c>
      <c r="U101" s="62">
        <v>20</v>
      </c>
      <c r="V101" s="62">
        <v>50</v>
      </c>
      <c r="W101" s="54"/>
      <c r="X101" s="54"/>
      <c r="Y101" s="63"/>
      <c r="Z101" s="63"/>
      <c r="AA101" s="64"/>
      <c r="AB101" s="54"/>
      <c r="AC101" s="54"/>
      <c r="AD101" s="54"/>
      <c r="AE101" s="54"/>
      <c r="AF101" s="54"/>
    </row>
    <row r="102" spans="1:33" ht="12.75" x14ac:dyDescent="0.2">
      <c r="A102" s="55" t="s">
        <v>200</v>
      </c>
      <c r="B102" s="65">
        <v>42</v>
      </c>
      <c r="C102" s="65">
        <v>14</v>
      </c>
      <c r="D102" s="65">
        <v>19</v>
      </c>
      <c r="E102" s="65">
        <v>33</v>
      </c>
      <c r="F102" s="65">
        <v>13</v>
      </c>
      <c r="G102" s="65">
        <v>10</v>
      </c>
      <c r="H102" s="65">
        <v>2</v>
      </c>
      <c r="I102" s="65">
        <v>2</v>
      </c>
      <c r="J102" s="54"/>
      <c r="K102" s="56"/>
      <c r="L102" s="55" t="s">
        <v>200</v>
      </c>
      <c r="M102" s="65">
        <v>51</v>
      </c>
      <c r="N102" s="65">
        <v>33</v>
      </c>
      <c r="O102" s="65">
        <v>3</v>
      </c>
      <c r="P102" s="65">
        <v>22</v>
      </c>
      <c r="Q102" s="65">
        <v>12</v>
      </c>
      <c r="R102" s="65">
        <v>10</v>
      </c>
      <c r="S102" s="65">
        <v>8</v>
      </c>
      <c r="T102" s="65">
        <v>7</v>
      </c>
      <c r="U102" s="65">
        <v>4</v>
      </c>
      <c r="V102" s="65">
        <v>3</v>
      </c>
      <c r="W102" s="54"/>
      <c r="X102" s="54"/>
      <c r="Y102" s="63"/>
      <c r="Z102" s="63"/>
      <c r="AA102" s="64"/>
      <c r="AB102" s="54"/>
      <c r="AC102" s="54"/>
      <c r="AD102" s="54"/>
      <c r="AE102" s="54"/>
      <c r="AF102" s="54"/>
    </row>
    <row r="103" spans="1:33" ht="12.75" x14ac:dyDescent="0.2">
      <c r="A103" s="55" t="s">
        <v>141</v>
      </c>
      <c r="B103" s="65">
        <f t="shared" ref="B103:I103" si="36">B102*B101</f>
        <v>2.1</v>
      </c>
      <c r="C103" s="65">
        <f t="shared" si="36"/>
        <v>1.4000000000000001</v>
      </c>
      <c r="D103" s="65">
        <f t="shared" si="36"/>
        <v>3.8000000000000003</v>
      </c>
      <c r="E103" s="65">
        <f t="shared" si="36"/>
        <v>16.5</v>
      </c>
      <c r="F103" s="65">
        <f t="shared" si="36"/>
        <v>13</v>
      </c>
      <c r="G103" s="65">
        <f t="shared" si="36"/>
        <v>20</v>
      </c>
      <c r="H103" s="65">
        <f t="shared" si="36"/>
        <v>10</v>
      </c>
      <c r="I103" s="65">
        <f t="shared" si="36"/>
        <v>20</v>
      </c>
      <c r="J103" s="54">
        <f>SUM(B103:I103)</f>
        <v>86.8</v>
      </c>
      <c r="K103" s="56"/>
      <c r="L103" s="55" t="s">
        <v>141</v>
      </c>
      <c r="M103" s="65">
        <f t="shared" ref="M103:V103" si="37">M102*M101</f>
        <v>2.5500000000000003</v>
      </c>
      <c r="N103" s="65">
        <f t="shared" si="37"/>
        <v>3.3000000000000003</v>
      </c>
      <c r="O103" s="65">
        <f t="shared" si="37"/>
        <v>0.60000000000000009</v>
      </c>
      <c r="P103" s="65">
        <f t="shared" si="37"/>
        <v>11</v>
      </c>
      <c r="Q103" s="65">
        <f t="shared" si="37"/>
        <v>12</v>
      </c>
      <c r="R103" s="65">
        <f t="shared" si="37"/>
        <v>20</v>
      </c>
      <c r="S103" s="65">
        <f t="shared" si="37"/>
        <v>40</v>
      </c>
      <c r="T103" s="65">
        <f t="shared" si="37"/>
        <v>70</v>
      </c>
      <c r="U103" s="65">
        <f t="shared" si="37"/>
        <v>80</v>
      </c>
      <c r="V103" s="65">
        <f t="shared" si="37"/>
        <v>150</v>
      </c>
      <c r="W103" s="54">
        <f>SUM(M103:V103)</f>
        <v>389.45</v>
      </c>
      <c r="X103" s="55">
        <f>W103-J103</f>
        <v>302.64999999999998</v>
      </c>
      <c r="Y103" s="63">
        <v>144.5</v>
      </c>
      <c r="Z103" s="63">
        <v>29.1</v>
      </c>
      <c r="AA103" s="66">
        <f>X103+Z103</f>
        <v>331.75</v>
      </c>
      <c r="AB103" s="55">
        <f>SUM(Y103+Z103)*0.3</f>
        <v>52.08</v>
      </c>
      <c r="AC103" s="55">
        <f>Y103-AB103</f>
        <v>92.42</v>
      </c>
      <c r="AD103" s="55">
        <f>X103-Y103</f>
        <v>158.14999999999998</v>
      </c>
      <c r="AE103" s="55">
        <v>0</v>
      </c>
      <c r="AF103" s="55">
        <f>AD103-AE103</f>
        <v>158.14999999999998</v>
      </c>
      <c r="AG103" s="61"/>
    </row>
    <row r="104" spans="1:33" ht="12.75" x14ac:dyDescent="0.2">
      <c r="K104" s="56"/>
      <c r="Y104" s="51"/>
      <c r="Z104" s="51">
        <v>-3.5</v>
      </c>
      <c r="AA104" s="67"/>
      <c r="AC104" s="38">
        <v>-51</v>
      </c>
    </row>
    <row r="105" spans="1:33" ht="12.75" x14ac:dyDescent="0.2">
      <c r="K105" s="56"/>
      <c r="Y105" s="51"/>
      <c r="Z105" s="51"/>
      <c r="AA105" s="67"/>
    </row>
    <row r="106" spans="1:33" ht="51" x14ac:dyDescent="0.2">
      <c r="A106" s="52" t="s">
        <v>135</v>
      </c>
      <c r="B106" s="53">
        <v>45585</v>
      </c>
      <c r="C106" s="54"/>
      <c r="D106" s="54"/>
      <c r="E106" s="54"/>
      <c r="F106" s="54"/>
      <c r="G106" s="54"/>
      <c r="H106" s="54"/>
      <c r="I106" s="54"/>
      <c r="J106" s="55" t="s">
        <v>141</v>
      </c>
      <c r="K106" s="56"/>
      <c r="L106" s="52" t="s">
        <v>136</v>
      </c>
      <c r="M106" s="53">
        <v>45585</v>
      </c>
      <c r="N106" s="54"/>
      <c r="O106" s="54"/>
      <c r="P106" s="54"/>
      <c r="Q106" s="54"/>
      <c r="R106" s="54"/>
      <c r="S106" s="54"/>
      <c r="T106" s="54"/>
      <c r="U106" s="54"/>
      <c r="V106" s="54"/>
      <c r="W106" s="55" t="s">
        <v>141</v>
      </c>
      <c r="X106" s="57" t="s">
        <v>192</v>
      </c>
      <c r="Y106" s="58" t="s">
        <v>142</v>
      </c>
      <c r="Z106" s="59" t="s">
        <v>193</v>
      </c>
      <c r="AA106" s="60" t="s">
        <v>194</v>
      </c>
      <c r="AB106" s="57" t="s">
        <v>165</v>
      </c>
      <c r="AC106" s="55" t="s">
        <v>195</v>
      </c>
      <c r="AD106" s="55" t="s">
        <v>196</v>
      </c>
      <c r="AE106" s="57" t="s">
        <v>197</v>
      </c>
      <c r="AF106" s="55" t="s">
        <v>198</v>
      </c>
      <c r="AG106" s="61"/>
    </row>
    <row r="107" spans="1:33" ht="12.75" x14ac:dyDescent="0.2">
      <c r="A107" s="55" t="s">
        <v>199</v>
      </c>
      <c r="B107" s="62">
        <v>0.05</v>
      </c>
      <c r="C107" s="62">
        <v>0.1</v>
      </c>
      <c r="D107" s="62">
        <v>0.2</v>
      </c>
      <c r="E107" s="62">
        <v>0.5</v>
      </c>
      <c r="F107" s="62">
        <v>1</v>
      </c>
      <c r="G107" s="62">
        <v>2</v>
      </c>
      <c r="H107" s="62">
        <v>5</v>
      </c>
      <c r="I107" s="62">
        <v>10</v>
      </c>
      <c r="K107" s="56"/>
      <c r="L107" s="55" t="s">
        <v>199</v>
      </c>
      <c r="M107" s="62">
        <v>0.05</v>
      </c>
      <c r="N107" s="62">
        <v>0.1</v>
      </c>
      <c r="O107" s="62">
        <v>0.2</v>
      </c>
      <c r="P107" s="62">
        <v>0.5</v>
      </c>
      <c r="Q107" s="62">
        <v>1</v>
      </c>
      <c r="R107" s="62">
        <v>2</v>
      </c>
      <c r="S107" s="62">
        <v>5</v>
      </c>
      <c r="T107" s="62">
        <v>10</v>
      </c>
      <c r="U107" s="62">
        <v>20</v>
      </c>
      <c r="V107" s="62">
        <v>50</v>
      </c>
      <c r="W107" s="54"/>
      <c r="X107" s="54"/>
      <c r="Y107" s="63"/>
      <c r="Z107" s="63"/>
      <c r="AA107" s="64"/>
      <c r="AB107" s="54"/>
      <c r="AC107" s="54"/>
      <c r="AD107" s="54"/>
      <c r="AE107" s="54"/>
      <c r="AF107" s="54"/>
    </row>
    <row r="108" spans="1:33" ht="12.75" x14ac:dyDescent="0.2">
      <c r="A108" s="55" t="s">
        <v>200</v>
      </c>
      <c r="B108" s="65">
        <v>51</v>
      </c>
      <c r="C108" s="65">
        <v>33</v>
      </c>
      <c r="D108" s="65">
        <v>3</v>
      </c>
      <c r="E108" s="65">
        <v>22</v>
      </c>
      <c r="F108" s="65">
        <v>12</v>
      </c>
      <c r="G108" s="65">
        <v>10</v>
      </c>
      <c r="H108" s="65">
        <v>2</v>
      </c>
      <c r="I108" s="65">
        <v>1</v>
      </c>
      <c r="J108" s="54"/>
      <c r="K108" s="56"/>
      <c r="L108" s="55" t="s">
        <v>200</v>
      </c>
      <c r="M108" s="65">
        <v>51</v>
      </c>
      <c r="N108" s="65">
        <v>9</v>
      </c>
      <c r="O108" s="65">
        <v>3</v>
      </c>
      <c r="P108" s="65">
        <v>15</v>
      </c>
      <c r="Q108" s="65">
        <v>7</v>
      </c>
      <c r="R108" s="65">
        <v>4</v>
      </c>
      <c r="S108" s="65">
        <v>4</v>
      </c>
      <c r="T108" s="65">
        <v>1</v>
      </c>
      <c r="U108" s="65">
        <v>5</v>
      </c>
      <c r="V108" s="65">
        <v>1</v>
      </c>
      <c r="W108" s="54"/>
      <c r="X108" s="54"/>
      <c r="Y108" s="63"/>
      <c r="Z108" s="63"/>
      <c r="AA108" s="64"/>
      <c r="AB108" s="54"/>
      <c r="AC108" s="54"/>
      <c r="AD108" s="54"/>
      <c r="AE108" s="54"/>
      <c r="AF108" s="54"/>
    </row>
    <row r="109" spans="1:33" ht="12.75" x14ac:dyDescent="0.2">
      <c r="A109" s="55" t="s">
        <v>141</v>
      </c>
      <c r="B109" s="65">
        <f t="shared" ref="B109:I109" si="38">B108*B107</f>
        <v>2.5500000000000003</v>
      </c>
      <c r="C109" s="65">
        <f t="shared" si="38"/>
        <v>3.3000000000000003</v>
      </c>
      <c r="D109" s="65">
        <f t="shared" si="38"/>
        <v>0.60000000000000009</v>
      </c>
      <c r="E109" s="65">
        <f t="shared" si="38"/>
        <v>11</v>
      </c>
      <c r="F109" s="65">
        <f t="shared" si="38"/>
        <v>12</v>
      </c>
      <c r="G109" s="65">
        <f t="shared" si="38"/>
        <v>20</v>
      </c>
      <c r="H109" s="65">
        <f t="shared" si="38"/>
        <v>10</v>
      </c>
      <c r="I109" s="65">
        <f t="shared" si="38"/>
        <v>10</v>
      </c>
      <c r="J109" s="54">
        <f>SUM(B109:I109)</f>
        <v>69.45</v>
      </c>
      <c r="K109" s="56"/>
      <c r="L109" s="55" t="s">
        <v>141</v>
      </c>
      <c r="M109" s="65">
        <f t="shared" ref="M109:V109" si="39">M108*M107</f>
        <v>2.5500000000000003</v>
      </c>
      <c r="N109" s="65">
        <f t="shared" si="39"/>
        <v>0.9</v>
      </c>
      <c r="O109" s="65">
        <f t="shared" si="39"/>
        <v>0.60000000000000009</v>
      </c>
      <c r="P109" s="65">
        <f t="shared" si="39"/>
        <v>7.5</v>
      </c>
      <c r="Q109" s="65">
        <f t="shared" si="39"/>
        <v>7</v>
      </c>
      <c r="R109" s="65">
        <f t="shared" si="39"/>
        <v>8</v>
      </c>
      <c r="S109" s="65">
        <f t="shared" si="39"/>
        <v>20</v>
      </c>
      <c r="T109" s="65">
        <f t="shared" si="39"/>
        <v>10</v>
      </c>
      <c r="U109" s="65">
        <f t="shared" si="39"/>
        <v>100</v>
      </c>
      <c r="V109" s="65">
        <f t="shared" si="39"/>
        <v>50</v>
      </c>
      <c r="W109" s="54">
        <f>SUM(M109:V109)</f>
        <v>206.55</v>
      </c>
      <c r="X109" s="55">
        <f>W109-J109</f>
        <v>137.10000000000002</v>
      </c>
      <c r="Y109" s="63">
        <v>80</v>
      </c>
      <c r="Z109" s="63">
        <v>28.2</v>
      </c>
      <c r="AA109" s="66">
        <f>X109+Z109</f>
        <v>165.3</v>
      </c>
      <c r="AB109" s="55">
        <f>40</f>
        <v>40</v>
      </c>
      <c r="AC109" s="55">
        <f>Y109-AB109</f>
        <v>40</v>
      </c>
      <c r="AD109" s="55">
        <f>X109-Y109</f>
        <v>57.100000000000023</v>
      </c>
      <c r="AE109" s="55">
        <f>AD109*0.2</f>
        <v>11.420000000000005</v>
      </c>
      <c r="AF109" s="55">
        <f>AD109-AE109</f>
        <v>45.680000000000021</v>
      </c>
      <c r="AG109" s="61"/>
    </row>
    <row r="110" spans="1:33" ht="12.75" x14ac:dyDescent="0.2">
      <c r="K110" s="56"/>
      <c r="Y110" s="51"/>
      <c r="Z110" s="51"/>
      <c r="AA110" s="67"/>
      <c r="AC110" s="38">
        <v>-10</v>
      </c>
    </row>
    <row r="111" spans="1:33" ht="12.75" x14ac:dyDescent="0.2">
      <c r="K111" s="56"/>
      <c r="Y111" s="51"/>
      <c r="Z111" s="51"/>
      <c r="AA111" s="67"/>
    </row>
    <row r="112" spans="1:33" ht="51" x14ac:dyDescent="0.2">
      <c r="A112" s="52" t="s">
        <v>135</v>
      </c>
      <c r="B112" s="53">
        <v>45586</v>
      </c>
      <c r="C112" s="54"/>
      <c r="D112" s="54"/>
      <c r="E112" s="54"/>
      <c r="F112" s="54"/>
      <c r="G112" s="54"/>
      <c r="H112" s="54"/>
      <c r="I112" s="54"/>
      <c r="J112" s="55" t="s">
        <v>141</v>
      </c>
      <c r="K112" s="56"/>
      <c r="L112" s="52" t="s">
        <v>136</v>
      </c>
      <c r="M112" s="53">
        <v>45586</v>
      </c>
      <c r="N112" s="54"/>
      <c r="O112" s="54"/>
      <c r="P112" s="54"/>
      <c r="Q112" s="54"/>
      <c r="R112" s="54"/>
      <c r="S112" s="54"/>
      <c r="T112" s="54"/>
      <c r="U112" s="54"/>
      <c r="V112" s="54"/>
      <c r="W112" s="55" t="s">
        <v>141</v>
      </c>
      <c r="X112" s="57" t="s">
        <v>192</v>
      </c>
      <c r="Y112" s="58" t="s">
        <v>142</v>
      </c>
      <c r="Z112" s="59" t="s">
        <v>193</v>
      </c>
      <c r="AA112" s="60" t="s">
        <v>194</v>
      </c>
      <c r="AB112" s="57" t="s">
        <v>165</v>
      </c>
      <c r="AC112" s="55" t="s">
        <v>195</v>
      </c>
      <c r="AD112" s="55" t="s">
        <v>196</v>
      </c>
      <c r="AE112" s="57" t="s">
        <v>197</v>
      </c>
      <c r="AF112" s="55" t="s">
        <v>198</v>
      </c>
      <c r="AG112" s="61"/>
    </row>
    <row r="113" spans="1:33" ht="12.75" x14ac:dyDescent="0.2">
      <c r="A113" s="55" t="s">
        <v>199</v>
      </c>
      <c r="B113" s="62">
        <v>0.05</v>
      </c>
      <c r="C113" s="62">
        <v>0.1</v>
      </c>
      <c r="D113" s="62">
        <v>0.2</v>
      </c>
      <c r="E113" s="62">
        <v>0.5</v>
      </c>
      <c r="F113" s="62">
        <v>1</v>
      </c>
      <c r="G113" s="62">
        <v>2</v>
      </c>
      <c r="H113" s="62">
        <v>5</v>
      </c>
      <c r="I113" s="62">
        <v>10</v>
      </c>
      <c r="K113" s="56"/>
      <c r="L113" s="55" t="s">
        <v>199</v>
      </c>
      <c r="M113" s="62">
        <v>0.05</v>
      </c>
      <c r="N113" s="62">
        <v>0.1</v>
      </c>
      <c r="O113" s="62">
        <v>0.2</v>
      </c>
      <c r="P113" s="62">
        <v>0.5</v>
      </c>
      <c r="Q113" s="62">
        <v>1</v>
      </c>
      <c r="R113" s="62">
        <v>2</v>
      </c>
      <c r="S113" s="62">
        <v>5</v>
      </c>
      <c r="T113" s="62">
        <v>10</v>
      </c>
      <c r="U113" s="62">
        <v>20</v>
      </c>
      <c r="V113" s="62">
        <v>50</v>
      </c>
      <c r="W113" s="54"/>
      <c r="X113" s="54"/>
      <c r="Y113" s="63"/>
      <c r="Z113" s="63"/>
      <c r="AA113" s="64"/>
      <c r="AB113" s="54"/>
      <c r="AC113" s="54"/>
      <c r="AD113" s="54"/>
      <c r="AE113" s="54"/>
      <c r="AF113" s="54"/>
    </row>
    <row r="114" spans="1:33" ht="12.75" x14ac:dyDescent="0.2">
      <c r="A114" s="55" t="s">
        <v>200</v>
      </c>
      <c r="B114" s="65">
        <v>51</v>
      </c>
      <c r="C114" s="65">
        <v>11</v>
      </c>
      <c r="D114" s="65">
        <v>11</v>
      </c>
      <c r="E114" s="65">
        <v>20</v>
      </c>
      <c r="F114" s="65">
        <v>12</v>
      </c>
      <c r="G114" s="65">
        <v>9</v>
      </c>
      <c r="H114" s="65">
        <v>2</v>
      </c>
      <c r="I114" s="65">
        <v>2</v>
      </c>
      <c r="J114" s="54"/>
      <c r="K114" s="56"/>
      <c r="L114" s="55" t="s">
        <v>200</v>
      </c>
      <c r="M114" s="65">
        <v>60</v>
      </c>
      <c r="N114" s="65">
        <v>14</v>
      </c>
      <c r="O114" s="65">
        <v>15</v>
      </c>
      <c r="P114" s="65">
        <v>9</v>
      </c>
      <c r="Q114" s="65">
        <v>16</v>
      </c>
      <c r="R114" s="65">
        <v>6</v>
      </c>
      <c r="S114" s="65">
        <v>8</v>
      </c>
      <c r="T114" s="65">
        <v>3</v>
      </c>
      <c r="U114" s="65">
        <v>6</v>
      </c>
      <c r="V114" s="65">
        <v>2</v>
      </c>
      <c r="W114" s="54"/>
      <c r="X114" s="54"/>
      <c r="Y114" s="63"/>
      <c r="Z114" s="63"/>
      <c r="AA114" s="64"/>
      <c r="AB114" s="54"/>
      <c r="AC114" s="54"/>
      <c r="AD114" s="54"/>
      <c r="AE114" s="54"/>
      <c r="AF114" s="54"/>
    </row>
    <row r="115" spans="1:33" ht="12.75" x14ac:dyDescent="0.2">
      <c r="A115" s="55" t="s">
        <v>141</v>
      </c>
      <c r="B115" s="65">
        <f t="shared" ref="B115:I115" si="40">B114*B113</f>
        <v>2.5500000000000003</v>
      </c>
      <c r="C115" s="65">
        <f t="shared" si="40"/>
        <v>1.1000000000000001</v>
      </c>
      <c r="D115" s="65">
        <f t="shared" si="40"/>
        <v>2.2000000000000002</v>
      </c>
      <c r="E115" s="65">
        <f t="shared" si="40"/>
        <v>10</v>
      </c>
      <c r="F115" s="65">
        <f t="shared" si="40"/>
        <v>12</v>
      </c>
      <c r="G115" s="65">
        <f t="shared" si="40"/>
        <v>18</v>
      </c>
      <c r="H115" s="65">
        <f t="shared" si="40"/>
        <v>10</v>
      </c>
      <c r="I115" s="65">
        <f t="shared" si="40"/>
        <v>20</v>
      </c>
      <c r="J115" s="54">
        <f>SUM(B115:I115)</f>
        <v>75.849999999999994</v>
      </c>
      <c r="K115" s="56"/>
      <c r="L115" s="55" t="s">
        <v>141</v>
      </c>
      <c r="M115" s="65">
        <f t="shared" ref="M115:V115" si="41">M114*M113</f>
        <v>3</v>
      </c>
      <c r="N115" s="65">
        <f t="shared" si="41"/>
        <v>1.4000000000000001</v>
      </c>
      <c r="O115" s="65">
        <f t="shared" si="41"/>
        <v>3</v>
      </c>
      <c r="P115" s="65">
        <f t="shared" si="41"/>
        <v>4.5</v>
      </c>
      <c r="Q115" s="65">
        <f t="shared" si="41"/>
        <v>16</v>
      </c>
      <c r="R115" s="65">
        <f t="shared" si="41"/>
        <v>12</v>
      </c>
      <c r="S115" s="65">
        <f t="shared" si="41"/>
        <v>40</v>
      </c>
      <c r="T115" s="65">
        <f t="shared" si="41"/>
        <v>30</v>
      </c>
      <c r="U115" s="65">
        <f t="shared" si="41"/>
        <v>120</v>
      </c>
      <c r="V115" s="65">
        <f t="shared" si="41"/>
        <v>100</v>
      </c>
      <c r="W115" s="54">
        <f>SUM(M115:V115)</f>
        <v>329.9</v>
      </c>
      <c r="X115" s="55">
        <f>W115-J115</f>
        <v>254.04999999999998</v>
      </c>
      <c r="Y115" s="63">
        <v>120.6</v>
      </c>
      <c r="Z115" s="63">
        <v>94.1</v>
      </c>
      <c r="AA115" s="66">
        <f>X115+Z115</f>
        <v>348.15</v>
      </c>
      <c r="AB115" s="55">
        <f>60</f>
        <v>60</v>
      </c>
      <c r="AC115" s="55">
        <f>Y115-AB115</f>
        <v>60.599999999999994</v>
      </c>
      <c r="AD115" s="55">
        <f>X115-Y115</f>
        <v>133.44999999999999</v>
      </c>
      <c r="AE115" s="55">
        <v>50</v>
      </c>
      <c r="AF115" s="55">
        <f>AD115-AE115</f>
        <v>83.449999999999989</v>
      </c>
      <c r="AG115" s="61"/>
    </row>
    <row r="116" spans="1:33" ht="12.75" x14ac:dyDescent="0.2">
      <c r="K116" s="56"/>
      <c r="Y116" s="51"/>
      <c r="Z116" s="51"/>
      <c r="AA116" s="67"/>
      <c r="AC116" s="38">
        <v>-46</v>
      </c>
      <c r="AF116" s="38">
        <v>-20</v>
      </c>
    </row>
    <row r="117" spans="1:33" ht="12.75" x14ac:dyDescent="0.2">
      <c r="K117" s="56"/>
      <c r="Y117" s="51"/>
      <c r="Z117" s="51"/>
      <c r="AA117" s="67"/>
    </row>
    <row r="118" spans="1:33" ht="51" x14ac:dyDescent="0.2">
      <c r="A118" s="52" t="s">
        <v>135</v>
      </c>
      <c r="B118" s="53">
        <v>45587</v>
      </c>
      <c r="C118" s="54"/>
      <c r="D118" s="54"/>
      <c r="E118" s="54"/>
      <c r="F118" s="54"/>
      <c r="G118" s="54"/>
      <c r="H118" s="54"/>
      <c r="I118" s="54"/>
      <c r="J118" s="55" t="s">
        <v>141</v>
      </c>
      <c r="K118" s="56"/>
      <c r="L118" s="52" t="s">
        <v>136</v>
      </c>
      <c r="M118" s="53">
        <v>45587</v>
      </c>
      <c r="N118" s="54"/>
      <c r="O118" s="54"/>
      <c r="P118" s="54"/>
      <c r="Q118" s="54"/>
      <c r="R118" s="54"/>
      <c r="S118" s="54"/>
      <c r="T118" s="54"/>
      <c r="U118" s="54"/>
      <c r="V118" s="54"/>
      <c r="W118" s="55" t="s">
        <v>141</v>
      </c>
      <c r="X118" s="57" t="s">
        <v>192</v>
      </c>
      <c r="Y118" s="58" t="s">
        <v>142</v>
      </c>
      <c r="Z118" s="59" t="s">
        <v>193</v>
      </c>
      <c r="AA118" s="60" t="s">
        <v>194</v>
      </c>
      <c r="AB118" s="57" t="s">
        <v>165</v>
      </c>
      <c r="AC118" s="55" t="s">
        <v>195</v>
      </c>
      <c r="AD118" s="55" t="s">
        <v>196</v>
      </c>
      <c r="AE118" s="57" t="s">
        <v>197</v>
      </c>
      <c r="AF118" s="55" t="s">
        <v>198</v>
      </c>
      <c r="AG118" s="61"/>
    </row>
    <row r="119" spans="1:33" ht="12.75" x14ac:dyDescent="0.2">
      <c r="A119" s="55" t="s">
        <v>199</v>
      </c>
      <c r="B119" s="62">
        <v>0.05</v>
      </c>
      <c r="C119" s="62">
        <v>0.1</v>
      </c>
      <c r="D119" s="62">
        <v>0.2</v>
      </c>
      <c r="E119" s="62">
        <v>0.5</v>
      </c>
      <c r="F119" s="62">
        <v>1</v>
      </c>
      <c r="G119" s="62">
        <v>2</v>
      </c>
      <c r="H119" s="62">
        <v>5</v>
      </c>
      <c r="I119" s="62">
        <v>10</v>
      </c>
      <c r="K119" s="56"/>
      <c r="L119" s="55" t="s">
        <v>199</v>
      </c>
      <c r="M119" s="62">
        <v>0.05</v>
      </c>
      <c r="N119" s="62">
        <v>0.1</v>
      </c>
      <c r="O119" s="62">
        <v>0.2</v>
      </c>
      <c r="P119" s="62">
        <v>0.5</v>
      </c>
      <c r="Q119" s="62">
        <v>1</v>
      </c>
      <c r="R119" s="62">
        <v>2</v>
      </c>
      <c r="S119" s="62">
        <v>5</v>
      </c>
      <c r="T119" s="62">
        <v>10</v>
      </c>
      <c r="U119" s="62">
        <v>20</v>
      </c>
      <c r="V119" s="62">
        <v>50</v>
      </c>
      <c r="W119" s="54"/>
      <c r="X119" s="54"/>
      <c r="Y119" s="63"/>
      <c r="Z119" s="63"/>
      <c r="AA119" s="64"/>
      <c r="AB119" s="54"/>
      <c r="AC119" s="54"/>
      <c r="AD119" s="54"/>
      <c r="AE119" s="54"/>
      <c r="AF119" s="54"/>
    </row>
    <row r="120" spans="1:33" ht="12.75" x14ac:dyDescent="0.2">
      <c r="A120" s="55" t="s">
        <v>200</v>
      </c>
      <c r="B120" s="65">
        <v>60</v>
      </c>
      <c r="C120" s="65">
        <v>14</v>
      </c>
      <c r="D120" s="65">
        <v>15</v>
      </c>
      <c r="E120" s="65">
        <v>9</v>
      </c>
      <c r="F120" s="65">
        <v>16</v>
      </c>
      <c r="G120" s="65">
        <v>6</v>
      </c>
      <c r="H120" s="65">
        <v>3</v>
      </c>
      <c r="I120" s="65">
        <v>2</v>
      </c>
      <c r="J120" s="54"/>
      <c r="K120" s="56"/>
      <c r="L120" s="55" t="s">
        <v>200</v>
      </c>
      <c r="M120" s="65">
        <v>58</v>
      </c>
      <c r="N120" s="65">
        <v>19</v>
      </c>
      <c r="O120" s="65">
        <v>2</v>
      </c>
      <c r="P120" s="65">
        <v>15</v>
      </c>
      <c r="Q120" s="65">
        <v>15</v>
      </c>
      <c r="R120" s="65">
        <v>10</v>
      </c>
      <c r="S120" s="65">
        <v>2</v>
      </c>
      <c r="T120" s="65"/>
      <c r="U120" s="65">
        <v>5</v>
      </c>
      <c r="V120" s="65">
        <v>4</v>
      </c>
      <c r="W120" s="54"/>
      <c r="X120" s="54"/>
      <c r="Y120" s="63"/>
      <c r="Z120" s="63"/>
      <c r="AA120" s="64"/>
      <c r="AB120" s="54"/>
      <c r="AC120" s="54"/>
      <c r="AD120" s="54"/>
      <c r="AE120" s="54"/>
      <c r="AF120" s="54"/>
    </row>
    <row r="121" spans="1:33" ht="12.75" x14ac:dyDescent="0.2">
      <c r="A121" s="55" t="s">
        <v>141</v>
      </c>
      <c r="B121" s="65">
        <f t="shared" ref="B121:I121" si="42">B120*B119</f>
        <v>3</v>
      </c>
      <c r="C121" s="65">
        <f t="shared" si="42"/>
        <v>1.4000000000000001</v>
      </c>
      <c r="D121" s="65">
        <f t="shared" si="42"/>
        <v>3</v>
      </c>
      <c r="E121" s="65">
        <f t="shared" si="42"/>
        <v>4.5</v>
      </c>
      <c r="F121" s="65">
        <f t="shared" si="42"/>
        <v>16</v>
      </c>
      <c r="G121" s="65">
        <f t="shared" si="42"/>
        <v>12</v>
      </c>
      <c r="H121" s="65">
        <f t="shared" si="42"/>
        <v>15</v>
      </c>
      <c r="I121" s="65">
        <f t="shared" si="42"/>
        <v>20</v>
      </c>
      <c r="J121" s="54">
        <f>SUM(B121:I121)</f>
        <v>74.900000000000006</v>
      </c>
      <c r="K121" s="56"/>
      <c r="L121" s="55" t="s">
        <v>141</v>
      </c>
      <c r="M121" s="65">
        <f t="shared" ref="M121:V121" si="43">M120*M119</f>
        <v>2.9000000000000004</v>
      </c>
      <c r="N121" s="65">
        <f t="shared" si="43"/>
        <v>1.9000000000000001</v>
      </c>
      <c r="O121" s="65">
        <f t="shared" si="43"/>
        <v>0.4</v>
      </c>
      <c r="P121" s="65">
        <f t="shared" si="43"/>
        <v>7.5</v>
      </c>
      <c r="Q121" s="65">
        <f t="shared" si="43"/>
        <v>15</v>
      </c>
      <c r="R121" s="65">
        <f t="shared" si="43"/>
        <v>20</v>
      </c>
      <c r="S121" s="65">
        <f t="shared" si="43"/>
        <v>10</v>
      </c>
      <c r="T121" s="65">
        <f t="shared" si="43"/>
        <v>0</v>
      </c>
      <c r="U121" s="65">
        <f t="shared" si="43"/>
        <v>100</v>
      </c>
      <c r="V121" s="65">
        <f t="shared" si="43"/>
        <v>200</v>
      </c>
      <c r="W121" s="54">
        <f>SUM(M121:V121)</f>
        <v>357.7</v>
      </c>
      <c r="X121" s="55">
        <f>W121-J121</f>
        <v>282.79999999999995</v>
      </c>
      <c r="Y121" s="63">
        <v>117.1</v>
      </c>
      <c r="Z121" s="63">
        <v>73.400000000000006</v>
      </c>
      <c r="AA121" s="66">
        <f>X121+Z121</f>
        <v>356.19999999999993</v>
      </c>
      <c r="AB121" s="55">
        <f>55</f>
        <v>55</v>
      </c>
      <c r="AC121" s="55">
        <v>60</v>
      </c>
      <c r="AD121" s="55">
        <f>X121-Y121</f>
        <v>165.69999999999996</v>
      </c>
      <c r="AE121" s="55">
        <f>5</f>
        <v>5</v>
      </c>
      <c r="AF121" s="55">
        <f>AD121-AE121</f>
        <v>160.69999999999996</v>
      </c>
      <c r="AG121" s="61"/>
    </row>
    <row r="122" spans="1:33" ht="12.75" x14ac:dyDescent="0.2">
      <c r="K122" s="56"/>
      <c r="Y122" s="51"/>
      <c r="Z122" s="51"/>
      <c r="AA122" s="67"/>
    </row>
    <row r="123" spans="1:33" ht="12.75" x14ac:dyDescent="0.2">
      <c r="K123" s="56"/>
      <c r="Y123" s="51"/>
      <c r="Z123" s="51"/>
      <c r="AA123" s="67"/>
    </row>
    <row r="124" spans="1:33" ht="51" x14ac:dyDescent="0.2">
      <c r="A124" s="52" t="s">
        <v>135</v>
      </c>
      <c r="B124" s="53">
        <v>45588</v>
      </c>
      <c r="C124" s="54"/>
      <c r="D124" s="54"/>
      <c r="E124" s="54"/>
      <c r="F124" s="54"/>
      <c r="G124" s="54"/>
      <c r="H124" s="54"/>
      <c r="I124" s="54"/>
      <c r="J124" s="55" t="s">
        <v>141</v>
      </c>
      <c r="K124" s="56"/>
      <c r="L124" s="52" t="s">
        <v>136</v>
      </c>
      <c r="M124" s="53">
        <v>45588</v>
      </c>
      <c r="N124" s="54"/>
      <c r="O124" s="54"/>
      <c r="P124" s="54"/>
      <c r="Q124" s="54"/>
      <c r="R124" s="54"/>
      <c r="S124" s="54"/>
      <c r="T124" s="54"/>
      <c r="U124" s="54"/>
      <c r="V124" s="54"/>
      <c r="W124" s="55" t="s">
        <v>141</v>
      </c>
      <c r="X124" s="57" t="s">
        <v>192</v>
      </c>
      <c r="Y124" s="58" t="s">
        <v>142</v>
      </c>
      <c r="Z124" s="59" t="s">
        <v>193</v>
      </c>
      <c r="AA124" s="60" t="s">
        <v>194</v>
      </c>
      <c r="AB124" s="57" t="s">
        <v>165</v>
      </c>
      <c r="AC124" s="55" t="s">
        <v>195</v>
      </c>
      <c r="AD124" s="55" t="s">
        <v>196</v>
      </c>
      <c r="AE124" s="57" t="s">
        <v>197</v>
      </c>
      <c r="AF124" s="55" t="s">
        <v>198</v>
      </c>
      <c r="AG124" s="61"/>
    </row>
    <row r="125" spans="1:33" ht="12.75" x14ac:dyDescent="0.2">
      <c r="A125" s="55" t="s">
        <v>199</v>
      </c>
      <c r="B125" s="62">
        <v>0.05</v>
      </c>
      <c r="C125" s="62">
        <v>0.1</v>
      </c>
      <c r="D125" s="62">
        <v>0.2</v>
      </c>
      <c r="E125" s="62">
        <v>0.5</v>
      </c>
      <c r="F125" s="62">
        <v>1</v>
      </c>
      <c r="G125" s="62">
        <v>2</v>
      </c>
      <c r="H125" s="62">
        <v>5</v>
      </c>
      <c r="I125" s="62">
        <v>10</v>
      </c>
      <c r="K125" s="56"/>
      <c r="L125" s="55" t="s">
        <v>199</v>
      </c>
      <c r="M125" s="62">
        <v>0.05</v>
      </c>
      <c r="N125" s="62">
        <v>0.1</v>
      </c>
      <c r="O125" s="62">
        <v>0.2</v>
      </c>
      <c r="P125" s="62">
        <v>0.5</v>
      </c>
      <c r="Q125" s="62">
        <v>1</v>
      </c>
      <c r="R125" s="62">
        <v>2</v>
      </c>
      <c r="S125" s="62">
        <v>5</v>
      </c>
      <c r="T125" s="62">
        <v>10</v>
      </c>
      <c r="U125" s="62">
        <v>20</v>
      </c>
      <c r="V125" s="62">
        <v>50</v>
      </c>
      <c r="W125" s="54"/>
      <c r="X125" s="54"/>
      <c r="Y125" s="63"/>
      <c r="Z125" s="63"/>
      <c r="AA125" s="64"/>
      <c r="AB125" s="54"/>
      <c r="AC125" s="54"/>
      <c r="AD125" s="54"/>
      <c r="AE125" s="54"/>
      <c r="AF125" s="54"/>
    </row>
    <row r="126" spans="1:33" ht="12.75" x14ac:dyDescent="0.2">
      <c r="A126" s="55" t="s">
        <v>200</v>
      </c>
      <c r="B126" s="65">
        <v>58</v>
      </c>
      <c r="C126" s="65">
        <v>19</v>
      </c>
      <c r="D126" s="65">
        <v>2</v>
      </c>
      <c r="E126" s="65">
        <v>15</v>
      </c>
      <c r="F126" s="65">
        <v>15</v>
      </c>
      <c r="G126" s="65">
        <v>10</v>
      </c>
      <c r="H126" s="65">
        <v>2</v>
      </c>
      <c r="I126" s="65">
        <v>2</v>
      </c>
      <c r="J126" s="54"/>
      <c r="K126" s="56"/>
      <c r="L126" s="55" t="s">
        <v>200</v>
      </c>
      <c r="M126" s="65">
        <v>58</v>
      </c>
      <c r="N126" s="65">
        <v>33</v>
      </c>
      <c r="O126" s="65">
        <v>7</v>
      </c>
      <c r="P126" s="65">
        <v>17</v>
      </c>
      <c r="Q126" s="65">
        <v>11</v>
      </c>
      <c r="R126" s="65">
        <v>19</v>
      </c>
      <c r="S126" s="65">
        <v>10</v>
      </c>
      <c r="T126" s="65">
        <v>6</v>
      </c>
      <c r="U126" s="65">
        <v>3</v>
      </c>
      <c r="V126" s="65">
        <v>4</v>
      </c>
      <c r="W126" s="54"/>
      <c r="X126" s="54"/>
      <c r="Y126" s="63"/>
      <c r="Z126" s="63"/>
      <c r="AA126" s="64"/>
      <c r="AB126" s="54"/>
      <c r="AC126" s="54"/>
      <c r="AD126" s="54"/>
      <c r="AE126" s="54"/>
      <c r="AF126" s="54"/>
    </row>
    <row r="127" spans="1:33" ht="12.75" x14ac:dyDescent="0.2">
      <c r="A127" s="55" t="s">
        <v>141</v>
      </c>
      <c r="B127" s="65">
        <f t="shared" ref="B127:I127" si="44">B126*B125</f>
        <v>2.9000000000000004</v>
      </c>
      <c r="C127" s="65">
        <f t="shared" si="44"/>
        <v>1.9000000000000001</v>
      </c>
      <c r="D127" s="65">
        <f t="shared" si="44"/>
        <v>0.4</v>
      </c>
      <c r="E127" s="65">
        <f t="shared" si="44"/>
        <v>7.5</v>
      </c>
      <c r="F127" s="65">
        <f t="shared" si="44"/>
        <v>15</v>
      </c>
      <c r="G127" s="65">
        <f t="shared" si="44"/>
        <v>20</v>
      </c>
      <c r="H127" s="65">
        <f t="shared" si="44"/>
        <v>10</v>
      </c>
      <c r="I127" s="65">
        <f t="shared" si="44"/>
        <v>20</v>
      </c>
      <c r="J127" s="54">
        <f>SUM(B127:I127)</f>
        <v>77.7</v>
      </c>
      <c r="K127" s="56"/>
      <c r="L127" s="55" t="s">
        <v>141</v>
      </c>
      <c r="M127" s="65">
        <f t="shared" ref="M127:V127" si="45">M126*M125</f>
        <v>2.9000000000000004</v>
      </c>
      <c r="N127" s="65">
        <f t="shared" si="45"/>
        <v>3.3000000000000003</v>
      </c>
      <c r="O127" s="65">
        <f t="shared" si="45"/>
        <v>1.4000000000000001</v>
      </c>
      <c r="P127" s="65">
        <f t="shared" si="45"/>
        <v>8.5</v>
      </c>
      <c r="Q127" s="65">
        <f t="shared" si="45"/>
        <v>11</v>
      </c>
      <c r="R127" s="65">
        <f t="shared" si="45"/>
        <v>38</v>
      </c>
      <c r="S127" s="65">
        <f t="shared" si="45"/>
        <v>50</v>
      </c>
      <c r="T127" s="65">
        <f t="shared" si="45"/>
        <v>60</v>
      </c>
      <c r="U127" s="65">
        <f t="shared" si="45"/>
        <v>60</v>
      </c>
      <c r="V127" s="65">
        <f t="shared" si="45"/>
        <v>200</v>
      </c>
      <c r="W127" s="54">
        <f>SUM(M127:V127)</f>
        <v>435.1</v>
      </c>
      <c r="X127" s="55">
        <f>W127-J127</f>
        <v>357.40000000000003</v>
      </c>
      <c r="Y127" s="63">
        <v>136.19999999999999</v>
      </c>
      <c r="Z127" s="63">
        <v>63.2</v>
      </c>
      <c r="AA127" s="66">
        <f>X127+Z127</f>
        <v>420.6</v>
      </c>
      <c r="AB127" s="55">
        <f>SUM(Y127+Z127)*0.3</f>
        <v>59.819999999999993</v>
      </c>
      <c r="AC127" s="55">
        <f>Y127-AB127</f>
        <v>76.38</v>
      </c>
      <c r="AD127" s="55">
        <f>X127-Y127</f>
        <v>221.20000000000005</v>
      </c>
      <c r="AE127" s="55">
        <v>0</v>
      </c>
      <c r="AF127" s="55">
        <f>AD127-AE127</f>
        <v>221.20000000000005</v>
      </c>
      <c r="AG127" s="61"/>
    </row>
    <row r="128" spans="1:33" ht="12.75" x14ac:dyDescent="0.2">
      <c r="K128" s="56"/>
      <c r="Y128" s="51"/>
      <c r="Z128" s="51"/>
      <c r="AA128" s="67"/>
      <c r="AC128" s="38">
        <v>-15</v>
      </c>
    </row>
    <row r="129" spans="1:33" ht="12.75" x14ac:dyDescent="0.2">
      <c r="K129" s="56"/>
      <c r="Y129" s="51"/>
      <c r="Z129" s="51"/>
      <c r="AA129" s="67"/>
    </row>
    <row r="130" spans="1:33" ht="51" x14ac:dyDescent="0.2">
      <c r="A130" s="52" t="s">
        <v>135</v>
      </c>
      <c r="B130" s="53">
        <v>45589</v>
      </c>
      <c r="C130" s="54"/>
      <c r="D130" s="54"/>
      <c r="E130" s="54"/>
      <c r="F130" s="54"/>
      <c r="G130" s="54"/>
      <c r="H130" s="54"/>
      <c r="I130" s="54"/>
      <c r="J130" s="55" t="s">
        <v>141</v>
      </c>
      <c r="K130" s="56"/>
      <c r="L130" s="52" t="s">
        <v>136</v>
      </c>
      <c r="M130" s="53">
        <v>45589</v>
      </c>
      <c r="N130" s="54"/>
      <c r="O130" s="54"/>
      <c r="P130" s="54"/>
      <c r="Q130" s="54"/>
      <c r="R130" s="54"/>
      <c r="S130" s="54"/>
      <c r="T130" s="54"/>
      <c r="U130" s="54"/>
      <c r="V130" s="54"/>
      <c r="W130" s="55" t="s">
        <v>141</v>
      </c>
      <c r="X130" s="57" t="s">
        <v>192</v>
      </c>
      <c r="Y130" s="58" t="s">
        <v>142</v>
      </c>
      <c r="Z130" s="59" t="s">
        <v>193</v>
      </c>
      <c r="AA130" s="60" t="s">
        <v>194</v>
      </c>
      <c r="AB130" s="57" t="s">
        <v>165</v>
      </c>
      <c r="AC130" s="55" t="s">
        <v>195</v>
      </c>
      <c r="AD130" s="55" t="s">
        <v>196</v>
      </c>
      <c r="AE130" s="57" t="s">
        <v>197</v>
      </c>
      <c r="AF130" s="55" t="s">
        <v>198</v>
      </c>
      <c r="AG130" s="61"/>
    </row>
    <row r="131" spans="1:33" ht="12.75" x14ac:dyDescent="0.2">
      <c r="A131" s="55" t="s">
        <v>199</v>
      </c>
      <c r="B131" s="62">
        <v>0.05</v>
      </c>
      <c r="C131" s="62">
        <v>0.1</v>
      </c>
      <c r="D131" s="62">
        <v>0.2</v>
      </c>
      <c r="E131" s="62">
        <v>0.5</v>
      </c>
      <c r="F131" s="62">
        <v>1</v>
      </c>
      <c r="G131" s="62">
        <v>2</v>
      </c>
      <c r="H131" s="62">
        <v>5</v>
      </c>
      <c r="I131" s="62">
        <v>10</v>
      </c>
      <c r="K131" s="56"/>
      <c r="L131" s="55" t="s">
        <v>199</v>
      </c>
      <c r="M131" s="62">
        <v>0.05</v>
      </c>
      <c r="N131" s="62">
        <v>0.1</v>
      </c>
      <c r="O131" s="62">
        <v>0.2</v>
      </c>
      <c r="P131" s="62">
        <v>0.5</v>
      </c>
      <c r="Q131" s="62">
        <v>1</v>
      </c>
      <c r="R131" s="62">
        <v>2</v>
      </c>
      <c r="S131" s="62">
        <v>5</v>
      </c>
      <c r="T131" s="62">
        <v>10</v>
      </c>
      <c r="U131" s="62">
        <v>20</v>
      </c>
      <c r="V131" s="62">
        <v>50</v>
      </c>
      <c r="W131" s="54"/>
      <c r="X131" s="54"/>
      <c r="Y131" s="63"/>
      <c r="Z131" s="63"/>
      <c r="AA131" s="64"/>
      <c r="AB131" s="54"/>
      <c r="AC131" s="54"/>
      <c r="AD131" s="54"/>
      <c r="AE131" s="54"/>
      <c r="AF131" s="54"/>
    </row>
    <row r="132" spans="1:33" ht="12.75" x14ac:dyDescent="0.2">
      <c r="A132" s="55" t="s">
        <v>200</v>
      </c>
      <c r="B132" s="65">
        <v>58</v>
      </c>
      <c r="C132" s="65">
        <v>33</v>
      </c>
      <c r="D132" s="65">
        <v>7</v>
      </c>
      <c r="E132" s="65">
        <v>17</v>
      </c>
      <c r="F132" s="65">
        <v>11</v>
      </c>
      <c r="G132" s="65">
        <v>10</v>
      </c>
      <c r="H132" s="65">
        <v>2</v>
      </c>
      <c r="I132" s="65">
        <v>2</v>
      </c>
      <c r="J132" s="54"/>
      <c r="K132" s="56"/>
      <c r="L132" s="55" t="s">
        <v>200</v>
      </c>
      <c r="M132" s="65">
        <v>59</v>
      </c>
      <c r="N132" s="65">
        <v>21</v>
      </c>
      <c r="O132" s="65">
        <v>10</v>
      </c>
      <c r="P132" s="65">
        <v>18</v>
      </c>
      <c r="Q132" s="65">
        <v>21</v>
      </c>
      <c r="R132" s="65">
        <v>11</v>
      </c>
      <c r="S132" s="65">
        <v>4</v>
      </c>
      <c r="T132" s="65">
        <v>5</v>
      </c>
      <c r="U132" s="65">
        <v>7</v>
      </c>
      <c r="V132" s="65">
        <v>2</v>
      </c>
      <c r="W132" s="54"/>
      <c r="X132" s="54"/>
      <c r="Y132" s="63"/>
      <c r="Z132" s="63"/>
      <c r="AA132" s="64"/>
      <c r="AB132" s="54"/>
      <c r="AC132" s="54"/>
      <c r="AD132" s="54"/>
      <c r="AE132" s="54"/>
      <c r="AF132" s="54"/>
    </row>
    <row r="133" spans="1:33" ht="12.75" x14ac:dyDescent="0.2">
      <c r="A133" s="55" t="s">
        <v>141</v>
      </c>
      <c r="B133" s="65">
        <f t="shared" ref="B133:I133" si="46">B132*B131</f>
        <v>2.9000000000000004</v>
      </c>
      <c r="C133" s="65">
        <f t="shared" si="46"/>
        <v>3.3000000000000003</v>
      </c>
      <c r="D133" s="65">
        <f t="shared" si="46"/>
        <v>1.4000000000000001</v>
      </c>
      <c r="E133" s="65">
        <f t="shared" si="46"/>
        <v>8.5</v>
      </c>
      <c r="F133" s="65">
        <f t="shared" si="46"/>
        <v>11</v>
      </c>
      <c r="G133" s="65">
        <f t="shared" si="46"/>
        <v>20</v>
      </c>
      <c r="H133" s="65">
        <f t="shared" si="46"/>
        <v>10</v>
      </c>
      <c r="I133" s="65">
        <f t="shared" si="46"/>
        <v>20</v>
      </c>
      <c r="J133" s="54">
        <f>SUM(B133:I133)</f>
        <v>77.099999999999994</v>
      </c>
      <c r="K133" s="56"/>
      <c r="L133" s="55" t="s">
        <v>141</v>
      </c>
      <c r="M133" s="65">
        <f t="shared" ref="M133:V133" si="47">M132*M131</f>
        <v>2.95</v>
      </c>
      <c r="N133" s="65">
        <f t="shared" si="47"/>
        <v>2.1</v>
      </c>
      <c r="O133" s="65">
        <f t="shared" si="47"/>
        <v>2</v>
      </c>
      <c r="P133" s="65">
        <f t="shared" si="47"/>
        <v>9</v>
      </c>
      <c r="Q133" s="65">
        <f t="shared" si="47"/>
        <v>21</v>
      </c>
      <c r="R133" s="65">
        <f t="shared" si="47"/>
        <v>22</v>
      </c>
      <c r="S133" s="65">
        <f t="shared" si="47"/>
        <v>20</v>
      </c>
      <c r="T133" s="65">
        <f t="shared" si="47"/>
        <v>50</v>
      </c>
      <c r="U133" s="65">
        <f t="shared" si="47"/>
        <v>140</v>
      </c>
      <c r="V133" s="65">
        <f t="shared" si="47"/>
        <v>100</v>
      </c>
      <c r="W133" s="54">
        <f>SUM(M133:V133)</f>
        <v>369.05</v>
      </c>
      <c r="X133" s="55">
        <f>W133-J133</f>
        <v>291.95000000000005</v>
      </c>
      <c r="Y133" s="63">
        <v>125.2</v>
      </c>
      <c r="Z133" s="63">
        <v>89.9</v>
      </c>
      <c r="AA133" s="66">
        <f>X133+Z133</f>
        <v>381.85</v>
      </c>
      <c r="AB133" s="55">
        <v>60</v>
      </c>
      <c r="AC133" s="55">
        <f>Y133-AB133</f>
        <v>65.2</v>
      </c>
      <c r="AD133" s="55">
        <f>X133-Y133</f>
        <v>166.75000000000006</v>
      </c>
      <c r="AE133" s="55">
        <f>40</f>
        <v>40</v>
      </c>
      <c r="AF133" s="55">
        <f>115</f>
        <v>115</v>
      </c>
      <c r="AG133" s="61"/>
    </row>
    <row r="134" spans="1:33" ht="12.75" x14ac:dyDescent="0.2">
      <c r="K134" s="56"/>
      <c r="Y134" s="51"/>
      <c r="Z134" s="51"/>
      <c r="AA134" s="67"/>
    </row>
    <row r="135" spans="1:33" ht="12.75" x14ac:dyDescent="0.2">
      <c r="K135" s="56"/>
      <c r="Y135" s="51"/>
      <c r="Z135" s="51"/>
      <c r="AA135" s="67"/>
    </row>
    <row r="136" spans="1:33" ht="51" x14ac:dyDescent="0.2">
      <c r="A136" s="52" t="s">
        <v>135</v>
      </c>
      <c r="B136" s="53">
        <v>45590</v>
      </c>
      <c r="C136" s="54"/>
      <c r="D136" s="54"/>
      <c r="E136" s="54"/>
      <c r="F136" s="54"/>
      <c r="G136" s="54"/>
      <c r="H136" s="54"/>
      <c r="I136" s="54"/>
      <c r="J136" s="55" t="s">
        <v>141</v>
      </c>
      <c r="K136" s="56"/>
      <c r="L136" s="52" t="s">
        <v>136</v>
      </c>
      <c r="M136" s="53">
        <v>45590</v>
      </c>
      <c r="N136" s="54"/>
      <c r="O136" s="54"/>
      <c r="P136" s="54"/>
      <c r="Q136" s="54"/>
      <c r="R136" s="54"/>
      <c r="S136" s="54"/>
      <c r="T136" s="54"/>
      <c r="U136" s="54"/>
      <c r="V136" s="54"/>
      <c r="W136" s="55" t="s">
        <v>141</v>
      </c>
      <c r="X136" s="57" t="s">
        <v>192</v>
      </c>
      <c r="Y136" s="58" t="s">
        <v>142</v>
      </c>
      <c r="Z136" s="59" t="s">
        <v>193</v>
      </c>
      <c r="AA136" s="60" t="s">
        <v>194</v>
      </c>
      <c r="AB136" s="57" t="s">
        <v>165</v>
      </c>
      <c r="AC136" s="55" t="s">
        <v>195</v>
      </c>
      <c r="AD136" s="55" t="s">
        <v>196</v>
      </c>
      <c r="AE136" s="57" t="s">
        <v>197</v>
      </c>
      <c r="AF136" s="55" t="s">
        <v>198</v>
      </c>
      <c r="AG136" s="61"/>
    </row>
    <row r="137" spans="1:33" ht="12.75" x14ac:dyDescent="0.2">
      <c r="A137" s="55" t="s">
        <v>199</v>
      </c>
      <c r="B137" s="62">
        <v>0.05</v>
      </c>
      <c r="C137" s="62">
        <v>0.1</v>
      </c>
      <c r="D137" s="62">
        <v>0.2</v>
      </c>
      <c r="E137" s="62">
        <v>0.5</v>
      </c>
      <c r="F137" s="62">
        <v>1</v>
      </c>
      <c r="G137" s="62">
        <v>2</v>
      </c>
      <c r="H137" s="62">
        <v>5</v>
      </c>
      <c r="I137" s="62">
        <v>10</v>
      </c>
      <c r="K137" s="56"/>
      <c r="L137" s="55" t="s">
        <v>199</v>
      </c>
      <c r="M137" s="62">
        <v>0.05</v>
      </c>
      <c r="N137" s="62">
        <v>0.1</v>
      </c>
      <c r="O137" s="62">
        <v>0.2</v>
      </c>
      <c r="P137" s="62">
        <v>0.5</v>
      </c>
      <c r="Q137" s="62">
        <v>1</v>
      </c>
      <c r="R137" s="62">
        <v>2</v>
      </c>
      <c r="S137" s="62">
        <v>5</v>
      </c>
      <c r="T137" s="62">
        <v>10</v>
      </c>
      <c r="U137" s="62">
        <v>20</v>
      </c>
      <c r="V137" s="62">
        <v>50</v>
      </c>
      <c r="W137" s="54"/>
      <c r="X137" s="54"/>
      <c r="Y137" s="63"/>
      <c r="Z137" s="63"/>
      <c r="AA137" s="64"/>
      <c r="AB137" s="54"/>
      <c r="AC137" s="54"/>
      <c r="AD137" s="54"/>
      <c r="AE137" s="54"/>
      <c r="AF137" s="54"/>
    </row>
    <row r="138" spans="1:33" ht="12.75" x14ac:dyDescent="0.2">
      <c r="A138" s="55" t="s">
        <v>200</v>
      </c>
      <c r="B138" s="65">
        <v>59</v>
      </c>
      <c r="C138" s="65">
        <v>21</v>
      </c>
      <c r="D138" s="65">
        <v>10</v>
      </c>
      <c r="E138" s="65">
        <v>18</v>
      </c>
      <c r="F138" s="65">
        <v>21</v>
      </c>
      <c r="G138" s="65">
        <v>11</v>
      </c>
      <c r="H138" s="65">
        <v>2</v>
      </c>
      <c r="I138" s="65">
        <v>2</v>
      </c>
      <c r="J138" s="54"/>
      <c r="K138" s="56"/>
      <c r="L138" s="55" t="s">
        <v>200</v>
      </c>
      <c r="M138" s="65">
        <v>63</v>
      </c>
      <c r="N138" s="65">
        <v>7</v>
      </c>
      <c r="O138" s="65">
        <v>5</v>
      </c>
      <c r="P138" s="65">
        <v>12</v>
      </c>
      <c r="Q138" s="65">
        <v>17</v>
      </c>
      <c r="R138" s="65">
        <v>11</v>
      </c>
      <c r="S138" s="65">
        <v>10</v>
      </c>
      <c r="T138" s="65">
        <v>7</v>
      </c>
      <c r="U138" s="65">
        <v>1</v>
      </c>
      <c r="V138" s="65">
        <v>4</v>
      </c>
      <c r="W138" s="54"/>
      <c r="X138" s="54"/>
      <c r="Y138" s="63"/>
      <c r="Z138" s="63"/>
      <c r="AA138" s="64"/>
      <c r="AB138" s="54"/>
      <c r="AC138" s="54"/>
      <c r="AD138" s="54"/>
      <c r="AE138" s="54"/>
      <c r="AF138" s="54"/>
    </row>
    <row r="139" spans="1:33" ht="12.75" x14ac:dyDescent="0.2">
      <c r="A139" s="55" t="s">
        <v>141</v>
      </c>
      <c r="B139" s="65">
        <f t="shared" ref="B139:I139" si="48">B138*B137</f>
        <v>2.95</v>
      </c>
      <c r="C139" s="65">
        <f t="shared" si="48"/>
        <v>2.1</v>
      </c>
      <c r="D139" s="65">
        <f t="shared" si="48"/>
        <v>2</v>
      </c>
      <c r="E139" s="65">
        <f t="shared" si="48"/>
        <v>9</v>
      </c>
      <c r="F139" s="65">
        <f t="shared" si="48"/>
        <v>21</v>
      </c>
      <c r="G139" s="65">
        <f t="shared" si="48"/>
        <v>22</v>
      </c>
      <c r="H139" s="65">
        <f t="shared" si="48"/>
        <v>10</v>
      </c>
      <c r="I139" s="65">
        <f t="shared" si="48"/>
        <v>20</v>
      </c>
      <c r="J139" s="54">
        <f>SUM(B139:I139)</f>
        <v>89.05</v>
      </c>
      <c r="K139" s="56"/>
      <c r="L139" s="55" t="s">
        <v>141</v>
      </c>
      <c r="M139" s="65">
        <f t="shared" ref="M139:V139" si="49">M138*M137</f>
        <v>3.1500000000000004</v>
      </c>
      <c r="N139" s="65">
        <f t="shared" si="49"/>
        <v>0.70000000000000007</v>
      </c>
      <c r="O139" s="65">
        <f t="shared" si="49"/>
        <v>1</v>
      </c>
      <c r="P139" s="65">
        <f t="shared" si="49"/>
        <v>6</v>
      </c>
      <c r="Q139" s="65">
        <f t="shared" si="49"/>
        <v>17</v>
      </c>
      <c r="R139" s="65">
        <f t="shared" si="49"/>
        <v>22</v>
      </c>
      <c r="S139" s="65">
        <f t="shared" si="49"/>
        <v>50</v>
      </c>
      <c r="T139" s="65">
        <f t="shared" si="49"/>
        <v>70</v>
      </c>
      <c r="U139" s="65">
        <f t="shared" si="49"/>
        <v>20</v>
      </c>
      <c r="V139" s="65">
        <f t="shared" si="49"/>
        <v>200</v>
      </c>
      <c r="W139" s="54">
        <f>SUM(M139:V139)</f>
        <v>389.85</v>
      </c>
      <c r="X139" s="55">
        <f>W139-J139</f>
        <v>300.8</v>
      </c>
      <c r="Y139" s="63">
        <v>133.4</v>
      </c>
      <c r="Z139" s="63">
        <v>90.2</v>
      </c>
      <c r="AA139" s="66">
        <f>X139+Z139</f>
        <v>391</v>
      </c>
      <c r="AB139" s="55">
        <f>65</f>
        <v>65</v>
      </c>
      <c r="AC139" s="55">
        <f>Y139-AB139</f>
        <v>68.400000000000006</v>
      </c>
      <c r="AD139" s="55">
        <f>X139-Y139</f>
        <v>167.4</v>
      </c>
      <c r="AE139" s="55">
        <v>0</v>
      </c>
      <c r="AF139" s="55">
        <f>AD139-AE139</f>
        <v>167.4</v>
      </c>
      <c r="AG139" s="61"/>
    </row>
    <row r="140" spans="1:33" ht="12.75" x14ac:dyDescent="0.2">
      <c r="K140" s="56"/>
      <c r="Y140" s="51"/>
      <c r="Z140" s="51"/>
      <c r="AA140" s="67"/>
      <c r="AC140" s="38">
        <v>-15</v>
      </c>
      <c r="AF140" s="38">
        <v>2</v>
      </c>
    </row>
    <row r="141" spans="1:33" ht="12.75" x14ac:dyDescent="0.2">
      <c r="K141" s="56"/>
      <c r="Y141" s="51"/>
      <c r="Z141" s="51"/>
      <c r="AA141" s="67"/>
    </row>
    <row r="142" spans="1:33" ht="51" x14ac:dyDescent="0.2">
      <c r="A142" s="52" t="s">
        <v>135</v>
      </c>
      <c r="B142" s="53">
        <v>45591</v>
      </c>
      <c r="C142" s="54"/>
      <c r="D142" s="54"/>
      <c r="E142" s="54"/>
      <c r="F142" s="54"/>
      <c r="G142" s="54"/>
      <c r="H142" s="54"/>
      <c r="I142" s="54"/>
      <c r="J142" s="55" t="s">
        <v>141</v>
      </c>
      <c r="K142" s="56"/>
      <c r="L142" s="52" t="s">
        <v>136</v>
      </c>
      <c r="M142" s="53">
        <v>45591</v>
      </c>
      <c r="N142" s="54"/>
      <c r="O142" s="54"/>
      <c r="P142" s="54"/>
      <c r="Q142" s="54"/>
      <c r="R142" s="54"/>
      <c r="S142" s="54"/>
      <c r="T142" s="54"/>
      <c r="U142" s="54"/>
      <c r="V142" s="54"/>
      <c r="W142" s="55" t="s">
        <v>141</v>
      </c>
      <c r="X142" s="57" t="s">
        <v>192</v>
      </c>
      <c r="Y142" s="58" t="s">
        <v>142</v>
      </c>
      <c r="Z142" s="59" t="s">
        <v>193</v>
      </c>
      <c r="AA142" s="60" t="s">
        <v>194</v>
      </c>
      <c r="AB142" s="57" t="s">
        <v>165</v>
      </c>
      <c r="AC142" s="55" t="s">
        <v>195</v>
      </c>
      <c r="AD142" s="55" t="s">
        <v>196</v>
      </c>
      <c r="AE142" s="57" t="s">
        <v>197</v>
      </c>
      <c r="AF142" s="55" t="s">
        <v>198</v>
      </c>
      <c r="AG142" s="61"/>
    </row>
    <row r="143" spans="1:33" ht="12.75" x14ac:dyDescent="0.2">
      <c r="A143" s="55" t="s">
        <v>199</v>
      </c>
      <c r="B143" s="62">
        <v>0.05</v>
      </c>
      <c r="C143" s="62">
        <v>0.1</v>
      </c>
      <c r="D143" s="62">
        <v>0.2</v>
      </c>
      <c r="E143" s="62">
        <v>0.5</v>
      </c>
      <c r="F143" s="62">
        <v>1</v>
      </c>
      <c r="G143" s="62">
        <v>2</v>
      </c>
      <c r="H143" s="62">
        <v>5</v>
      </c>
      <c r="I143" s="62">
        <v>10</v>
      </c>
      <c r="K143" s="56"/>
      <c r="L143" s="55" t="s">
        <v>199</v>
      </c>
      <c r="M143" s="62">
        <v>0.05</v>
      </c>
      <c r="N143" s="62">
        <v>0.1</v>
      </c>
      <c r="O143" s="62">
        <v>0.2</v>
      </c>
      <c r="P143" s="62">
        <v>0.5</v>
      </c>
      <c r="Q143" s="62">
        <v>1</v>
      </c>
      <c r="R143" s="62">
        <v>2</v>
      </c>
      <c r="S143" s="62">
        <v>5</v>
      </c>
      <c r="T143" s="62">
        <v>10</v>
      </c>
      <c r="U143" s="62">
        <v>20</v>
      </c>
      <c r="V143" s="62">
        <v>50</v>
      </c>
      <c r="W143" s="54"/>
      <c r="X143" s="54"/>
      <c r="Y143" s="63"/>
      <c r="Z143" s="63"/>
      <c r="AA143" s="64"/>
      <c r="AB143" s="54"/>
      <c r="AC143" s="54"/>
      <c r="AD143" s="54"/>
      <c r="AE143" s="54"/>
      <c r="AF143" s="54"/>
    </row>
    <row r="144" spans="1:33" ht="12.75" x14ac:dyDescent="0.2">
      <c r="A144" s="55" t="s">
        <v>200</v>
      </c>
      <c r="B144" s="65">
        <v>63</v>
      </c>
      <c r="C144" s="65">
        <v>27</v>
      </c>
      <c r="D144" s="65">
        <v>5</v>
      </c>
      <c r="E144" s="65">
        <v>12</v>
      </c>
      <c r="F144" s="65">
        <v>15</v>
      </c>
      <c r="G144" s="65">
        <v>11</v>
      </c>
      <c r="H144" s="65">
        <v>2</v>
      </c>
      <c r="I144" s="65">
        <v>2</v>
      </c>
      <c r="J144" s="54"/>
      <c r="K144" s="56"/>
      <c r="L144" s="55" t="s">
        <v>200</v>
      </c>
      <c r="M144" s="65">
        <v>46</v>
      </c>
      <c r="N144" s="65">
        <v>4</v>
      </c>
      <c r="O144" s="65">
        <v>2</v>
      </c>
      <c r="P144" s="65">
        <v>6</v>
      </c>
      <c r="Q144" s="65">
        <v>23</v>
      </c>
      <c r="R144" s="65">
        <v>7</v>
      </c>
      <c r="S144" s="65">
        <v>2</v>
      </c>
      <c r="T144" s="65">
        <v>7</v>
      </c>
      <c r="U144" s="65">
        <v>7</v>
      </c>
      <c r="V144" s="65">
        <v>4</v>
      </c>
      <c r="W144" s="54"/>
      <c r="X144" s="54"/>
      <c r="Y144" s="63"/>
      <c r="Z144" s="63"/>
      <c r="AA144" s="64"/>
      <c r="AB144" s="54"/>
      <c r="AC144" s="54"/>
      <c r="AD144" s="54"/>
      <c r="AE144" s="54"/>
      <c r="AF144" s="54"/>
    </row>
    <row r="145" spans="1:33" ht="12.75" x14ac:dyDescent="0.2">
      <c r="A145" s="55" t="s">
        <v>141</v>
      </c>
      <c r="B145" s="65">
        <f t="shared" ref="B145:I145" si="50">B144*B143</f>
        <v>3.1500000000000004</v>
      </c>
      <c r="C145" s="65">
        <f t="shared" si="50"/>
        <v>2.7</v>
      </c>
      <c r="D145" s="65">
        <f t="shared" si="50"/>
        <v>1</v>
      </c>
      <c r="E145" s="65">
        <f t="shared" si="50"/>
        <v>6</v>
      </c>
      <c r="F145" s="65">
        <f t="shared" si="50"/>
        <v>15</v>
      </c>
      <c r="G145" s="65">
        <f t="shared" si="50"/>
        <v>22</v>
      </c>
      <c r="H145" s="65">
        <f t="shared" si="50"/>
        <v>10</v>
      </c>
      <c r="I145" s="65">
        <f t="shared" si="50"/>
        <v>20</v>
      </c>
      <c r="J145" s="54">
        <f>SUM(B145:I145)</f>
        <v>79.849999999999994</v>
      </c>
      <c r="K145" s="56"/>
      <c r="L145" s="55" t="s">
        <v>141</v>
      </c>
      <c r="M145" s="65">
        <f t="shared" ref="M145:V145" si="51">M144*M143</f>
        <v>2.3000000000000003</v>
      </c>
      <c r="N145" s="65">
        <f t="shared" si="51"/>
        <v>0.4</v>
      </c>
      <c r="O145" s="65">
        <f t="shared" si="51"/>
        <v>0.4</v>
      </c>
      <c r="P145" s="65">
        <f t="shared" si="51"/>
        <v>3</v>
      </c>
      <c r="Q145" s="65">
        <f t="shared" si="51"/>
        <v>23</v>
      </c>
      <c r="R145" s="65">
        <f t="shared" si="51"/>
        <v>14</v>
      </c>
      <c r="S145" s="65">
        <f t="shared" si="51"/>
        <v>10</v>
      </c>
      <c r="T145" s="65">
        <f t="shared" si="51"/>
        <v>70</v>
      </c>
      <c r="U145" s="65">
        <f t="shared" si="51"/>
        <v>140</v>
      </c>
      <c r="V145" s="65">
        <f t="shared" si="51"/>
        <v>200</v>
      </c>
      <c r="W145" s="54">
        <f>SUM(M145:V145)</f>
        <v>463.1</v>
      </c>
      <c r="X145" s="55">
        <f>W145-J145</f>
        <v>383.25</v>
      </c>
      <c r="Y145" s="63">
        <v>208.9</v>
      </c>
      <c r="Z145" s="63">
        <v>38.200000000000003</v>
      </c>
      <c r="AA145" s="66">
        <f>X145+Z145</f>
        <v>421.45</v>
      </c>
      <c r="AB145" s="55">
        <f>SUM(Y145+Z145)*0.3</f>
        <v>74.13000000000001</v>
      </c>
      <c r="AC145" s="55">
        <f>Y145-AB145</f>
        <v>134.76999999999998</v>
      </c>
      <c r="AD145" s="55">
        <f>X145-Y145</f>
        <v>174.35</v>
      </c>
      <c r="AE145" s="55">
        <f>AD145*0.2</f>
        <v>34.869999999999997</v>
      </c>
      <c r="AF145" s="55">
        <f>AD145-AE145</f>
        <v>139.47999999999999</v>
      </c>
      <c r="AG145" s="61"/>
    </row>
    <row r="146" spans="1:33" ht="12.75" x14ac:dyDescent="0.2">
      <c r="K146" s="56"/>
      <c r="Y146" s="51"/>
      <c r="Z146" s="51"/>
      <c r="AA146" s="67"/>
      <c r="AB146" s="38" t="s">
        <v>205</v>
      </c>
      <c r="AC146" s="38">
        <v>-109</v>
      </c>
    </row>
    <row r="147" spans="1:33" ht="12.75" x14ac:dyDescent="0.2">
      <c r="K147" s="56"/>
      <c r="Y147" s="51"/>
      <c r="Z147" s="51"/>
      <c r="AA147" s="67"/>
    </row>
    <row r="148" spans="1:33" ht="51" x14ac:dyDescent="0.2">
      <c r="A148" s="52" t="s">
        <v>135</v>
      </c>
      <c r="B148" s="53">
        <v>45592</v>
      </c>
      <c r="C148" s="54"/>
      <c r="D148" s="54"/>
      <c r="E148" s="54"/>
      <c r="F148" s="54"/>
      <c r="G148" s="54"/>
      <c r="H148" s="54"/>
      <c r="I148" s="54"/>
      <c r="J148" s="55" t="s">
        <v>141</v>
      </c>
      <c r="K148" s="56"/>
      <c r="L148" s="52" t="s">
        <v>136</v>
      </c>
      <c r="M148" s="53">
        <v>45592</v>
      </c>
      <c r="N148" s="54"/>
      <c r="O148" s="54"/>
      <c r="P148" s="54"/>
      <c r="Q148" s="54"/>
      <c r="R148" s="54"/>
      <c r="S148" s="54"/>
      <c r="T148" s="54"/>
      <c r="U148" s="54"/>
      <c r="V148" s="54"/>
      <c r="W148" s="55" t="s">
        <v>141</v>
      </c>
      <c r="X148" s="57" t="s">
        <v>192</v>
      </c>
      <c r="Y148" s="58" t="s">
        <v>142</v>
      </c>
      <c r="Z148" s="59" t="s">
        <v>193</v>
      </c>
      <c r="AA148" s="60" t="s">
        <v>194</v>
      </c>
      <c r="AB148" s="57" t="s">
        <v>165</v>
      </c>
      <c r="AC148" s="55" t="s">
        <v>195</v>
      </c>
      <c r="AD148" s="55" t="s">
        <v>196</v>
      </c>
      <c r="AE148" s="57" t="s">
        <v>197</v>
      </c>
      <c r="AF148" s="55" t="s">
        <v>198</v>
      </c>
      <c r="AG148" s="61"/>
    </row>
    <row r="149" spans="1:33" ht="12.75" x14ac:dyDescent="0.2">
      <c r="A149" s="55" t="s">
        <v>199</v>
      </c>
      <c r="B149" s="62">
        <v>0.05</v>
      </c>
      <c r="C149" s="62">
        <v>0.1</v>
      </c>
      <c r="D149" s="62">
        <v>0.2</v>
      </c>
      <c r="E149" s="62">
        <v>0.5</v>
      </c>
      <c r="F149" s="62">
        <v>1</v>
      </c>
      <c r="G149" s="62">
        <v>2</v>
      </c>
      <c r="H149" s="62">
        <v>5</v>
      </c>
      <c r="I149" s="62">
        <v>10</v>
      </c>
      <c r="K149" s="56"/>
      <c r="L149" s="55" t="s">
        <v>199</v>
      </c>
      <c r="M149" s="62">
        <v>0.05</v>
      </c>
      <c r="N149" s="62">
        <v>0.1</v>
      </c>
      <c r="O149" s="62">
        <v>0.2</v>
      </c>
      <c r="P149" s="62">
        <v>0.5</v>
      </c>
      <c r="Q149" s="62">
        <v>1</v>
      </c>
      <c r="R149" s="62">
        <v>2</v>
      </c>
      <c r="S149" s="62">
        <v>5</v>
      </c>
      <c r="T149" s="62">
        <v>10</v>
      </c>
      <c r="U149" s="62">
        <v>20</v>
      </c>
      <c r="V149" s="62">
        <v>50</v>
      </c>
      <c r="W149" s="54"/>
      <c r="X149" s="54"/>
      <c r="Y149" s="63"/>
      <c r="Z149" s="63"/>
      <c r="AA149" s="64"/>
      <c r="AB149" s="54"/>
      <c r="AC149" s="54"/>
      <c r="AD149" s="54"/>
      <c r="AE149" s="54"/>
      <c r="AF149" s="54"/>
    </row>
    <row r="150" spans="1:33" ht="12.75" x14ac:dyDescent="0.2">
      <c r="A150" s="55" t="s">
        <v>200</v>
      </c>
      <c r="B150" s="65">
        <v>46</v>
      </c>
      <c r="C150" s="65">
        <v>44</v>
      </c>
      <c r="D150" s="65">
        <v>2</v>
      </c>
      <c r="E150" s="65">
        <v>6</v>
      </c>
      <c r="F150" s="65">
        <v>23</v>
      </c>
      <c r="G150" s="65">
        <v>7</v>
      </c>
      <c r="H150" s="65">
        <v>2</v>
      </c>
      <c r="I150" s="65"/>
      <c r="J150" s="54"/>
      <c r="K150" s="56"/>
      <c r="L150" s="55" t="s">
        <v>200</v>
      </c>
      <c r="M150" s="65">
        <v>55</v>
      </c>
      <c r="N150" s="65">
        <v>22</v>
      </c>
      <c r="O150" s="65">
        <v>7</v>
      </c>
      <c r="P150" s="65">
        <v>5</v>
      </c>
      <c r="Q150" s="65">
        <v>10</v>
      </c>
      <c r="R150" s="65">
        <v>9</v>
      </c>
      <c r="S150" s="65">
        <v>2</v>
      </c>
      <c r="T150" s="65">
        <v>3</v>
      </c>
      <c r="U150" s="65">
        <v>3</v>
      </c>
      <c r="V150" s="65">
        <v>1</v>
      </c>
      <c r="W150" s="54"/>
      <c r="X150" s="54"/>
      <c r="Y150" s="63"/>
      <c r="Z150" s="63"/>
      <c r="AA150" s="64"/>
      <c r="AB150" s="54"/>
      <c r="AC150" s="54"/>
      <c r="AD150" s="54"/>
      <c r="AE150" s="54"/>
      <c r="AF150" s="54"/>
    </row>
    <row r="151" spans="1:33" ht="12.75" x14ac:dyDescent="0.2">
      <c r="A151" s="55" t="s">
        <v>141</v>
      </c>
      <c r="B151" s="65">
        <f t="shared" ref="B151:I151" si="52">B150*B149</f>
        <v>2.3000000000000003</v>
      </c>
      <c r="C151" s="65">
        <f t="shared" si="52"/>
        <v>4.4000000000000004</v>
      </c>
      <c r="D151" s="65">
        <f t="shared" si="52"/>
        <v>0.4</v>
      </c>
      <c r="E151" s="65">
        <f t="shared" si="52"/>
        <v>3</v>
      </c>
      <c r="F151" s="65">
        <f t="shared" si="52"/>
        <v>23</v>
      </c>
      <c r="G151" s="65">
        <f t="shared" si="52"/>
        <v>14</v>
      </c>
      <c r="H151" s="65">
        <f t="shared" si="52"/>
        <v>10</v>
      </c>
      <c r="I151" s="65">
        <f t="shared" si="52"/>
        <v>0</v>
      </c>
      <c r="J151" s="54">
        <f>SUM(B151:I151)</f>
        <v>57.1</v>
      </c>
      <c r="K151" s="56"/>
      <c r="L151" s="55" t="s">
        <v>141</v>
      </c>
      <c r="M151" s="65">
        <f t="shared" ref="M151:V151" si="53">M150*M149</f>
        <v>2.75</v>
      </c>
      <c r="N151" s="65">
        <f t="shared" si="53"/>
        <v>2.2000000000000002</v>
      </c>
      <c r="O151" s="65">
        <f t="shared" si="53"/>
        <v>1.4000000000000001</v>
      </c>
      <c r="P151" s="65">
        <f t="shared" si="53"/>
        <v>2.5</v>
      </c>
      <c r="Q151" s="65">
        <f t="shared" si="53"/>
        <v>10</v>
      </c>
      <c r="R151" s="65">
        <f t="shared" si="53"/>
        <v>18</v>
      </c>
      <c r="S151" s="65">
        <f t="shared" si="53"/>
        <v>10</v>
      </c>
      <c r="T151" s="65">
        <f t="shared" si="53"/>
        <v>30</v>
      </c>
      <c r="U151" s="65">
        <f t="shared" si="53"/>
        <v>60</v>
      </c>
      <c r="V151" s="65">
        <f t="shared" si="53"/>
        <v>50</v>
      </c>
      <c r="W151" s="54">
        <f>SUM(M151:V151)</f>
        <v>186.85</v>
      </c>
      <c r="X151" s="55">
        <f>W151-J151</f>
        <v>129.75</v>
      </c>
      <c r="Y151" s="63">
        <v>65</v>
      </c>
      <c r="Z151" s="63">
        <v>33</v>
      </c>
      <c r="AA151" s="66">
        <f>X151+Z151</f>
        <v>162.75</v>
      </c>
      <c r="AB151" s="55">
        <v>30</v>
      </c>
      <c r="AC151" s="55">
        <f>Y151-AB151</f>
        <v>35</v>
      </c>
      <c r="AD151" s="55">
        <f>X151-Y151</f>
        <v>64.75</v>
      </c>
      <c r="AE151" s="55"/>
      <c r="AF151" s="55">
        <f>AD151-AE151</f>
        <v>64.75</v>
      </c>
      <c r="AG151" s="61"/>
    </row>
    <row r="152" spans="1:33" ht="12.75" x14ac:dyDescent="0.2">
      <c r="K152" s="56"/>
      <c r="Y152" s="51"/>
      <c r="Z152" s="51"/>
      <c r="AA152" s="67"/>
    </row>
    <row r="153" spans="1:33" ht="12.75" x14ac:dyDescent="0.2">
      <c r="K153" s="56"/>
      <c r="Y153" s="51"/>
      <c r="Z153" s="51"/>
      <c r="AA153" s="67"/>
    </row>
    <row r="154" spans="1:33" ht="51" x14ac:dyDescent="0.2">
      <c r="A154" s="52" t="s">
        <v>135</v>
      </c>
      <c r="B154" s="53">
        <v>45593</v>
      </c>
      <c r="C154" s="54"/>
      <c r="D154" s="54"/>
      <c r="E154" s="54"/>
      <c r="F154" s="54"/>
      <c r="G154" s="54"/>
      <c r="H154" s="54"/>
      <c r="I154" s="54"/>
      <c r="J154" s="55" t="s">
        <v>141</v>
      </c>
      <c r="K154" s="56"/>
      <c r="L154" s="52" t="s">
        <v>136</v>
      </c>
      <c r="M154" s="53">
        <v>45593</v>
      </c>
      <c r="N154" s="54"/>
      <c r="O154" s="54"/>
      <c r="P154" s="54"/>
      <c r="Q154" s="54"/>
      <c r="R154" s="54"/>
      <c r="S154" s="54"/>
      <c r="T154" s="54"/>
      <c r="U154" s="54"/>
      <c r="V154" s="54"/>
      <c r="W154" s="55" t="s">
        <v>141</v>
      </c>
      <c r="X154" s="57" t="s">
        <v>192</v>
      </c>
      <c r="Y154" s="58" t="s">
        <v>142</v>
      </c>
      <c r="Z154" s="59" t="s">
        <v>193</v>
      </c>
      <c r="AA154" s="60" t="s">
        <v>194</v>
      </c>
      <c r="AB154" s="57" t="s">
        <v>165</v>
      </c>
      <c r="AC154" s="55" t="s">
        <v>195</v>
      </c>
      <c r="AD154" s="55" t="s">
        <v>196</v>
      </c>
      <c r="AE154" s="57" t="s">
        <v>197</v>
      </c>
      <c r="AF154" s="55" t="s">
        <v>198</v>
      </c>
      <c r="AG154" s="61"/>
    </row>
    <row r="155" spans="1:33" ht="12.75" x14ac:dyDescent="0.2">
      <c r="A155" s="55" t="s">
        <v>199</v>
      </c>
      <c r="B155" s="62">
        <v>0.05</v>
      </c>
      <c r="C155" s="62">
        <v>0.1</v>
      </c>
      <c r="D155" s="62">
        <v>0.2</v>
      </c>
      <c r="E155" s="62">
        <v>0.5</v>
      </c>
      <c r="F155" s="62">
        <v>1</v>
      </c>
      <c r="G155" s="62">
        <v>2</v>
      </c>
      <c r="H155" s="62">
        <v>5</v>
      </c>
      <c r="I155" s="62">
        <v>10</v>
      </c>
      <c r="K155" s="56"/>
      <c r="L155" s="55" t="s">
        <v>199</v>
      </c>
      <c r="M155" s="62">
        <v>0.05</v>
      </c>
      <c r="N155" s="62">
        <v>0.1</v>
      </c>
      <c r="O155" s="62">
        <v>0.2</v>
      </c>
      <c r="P155" s="62">
        <v>0.5</v>
      </c>
      <c r="Q155" s="62">
        <v>1</v>
      </c>
      <c r="R155" s="62">
        <v>2</v>
      </c>
      <c r="S155" s="62">
        <v>5</v>
      </c>
      <c r="T155" s="62">
        <v>10</v>
      </c>
      <c r="U155" s="62">
        <v>20</v>
      </c>
      <c r="V155" s="62">
        <v>50</v>
      </c>
      <c r="W155" s="54"/>
      <c r="X155" s="54"/>
      <c r="Y155" s="63"/>
      <c r="Z155" s="63"/>
      <c r="AA155" s="64"/>
      <c r="AB155" s="54"/>
      <c r="AC155" s="54"/>
      <c r="AD155" s="54"/>
      <c r="AE155" s="54"/>
      <c r="AF155" s="54"/>
    </row>
    <row r="156" spans="1:33" ht="12.75" x14ac:dyDescent="0.2">
      <c r="A156" s="55" t="s">
        <v>200</v>
      </c>
      <c r="B156" s="65">
        <v>55</v>
      </c>
      <c r="C156" s="65">
        <v>22</v>
      </c>
      <c r="D156" s="65">
        <v>7</v>
      </c>
      <c r="E156" s="65">
        <v>5</v>
      </c>
      <c r="F156" s="65">
        <v>10</v>
      </c>
      <c r="G156" s="65">
        <v>9</v>
      </c>
      <c r="H156" s="65">
        <v>2</v>
      </c>
      <c r="I156" s="65">
        <v>2</v>
      </c>
      <c r="J156" s="54"/>
      <c r="K156" s="56"/>
      <c r="L156" s="55" t="s">
        <v>200</v>
      </c>
      <c r="M156" s="65">
        <v>60</v>
      </c>
      <c r="N156" s="65">
        <v>22</v>
      </c>
      <c r="O156" s="65">
        <v>12</v>
      </c>
      <c r="P156" s="65">
        <v>5</v>
      </c>
      <c r="Q156" s="65">
        <v>8</v>
      </c>
      <c r="R156" s="65">
        <v>9</v>
      </c>
      <c r="S156" s="65">
        <v>10</v>
      </c>
      <c r="T156" s="65">
        <v>12</v>
      </c>
      <c r="U156" s="65">
        <v>5</v>
      </c>
      <c r="V156" s="65">
        <v>1</v>
      </c>
      <c r="W156" s="54"/>
      <c r="X156" s="54"/>
      <c r="Y156" s="63"/>
      <c r="Z156" s="63"/>
      <c r="AA156" s="64"/>
      <c r="AB156" s="54"/>
      <c r="AC156" s="54"/>
      <c r="AD156" s="54"/>
      <c r="AE156" s="54"/>
      <c r="AF156" s="54"/>
    </row>
    <row r="157" spans="1:33" ht="12.75" x14ac:dyDescent="0.2">
      <c r="A157" s="55" t="s">
        <v>141</v>
      </c>
      <c r="B157" s="65">
        <f t="shared" ref="B157:I157" si="54">B156*B155</f>
        <v>2.75</v>
      </c>
      <c r="C157" s="65">
        <f t="shared" si="54"/>
        <v>2.2000000000000002</v>
      </c>
      <c r="D157" s="65">
        <f t="shared" si="54"/>
        <v>1.4000000000000001</v>
      </c>
      <c r="E157" s="65">
        <f t="shared" si="54"/>
        <v>2.5</v>
      </c>
      <c r="F157" s="65">
        <f t="shared" si="54"/>
        <v>10</v>
      </c>
      <c r="G157" s="65">
        <f t="shared" si="54"/>
        <v>18</v>
      </c>
      <c r="H157" s="65">
        <f t="shared" si="54"/>
        <v>10</v>
      </c>
      <c r="I157" s="65">
        <f t="shared" si="54"/>
        <v>20</v>
      </c>
      <c r="J157" s="54">
        <f>SUM(B157:I157)</f>
        <v>66.849999999999994</v>
      </c>
      <c r="K157" s="56"/>
      <c r="L157" s="55" t="s">
        <v>141</v>
      </c>
      <c r="M157" s="65">
        <f t="shared" ref="M157:V157" si="55">M156*M155</f>
        <v>3</v>
      </c>
      <c r="N157" s="65">
        <f t="shared" si="55"/>
        <v>2.2000000000000002</v>
      </c>
      <c r="O157" s="65">
        <f t="shared" si="55"/>
        <v>2.4000000000000004</v>
      </c>
      <c r="P157" s="65">
        <f t="shared" si="55"/>
        <v>2.5</v>
      </c>
      <c r="Q157" s="65">
        <f t="shared" si="55"/>
        <v>8</v>
      </c>
      <c r="R157" s="65">
        <f t="shared" si="55"/>
        <v>18</v>
      </c>
      <c r="S157" s="65">
        <f t="shared" si="55"/>
        <v>50</v>
      </c>
      <c r="T157" s="65">
        <f t="shared" si="55"/>
        <v>120</v>
      </c>
      <c r="U157" s="65">
        <f t="shared" si="55"/>
        <v>100</v>
      </c>
      <c r="V157" s="65">
        <f t="shared" si="55"/>
        <v>50</v>
      </c>
      <c r="W157" s="54">
        <f>SUM(M157:V157)</f>
        <v>356.1</v>
      </c>
      <c r="X157" s="55">
        <f>W157-J157</f>
        <v>289.25</v>
      </c>
      <c r="Y157" s="63">
        <v>104.6</v>
      </c>
      <c r="Z157" s="63">
        <v>51.9</v>
      </c>
      <c r="AA157" s="66">
        <f>X157+Z157</f>
        <v>341.15</v>
      </c>
      <c r="AB157" s="55">
        <v>60</v>
      </c>
      <c r="AC157" s="55">
        <f>Y157-AB157</f>
        <v>44.599999999999994</v>
      </c>
      <c r="AD157" s="55">
        <f>X157-Y157</f>
        <v>184.65</v>
      </c>
      <c r="AE157" s="55">
        <f>34+11</f>
        <v>45</v>
      </c>
      <c r="AF157" s="55">
        <f>AD157-AE157</f>
        <v>139.65</v>
      </c>
      <c r="AG157" s="61"/>
    </row>
    <row r="158" spans="1:33" ht="12.75" x14ac:dyDescent="0.2">
      <c r="K158" s="56"/>
      <c r="Y158" s="51"/>
      <c r="Z158" s="51"/>
      <c r="AA158" s="67"/>
    </row>
    <row r="159" spans="1:33" ht="12.75" x14ac:dyDescent="0.2">
      <c r="K159" s="56"/>
      <c r="Y159" s="51"/>
      <c r="Z159" s="51"/>
      <c r="AA159" s="67"/>
    </row>
    <row r="160" spans="1:33" ht="51" x14ac:dyDescent="0.2">
      <c r="A160" s="52" t="s">
        <v>135</v>
      </c>
      <c r="B160" s="53">
        <v>45594</v>
      </c>
      <c r="C160" s="54"/>
      <c r="D160" s="54"/>
      <c r="E160" s="54"/>
      <c r="F160" s="54"/>
      <c r="G160" s="54"/>
      <c r="H160" s="54"/>
      <c r="I160" s="54"/>
      <c r="J160" s="55" t="s">
        <v>141</v>
      </c>
      <c r="K160" s="56"/>
      <c r="L160" s="52" t="s">
        <v>136</v>
      </c>
      <c r="M160" s="53">
        <v>45594</v>
      </c>
      <c r="N160" s="54"/>
      <c r="O160" s="54"/>
      <c r="P160" s="54"/>
      <c r="Q160" s="54"/>
      <c r="R160" s="54"/>
      <c r="S160" s="54"/>
      <c r="T160" s="54"/>
      <c r="U160" s="54"/>
      <c r="V160" s="54"/>
      <c r="W160" s="55" t="s">
        <v>141</v>
      </c>
      <c r="X160" s="57" t="s">
        <v>192</v>
      </c>
      <c r="Y160" s="58" t="s">
        <v>142</v>
      </c>
      <c r="Z160" s="59" t="s">
        <v>193</v>
      </c>
      <c r="AA160" s="60" t="s">
        <v>194</v>
      </c>
      <c r="AB160" s="57" t="s">
        <v>165</v>
      </c>
      <c r="AC160" s="55" t="s">
        <v>195</v>
      </c>
      <c r="AD160" s="55" t="s">
        <v>196</v>
      </c>
      <c r="AE160" s="57" t="s">
        <v>197</v>
      </c>
      <c r="AF160" s="55" t="s">
        <v>198</v>
      </c>
      <c r="AG160" s="61"/>
    </row>
    <row r="161" spans="1:33" ht="12.75" x14ac:dyDescent="0.2">
      <c r="A161" s="55" t="s">
        <v>199</v>
      </c>
      <c r="B161" s="62">
        <v>0.05</v>
      </c>
      <c r="C161" s="62">
        <v>0.1</v>
      </c>
      <c r="D161" s="62">
        <v>0.2</v>
      </c>
      <c r="E161" s="62">
        <v>0.5</v>
      </c>
      <c r="F161" s="62">
        <v>1</v>
      </c>
      <c r="G161" s="62">
        <v>2</v>
      </c>
      <c r="H161" s="62">
        <v>5</v>
      </c>
      <c r="I161" s="62">
        <v>10</v>
      </c>
      <c r="K161" s="56"/>
      <c r="L161" s="55" t="s">
        <v>199</v>
      </c>
      <c r="M161" s="62">
        <v>0.05</v>
      </c>
      <c r="N161" s="62">
        <v>0.1</v>
      </c>
      <c r="O161" s="62">
        <v>0.2</v>
      </c>
      <c r="P161" s="62">
        <v>0.5</v>
      </c>
      <c r="Q161" s="62">
        <v>1</v>
      </c>
      <c r="R161" s="62">
        <v>2</v>
      </c>
      <c r="S161" s="62">
        <v>5</v>
      </c>
      <c r="T161" s="62">
        <v>10</v>
      </c>
      <c r="U161" s="62">
        <v>20</v>
      </c>
      <c r="V161" s="62">
        <v>50</v>
      </c>
      <c r="W161" s="54"/>
      <c r="X161" s="54"/>
      <c r="Y161" s="63"/>
      <c r="Z161" s="63"/>
      <c r="AA161" s="64"/>
      <c r="AB161" s="54"/>
      <c r="AC161" s="54"/>
      <c r="AD161" s="54"/>
      <c r="AE161" s="54"/>
      <c r="AF161" s="54"/>
    </row>
    <row r="162" spans="1:33" ht="12.75" x14ac:dyDescent="0.2">
      <c r="A162" s="55" t="s">
        <v>200</v>
      </c>
      <c r="B162" s="65">
        <v>60</v>
      </c>
      <c r="C162" s="65">
        <v>22</v>
      </c>
      <c r="D162" s="65">
        <v>12</v>
      </c>
      <c r="E162" s="65">
        <v>5</v>
      </c>
      <c r="F162" s="65">
        <v>8</v>
      </c>
      <c r="G162" s="65">
        <v>9</v>
      </c>
      <c r="H162" s="65">
        <v>2</v>
      </c>
      <c r="I162" s="65">
        <v>2</v>
      </c>
      <c r="J162" s="54"/>
      <c r="K162" s="56"/>
      <c r="L162" s="55" t="s">
        <v>200</v>
      </c>
      <c r="M162" s="65">
        <v>60</v>
      </c>
      <c r="N162" s="65">
        <v>20</v>
      </c>
      <c r="O162" s="65">
        <v>5</v>
      </c>
      <c r="P162" s="65">
        <v>12</v>
      </c>
      <c r="Q162" s="65">
        <v>15</v>
      </c>
      <c r="R162" s="65">
        <v>4</v>
      </c>
      <c r="S162" s="65">
        <v>16</v>
      </c>
      <c r="T162" s="65">
        <v>1</v>
      </c>
      <c r="U162" s="65"/>
      <c r="V162" s="65">
        <v>4</v>
      </c>
      <c r="W162" s="54"/>
      <c r="X162" s="54"/>
      <c r="Y162" s="63"/>
      <c r="Z162" s="63"/>
      <c r="AA162" s="64"/>
      <c r="AB162" s="54"/>
      <c r="AC162" s="54"/>
      <c r="AD162" s="54"/>
      <c r="AE162" s="54"/>
      <c r="AF162" s="54"/>
    </row>
    <row r="163" spans="1:33" ht="12.75" x14ac:dyDescent="0.2">
      <c r="A163" s="55" t="s">
        <v>141</v>
      </c>
      <c r="B163" s="65">
        <f t="shared" ref="B163:I163" si="56">B162*B161</f>
        <v>3</v>
      </c>
      <c r="C163" s="65">
        <f t="shared" si="56"/>
        <v>2.2000000000000002</v>
      </c>
      <c r="D163" s="65">
        <f t="shared" si="56"/>
        <v>2.4000000000000004</v>
      </c>
      <c r="E163" s="65">
        <f t="shared" si="56"/>
        <v>2.5</v>
      </c>
      <c r="F163" s="65">
        <f t="shared" si="56"/>
        <v>8</v>
      </c>
      <c r="G163" s="65">
        <f t="shared" si="56"/>
        <v>18</v>
      </c>
      <c r="H163" s="65">
        <f t="shared" si="56"/>
        <v>10</v>
      </c>
      <c r="I163" s="65">
        <f t="shared" si="56"/>
        <v>20</v>
      </c>
      <c r="J163" s="54">
        <f>SUM(B163:I163)</f>
        <v>66.099999999999994</v>
      </c>
      <c r="K163" s="56"/>
      <c r="L163" s="55" t="s">
        <v>141</v>
      </c>
      <c r="M163" s="65">
        <f t="shared" ref="M163:T163" si="57">M162*M161</f>
        <v>3</v>
      </c>
      <c r="N163" s="65">
        <f t="shared" si="57"/>
        <v>2</v>
      </c>
      <c r="O163" s="65">
        <f t="shared" si="57"/>
        <v>1</v>
      </c>
      <c r="P163" s="65">
        <f t="shared" si="57"/>
        <v>6</v>
      </c>
      <c r="Q163" s="65">
        <f t="shared" si="57"/>
        <v>15</v>
      </c>
      <c r="R163" s="65">
        <f t="shared" si="57"/>
        <v>8</v>
      </c>
      <c r="S163" s="65">
        <f t="shared" si="57"/>
        <v>80</v>
      </c>
      <c r="T163" s="65">
        <f t="shared" si="57"/>
        <v>10</v>
      </c>
      <c r="U163" s="65">
        <f>U162*S164</f>
        <v>0</v>
      </c>
      <c r="V163" s="65">
        <f>V162*V161</f>
        <v>200</v>
      </c>
      <c r="W163" s="54">
        <f>SUM(M163:V163)</f>
        <v>325</v>
      </c>
      <c r="X163" s="55">
        <f>W163-J163</f>
        <v>258.89999999999998</v>
      </c>
      <c r="Y163" s="63">
        <v>84.9</v>
      </c>
      <c r="Z163" s="63">
        <v>46.1</v>
      </c>
      <c r="AA163" s="66">
        <f>X163+Z163</f>
        <v>305</v>
      </c>
      <c r="AB163" s="55">
        <f>SUM(Y163+Z163)*0.3</f>
        <v>39.299999999999997</v>
      </c>
      <c r="AC163" s="55">
        <f>Y163-AB163</f>
        <v>45.600000000000009</v>
      </c>
      <c r="AD163" s="55">
        <f>X163-Y163</f>
        <v>173.99999999999997</v>
      </c>
      <c r="AE163" s="55">
        <v>10</v>
      </c>
      <c r="AF163" s="55">
        <f>AD163-AE163</f>
        <v>163.99999999999997</v>
      </c>
      <c r="AG163" s="61"/>
    </row>
    <row r="164" spans="1:33" ht="12.75" x14ac:dyDescent="0.2">
      <c r="K164" s="56"/>
      <c r="Y164" s="51"/>
      <c r="Z164" s="51"/>
      <c r="AA164" s="67"/>
    </row>
    <row r="165" spans="1:33" ht="12.75" x14ac:dyDescent="0.2">
      <c r="K165" s="56"/>
      <c r="Y165" s="51"/>
      <c r="Z165" s="51"/>
      <c r="AA165" s="67"/>
    </row>
    <row r="166" spans="1:33" ht="51" x14ac:dyDescent="0.2">
      <c r="A166" s="52" t="s">
        <v>135</v>
      </c>
      <c r="B166" s="53">
        <v>45595</v>
      </c>
      <c r="C166" s="54"/>
      <c r="D166" s="54"/>
      <c r="E166" s="54"/>
      <c r="F166" s="54"/>
      <c r="G166" s="54"/>
      <c r="H166" s="54"/>
      <c r="I166" s="54"/>
      <c r="J166" s="55" t="s">
        <v>141</v>
      </c>
      <c r="K166" s="56"/>
      <c r="L166" s="52" t="s">
        <v>136</v>
      </c>
      <c r="M166" s="53">
        <v>45595</v>
      </c>
      <c r="N166" s="54"/>
      <c r="O166" s="54"/>
      <c r="P166" s="54"/>
      <c r="Q166" s="54"/>
      <c r="R166" s="54"/>
      <c r="S166" s="54"/>
      <c r="T166" s="54"/>
      <c r="U166" s="54"/>
      <c r="V166" s="54"/>
      <c r="W166" s="55" t="s">
        <v>141</v>
      </c>
      <c r="X166" s="57" t="s">
        <v>192</v>
      </c>
      <c r="Y166" s="58" t="s">
        <v>142</v>
      </c>
      <c r="Z166" s="59" t="s">
        <v>193</v>
      </c>
      <c r="AA166" s="60" t="s">
        <v>194</v>
      </c>
      <c r="AB166" s="57" t="s">
        <v>165</v>
      </c>
      <c r="AC166" s="55" t="s">
        <v>195</v>
      </c>
      <c r="AD166" s="55" t="s">
        <v>196</v>
      </c>
      <c r="AE166" s="57" t="s">
        <v>197</v>
      </c>
      <c r="AF166" s="55" t="s">
        <v>198</v>
      </c>
      <c r="AG166" s="61"/>
    </row>
    <row r="167" spans="1:33" ht="12.75" x14ac:dyDescent="0.2">
      <c r="A167" s="55" t="s">
        <v>199</v>
      </c>
      <c r="B167" s="62">
        <v>0.05</v>
      </c>
      <c r="C167" s="62">
        <v>0.1</v>
      </c>
      <c r="D167" s="62">
        <v>0.2</v>
      </c>
      <c r="E167" s="62">
        <v>0.5</v>
      </c>
      <c r="F167" s="62">
        <v>1</v>
      </c>
      <c r="G167" s="62">
        <v>2</v>
      </c>
      <c r="H167" s="62">
        <v>5</v>
      </c>
      <c r="I167" s="62">
        <v>10</v>
      </c>
      <c r="K167" s="56"/>
      <c r="L167" s="55" t="s">
        <v>199</v>
      </c>
      <c r="M167" s="62">
        <v>0.05</v>
      </c>
      <c r="N167" s="62">
        <v>0.1</v>
      </c>
      <c r="O167" s="62">
        <v>0.2</v>
      </c>
      <c r="P167" s="62">
        <v>0.5</v>
      </c>
      <c r="Q167" s="62">
        <v>1</v>
      </c>
      <c r="R167" s="62">
        <v>2</v>
      </c>
      <c r="S167" s="62">
        <v>5</v>
      </c>
      <c r="T167" s="62">
        <v>10</v>
      </c>
      <c r="U167" s="62">
        <v>20</v>
      </c>
      <c r="V167" s="62">
        <v>50</v>
      </c>
      <c r="W167" s="54"/>
      <c r="X167" s="54"/>
      <c r="Y167" s="63"/>
      <c r="Z167" s="63"/>
      <c r="AA167" s="64"/>
      <c r="AB167" s="54"/>
      <c r="AC167" s="54"/>
      <c r="AD167" s="54"/>
      <c r="AE167" s="54"/>
      <c r="AF167" s="54"/>
    </row>
    <row r="168" spans="1:33" ht="12.75" x14ac:dyDescent="0.2">
      <c r="A168" s="55" t="s">
        <v>200</v>
      </c>
      <c r="B168" s="65">
        <v>60</v>
      </c>
      <c r="C168" s="65">
        <v>20</v>
      </c>
      <c r="D168" s="65">
        <v>5</v>
      </c>
      <c r="E168" s="65">
        <v>12</v>
      </c>
      <c r="F168" s="65">
        <v>15</v>
      </c>
      <c r="G168" s="65">
        <v>4</v>
      </c>
      <c r="H168" s="65">
        <v>2</v>
      </c>
      <c r="I168" s="65">
        <v>2</v>
      </c>
      <c r="J168" s="54"/>
      <c r="K168" s="56"/>
      <c r="L168" s="55" t="s">
        <v>200</v>
      </c>
      <c r="M168" s="65">
        <v>70</v>
      </c>
      <c r="N168" s="65">
        <v>26</v>
      </c>
      <c r="O168" s="65">
        <v>1</v>
      </c>
      <c r="P168" s="65">
        <v>18</v>
      </c>
      <c r="Q168" s="65">
        <v>11</v>
      </c>
      <c r="R168" s="65">
        <v>2</v>
      </c>
      <c r="S168" s="65">
        <v>10</v>
      </c>
      <c r="T168" s="65">
        <v>4</v>
      </c>
      <c r="U168" s="65">
        <v>7</v>
      </c>
      <c r="V168" s="65">
        <v>3</v>
      </c>
      <c r="W168" s="54"/>
      <c r="X168" s="54"/>
      <c r="Y168" s="63"/>
      <c r="Z168" s="63"/>
      <c r="AA168" s="64"/>
      <c r="AB168" s="54"/>
      <c r="AC168" s="54"/>
      <c r="AD168" s="54"/>
      <c r="AE168" s="54"/>
      <c r="AF168" s="54"/>
    </row>
    <row r="169" spans="1:33" ht="12.75" x14ac:dyDescent="0.2">
      <c r="A169" s="55" t="s">
        <v>141</v>
      </c>
      <c r="B169" s="65">
        <f t="shared" ref="B169:I169" si="58">B168*B167</f>
        <v>3</v>
      </c>
      <c r="C169" s="65">
        <f t="shared" si="58"/>
        <v>2</v>
      </c>
      <c r="D169" s="65">
        <f t="shared" si="58"/>
        <v>1</v>
      </c>
      <c r="E169" s="65">
        <f t="shared" si="58"/>
        <v>6</v>
      </c>
      <c r="F169" s="65">
        <f t="shared" si="58"/>
        <v>15</v>
      </c>
      <c r="G169" s="65">
        <f t="shared" si="58"/>
        <v>8</v>
      </c>
      <c r="H169" s="65">
        <f t="shared" si="58"/>
        <v>10</v>
      </c>
      <c r="I169" s="65">
        <f t="shared" si="58"/>
        <v>20</v>
      </c>
      <c r="J169" s="54">
        <f>SUM(B169:I169)</f>
        <v>65</v>
      </c>
      <c r="K169" s="56"/>
      <c r="L169" s="55" t="s">
        <v>141</v>
      </c>
      <c r="M169" s="65">
        <f t="shared" ref="M169:V169" si="59">M168*M167</f>
        <v>3.5</v>
      </c>
      <c r="N169" s="65">
        <f t="shared" si="59"/>
        <v>2.6</v>
      </c>
      <c r="O169" s="65">
        <f t="shared" si="59"/>
        <v>0.2</v>
      </c>
      <c r="P169" s="65">
        <f t="shared" si="59"/>
        <v>9</v>
      </c>
      <c r="Q169" s="65">
        <f t="shared" si="59"/>
        <v>11</v>
      </c>
      <c r="R169" s="65">
        <f t="shared" si="59"/>
        <v>4</v>
      </c>
      <c r="S169" s="65">
        <f t="shared" si="59"/>
        <v>50</v>
      </c>
      <c r="T169" s="65">
        <f t="shared" si="59"/>
        <v>40</v>
      </c>
      <c r="U169" s="65">
        <f t="shared" si="59"/>
        <v>140</v>
      </c>
      <c r="V169" s="65">
        <f t="shared" si="59"/>
        <v>150</v>
      </c>
      <c r="W169" s="54">
        <f>SUM(M169:V169)</f>
        <v>410.3</v>
      </c>
      <c r="X169" s="55">
        <f>W169-J169</f>
        <v>345.3</v>
      </c>
      <c r="Y169" s="63">
        <v>144.9</v>
      </c>
      <c r="Z169" s="63">
        <v>63.61</v>
      </c>
      <c r="AA169" s="66">
        <f>X169+Z169</f>
        <v>408.91</v>
      </c>
      <c r="AB169" s="55">
        <v>80</v>
      </c>
      <c r="AC169" s="55">
        <f>Y169-AB169</f>
        <v>64.900000000000006</v>
      </c>
      <c r="AD169" s="55">
        <f>X169-Y169</f>
        <v>200.4</v>
      </c>
      <c r="AE169" s="55">
        <v>150</v>
      </c>
      <c r="AF169" s="55">
        <f>AD169-AE169</f>
        <v>50.400000000000006</v>
      </c>
      <c r="AG169" s="61" t="s">
        <v>206</v>
      </c>
    </row>
    <row r="170" spans="1:33" ht="12.75" x14ac:dyDescent="0.2">
      <c r="K170" s="56"/>
      <c r="Y170" s="51"/>
      <c r="Z170" s="51"/>
      <c r="AA170" s="67"/>
      <c r="AC170" s="38">
        <v>-50</v>
      </c>
      <c r="AG170" s="38" t="s">
        <v>207</v>
      </c>
    </row>
    <row r="171" spans="1:33" ht="12.75" x14ac:dyDescent="0.2">
      <c r="K171" s="56"/>
      <c r="Y171" s="51"/>
      <c r="Z171" s="51"/>
      <c r="AA171" s="67"/>
    </row>
    <row r="172" spans="1:33" ht="51" x14ac:dyDescent="0.2">
      <c r="A172" s="52" t="s">
        <v>135</v>
      </c>
      <c r="B172" s="53">
        <v>45596</v>
      </c>
      <c r="C172" s="54"/>
      <c r="D172" s="54"/>
      <c r="E172" s="54"/>
      <c r="F172" s="54"/>
      <c r="G172" s="54"/>
      <c r="H172" s="54"/>
      <c r="I172" s="54"/>
      <c r="J172" s="55" t="s">
        <v>141</v>
      </c>
      <c r="K172" s="56"/>
      <c r="L172" s="52" t="s">
        <v>136</v>
      </c>
      <c r="M172" s="53">
        <v>45596</v>
      </c>
      <c r="N172" s="54"/>
      <c r="O172" s="54"/>
      <c r="P172" s="54"/>
      <c r="Q172" s="54"/>
      <c r="R172" s="54"/>
      <c r="S172" s="54"/>
      <c r="T172" s="54"/>
      <c r="U172" s="54"/>
      <c r="V172" s="54"/>
      <c r="W172" s="55" t="s">
        <v>141</v>
      </c>
      <c r="X172" s="57" t="s">
        <v>192</v>
      </c>
      <c r="Y172" s="58" t="s">
        <v>142</v>
      </c>
      <c r="Z172" s="59" t="s">
        <v>193</v>
      </c>
      <c r="AA172" s="60" t="s">
        <v>194</v>
      </c>
      <c r="AB172" s="57" t="s">
        <v>165</v>
      </c>
      <c r="AC172" s="55" t="s">
        <v>195</v>
      </c>
      <c r="AD172" s="55" t="s">
        <v>196</v>
      </c>
      <c r="AE172" s="57" t="s">
        <v>197</v>
      </c>
      <c r="AF172" s="55" t="s">
        <v>198</v>
      </c>
      <c r="AG172" s="61"/>
    </row>
    <row r="173" spans="1:33" ht="12.75" x14ac:dyDescent="0.2">
      <c r="A173" s="55" t="s">
        <v>199</v>
      </c>
      <c r="B173" s="62">
        <v>0.05</v>
      </c>
      <c r="C173" s="62">
        <v>0.1</v>
      </c>
      <c r="D173" s="62">
        <v>0.2</v>
      </c>
      <c r="E173" s="62">
        <v>0.5</v>
      </c>
      <c r="F173" s="62">
        <v>1</v>
      </c>
      <c r="G173" s="62">
        <v>2</v>
      </c>
      <c r="H173" s="62">
        <v>5</v>
      </c>
      <c r="I173" s="62">
        <v>10</v>
      </c>
      <c r="K173" s="56"/>
      <c r="L173" s="55" t="s">
        <v>199</v>
      </c>
      <c r="M173" s="62">
        <v>0.05</v>
      </c>
      <c r="N173" s="62">
        <v>0.1</v>
      </c>
      <c r="O173" s="62">
        <v>0.2</v>
      </c>
      <c r="P173" s="62">
        <v>0.5</v>
      </c>
      <c r="Q173" s="62">
        <v>1</v>
      </c>
      <c r="R173" s="62">
        <v>2</v>
      </c>
      <c r="S173" s="62">
        <v>5</v>
      </c>
      <c r="T173" s="62">
        <v>10</v>
      </c>
      <c r="U173" s="62">
        <v>20</v>
      </c>
      <c r="V173" s="62">
        <v>50</v>
      </c>
      <c r="W173" s="54"/>
      <c r="X173" s="54"/>
      <c r="Y173" s="63"/>
      <c r="Z173" s="63"/>
      <c r="AA173" s="64"/>
      <c r="AB173" s="54"/>
      <c r="AC173" s="54"/>
      <c r="AD173" s="54"/>
      <c r="AE173" s="54"/>
      <c r="AF173" s="54"/>
    </row>
    <row r="174" spans="1:33" ht="12.75" x14ac:dyDescent="0.2">
      <c r="A174" s="55" t="s">
        <v>200</v>
      </c>
      <c r="B174" s="65">
        <v>70</v>
      </c>
      <c r="C174" s="65">
        <v>26</v>
      </c>
      <c r="D174" s="65">
        <v>1</v>
      </c>
      <c r="E174" s="65">
        <v>18</v>
      </c>
      <c r="F174" s="65">
        <v>11</v>
      </c>
      <c r="G174" s="65">
        <v>2</v>
      </c>
      <c r="H174" s="65">
        <v>3</v>
      </c>
      <c r="I174" s="65">
        <v>2</v>
      </c>
      <c r="J174" s="54"/>
      <c r="K174" s="56"/>
      <c r="L174" s="55" t="s">
        <v>200</v>
      </c>
      <c r="M174" s="65">
        <v>68</v>
      </c>
      <c r="N174" s="65">
        <v>55</v>
      </c>
      <c r="O174" s="65">
        <v>28</v>
      </c>
      <c r="P174" s="65">
        <v>8</v>
      </c>
      <c r="Q174" s="65">
        <v>12</v>
      </c>
      <c r="R174" s="65">
        <v>8</v>
      </c>
      <c r="S174" s="65">
        <v>6</v>
      </c>
      <c r="T174" s="65">
        <v>8</v>
      </c>
      <c r="U174" s="65">
        <v>4</v>
      </c>
      <c r="V174" s="65">
        <v>3</v>
      </c>
      <c r="W174" s="54"/>
      <c r="X174" s="54"/>
      <c r="Y174" s="63"/>
      <c r="Z174" s="63"/>
      <c r="AA174" s="64"/>
      <c r="AB174" s="54"/>
      <c r="AC174" s="54"/>
      <c r="AD174" s="54"/>
      <c r="AE174" s="54"/>
      <c r="AF174" s="54"/>
    </row>
    <row r="175" spans="1:33" ht="12.75" x14ac:dyDescent="0.2">
      <c r="A175" s="55" t="s">
        <v>141</v>
      </c>
      <c r="B175" s="65">
        <f t="shared" ref="B175:I175" si="60">B174*B173</f>
        <v>3.5</v>
      </c>
      <c r="C175" s="65">
        <f t="shared" si="60"/>
        <v>2.6</v>
      </c>
      <c r="D175" s="65">
        <f t="shared" si="60"/>
        <v>0.2</v>
      </c>
      <c r="E175" s="65">
        <f t="shared" si="60"/>
        <v>9</v>
      </c>
      <c r="F175" s="65">
        <f t="shared" si="60"/>
        <v>11</v>
      </c>
      <c r="G175" s="65">
        <f t="shared" si="60"/>
        <v>4</v>
      </c>
      <c r="H175" s="65">
        <f t="shared" si="60"/>
        <v>15</v>
      </c>
      <c r="I175" s="65">
        <f t="shared" si="60"/>
        <v>20</v>
      </c>
      <c r="J175" s="54">
        <f>SUM(B175:I175)</f>
        <v>65.3</v>
      </c>
      <c r="K175" s="56"/>
      <c r="L175" s="55" t="s">
        <v>141</v>
      </c>
      <c r="M175" s="65">
        <f t="shared" ref="M175:V175" si="61">M174*M173</f>
        <v>3.4000000000000004</v>
      </c>
      <c r="N175" s="65">
        <f t="shared" si="61"/>
        <v>5.5</v>
      </c>
      <c r="O175" s="65">
        <f t="shared" si="61"/>
        <v>5.6000000000000005</v>
      </c>
      <c r="P175" s="65">
        <f t="shared" si="61"/>
        <v>4</v>
      </c>
      <c r="Q175" s="65">
        <f t="shared" si="61"/>
        <v>12</v>
      </c>
      <c r="R175" s="65">
        <f t="shared" si="61"/>
        <v>16</v>
      </c>
      <c r="S175" s="65">
        <f t="shared" si="61"/>
        <v>30</v>
      </c>
      <c r="T175" s="65">
        <f t="shared" si="61"/>
        <v>80</v>
      </c>
      <c r="U175" s="65">
        <f t="shared" si="61"/>
        <v>80</v>
      </c>
      <c r="V175" s="65">
        <f t="shared" si="61"/>
        <v>150</v>
      </c>
      <c r="W175" s="54">
        <f>SUM(M175:V175)</f>
        <v>386.5</v>
      </c>
      <c r="X175" s="55">
        <f>W175-J175</f>
        <v>321.2</v>
      </c>
      <c r="Y175" s="63">
        <v>92.5</v>
      </c>
      <c r="Z175" s="63">
        <v>84.4</v>
      </c>
      <c r="AA175" s="66">
        <f>X175+Z175</f>
        <v>405.6</v>
      </c>
      <c r="AB175" s="55">
        <v>70</v>
      </c>
      <c r="AC175" s="55">
        <f>Y175-AB175</f>
        <v>22.5</v>
      </c>
      <c r="AD175" s="55">
        <v>218</v>
      </c>
      <c r="AE175" s="55">
        <v>20</v>
      </c>
      <c r="AF175" s="55">
        <f>AD175-AE175</f>
        <v>198</v>
      </c>
      <c r="AG175" s="61"/>
    </row>
    <row r="176" spans="1:33" ht="12.75" x14ac:dyDescent="0.2">
      <c r="K176" s="56"/>
      <c r="Y176" s="51"/>
      <c r="Z176" s="51"/>
      <c r="AA176" s="67"/>
    </row>
    <row r="177" spans="11:32" ht="12.75" x14ac:dyDescent="0.2">
      <c r="K177" s="56"/>
      <c r="Y177" s="51"/>
      <c r="Z177" s="51"/>
      <c r="AA177" s="67"/>
    </row>
    <row r="178" spans="11:32" ht="15.75" customHeight="1" x14ac:dyDescent="0.25">
      <c r="K178" s="56"/>
      <c r="X178" s="68" t="s">
        <v>208</v>
      </c>
      <c r="Y178" s="69">
        <f t="shared" ref="Y178:AF178" si="62">SUM(Y1:Y175)</f>
        <v>4269</v>
      </c>
      <c r="Z178" s="69">
        <f t="shared" si="62"/>
        <v>1591.8100000000004</v>
      </c>
      <c r="AA178" s="69">
        <f t="shared" si="62"/>
        <v>10271.510000000002</v>
      </c>
      <c r="AB178" s="69">
        <f t="shared" si="62"/>
        <v>1773.23</v>
      </c>
      <c r="AC178" s="69">
        <f t="shared" si="62"/>
        <v>1829.6699999999998</v>
      </c>
      <c r="AD178" s="69">
        <f t="shared" si="62"/>
        <v>4316.5</v>
      </c>
      <c r="AE178" s="69">
        <f t="shared" si="62"/>
        <v>617.27</v>
      </c>
      <c r="AF178" s="69">
        <f t="shared" si="62"/>
        <v>3808.2299999999996</v>
      </c>
    </row>
    <row r="179" spans="11:32" ht="12.75" x14ac:dyDescent="0.2">
      <c r="K179" s="56"/>
      <c r="X179" s="38" t="s">
        <v>209</v>
      </c>
      <c r="Y179" s="51"/>
      <c r="Z179" s="51"/>
      <c r="AA179" s="67"/>
      <c r="AB179" s="38" t="s">
        <v>210</v>
      </c>
      <c r="AC179" s="38">
        <v>-294.75</v>
      </c>
    </row>
    <row r="180" spans="11:32" ht="12.75" x14ac:dyDescent="0.2">
      <c r="K180" s="56"/>
      <c r="Y180" s="51"/>
      <c r="Z180" s="51"/>
      <c r="AA180" s="67"/>
      <c r="AB180" s="38" t="s">
        <v>210</v>
      </c>
      <c r="AC180" s="38">
        <v>-205.75</v>
      </c>
      <c r="AE180" s="38" t="s">
        <v>211</v>
      </c>
      <c r="AF180" s="38">
        <v>-900</v>
      </c>
    </row>
    <row r="181" spans="11:32" ht="12.75" x14ac:dyDescent="0.2">
      <c r="K181" s="56"/>
      <c r="Y181" s="51"/>
      <c r="Z181" s="51"/>
      <c r="AA181" s="67"/>
      <c r="AB181" s="38" t="s">
        <v>156</v>
      </c>
      <c r="AC181" s="38">
        <v>-150</v>
      </c>
      <c r="AE181" s="38" t="s">
        <v>212</v>
      </c>
      <c r="AF181" s="38">
        <v>-900</v>
      </c>
    </row>
    <row r="182" spans="11:32" ht="12.75" x14ac:dyDescent="0.2">
      <c r="K182" s="56"/>
      <c r="Y182" s="51"/>
      <c r="Z182" s="51"/>
      <c r="AA182" s="67"/>
      <c r="AE182" s="38" t="s">
        <v>213</v>
      </c>
      <c r="AF182" s="38">
        <v>-600</v>
      </c>
    </row>
    <row r="183" spans="11:32" ht="12.75" x14ac:dyDescent="0.2">
      <c r="K183" s="56"/>
      <c r="Y183" s="51"/>
      <c r="Z183" s="51"/>
      <c r="AA183" s="67"/>
      <c r="AE183" s="38" t="s">
        <v>214</v>
      </c>
    </row>
    <row r="184" spans="11:32" ht="12.75" x14ac:dyDescent="0.2">
      <c r="K184" s="56"/>
      <c r="Y184" s="51"/>
      <c r="Z184" s="51"/>
      <c r="AA184" s="67"/>
    </row>
    <row r="185" spans="11:32" ht="12.75" x14ac:dyDescent="0.2">
      <c r="K185" s="56"/>
      <c r="Y185" s="51"/>
      <c r="Z185" s="51"/>
      <c r="AA185" s="67"/>
    </row>
    <row r="186" spans="11:32" ht="12.75" x14ac:dyDescent="0.2">
      <c r="K186" s="56"/>
      <c r="Y186" s="51"/>
      <c r="Z186" s="51"/>
      <c r="AA186" s="67"/>
    </row>
    <row r="187" spans="11:32" ht="12.75" x14ac:dyDescent="0.2">
      <c r="K187" s="56"/>
      <c r="Y187" s="51"/>
      <c r="Z187" s="51"/>
      <c r="AA187" s="67"/>
    </row>
    <row r="188" spans="11:32" ht="12.75" x14ac:dyDescent="0.2">
      <c r="K188" s="56"/>
      <c r="Y188" s="51"/>
      <c r="Z188" s="51"/>
      <c r="AA188" s="67"/>
    </row>
    <row r="189" spans="11:32" ht="12.75" x14ac:dyDescent="0.2">
      <c r="K189" s="56"/>
      <c r="Y189" s="51"/>
      <c r="Z189" s="51"/>
      <c r="AA189" s="67"/>
    </row>
    <row r="190" spans="11:32" ht="12.75" x14ac:dyDescent="0.2">
      <c r="K190" s="56"/>
      <c r="Y190" s="51"/>
      <c r="Z190" s="51"/>
      <c r="AA190" s="67"/>
    </row>
    <row r="191" spans="11:32" ht="12.75" x14ac:dyDescent="0.2">
      <c r="K191" s="56"/>
      <c r="Y191" s="51"/>
      <c r="Z191" s="51"/>
      <c r="AA191" s="67"/>
    </row>
    <row r="192" spans="11:32" ht="12.75" x14ac:dyDescent="0.2">
      <c r="K192" s="56"/>
      <c r="Y192" s="51"/>
      <c r="Z192" s="51"/>
      <c r="AA192" s="67"/>
    </row>
    <row r="193" spans="11:27" ht="12.75" x14ac:dyDescent="0.2">
      <c r="K193" s="56"/>
      <c r="Y193" s="51"/>
      <c r="Z193" s="51"/>
      <c r="AA193" s="67"/>
    </row>
    <row r="194" spans="11:27" ht="12.75" x14ac:dyDescent="0.2">
      <c r="K194" s="56"/>
      <c r="Y194" s="51"/>
      <c r="Z194" s="51"/>
      <c r="AA194" s="67"/>
    </row>
    <row r="195" spans="11:27" ht="12.75" x14ac:dyDescent="0.2">
      <c r="K195" s="56"/>
      <c r="Y195" s="51"/>
      <c r="Z195" s="51"/>
      <c r="AA195" s="67"/>
    </row>
    <row r="196" spans="11:27" ht="12.75" x14ac:dyDescent="0.2">
      <c r="K196" s="56"/>
      <c r="Y196" s="51"/>
      <c r="Z196" s="51"/>
      <c r="AA196" s="67"/>
    </row>
    <row r="197" spans="11:27" ht="12.75" x14ac:dyDescent="0.2">
      <c r="K197" s="56"/>
      <c r="Y197" s="51"/>
      <c r="Z197" s="51"/>
      <c r="AA197" s="67"/>
    </row>
    <row r="198" spans="11:27" ht="12.75" x14ac:dyDescent="0.2">
      <c r="K198" s="56"/>
      <c r="Y198" s="51"/>
      <c r="Z198" s="51"/>
      <c r="AA198" s="67"/>
    </row>
    <row r="199" spans="11:27" ht="12.75" x14ac:dyDescent="0.2">
      <c r="K199" s="56"/>
      <c r="Y199" s="51"/>
      <c r="Z199" s="51"/>
      <c r="AA199" s="67"/>
    </row>
    <row r="200" spans="11:27" ht="12.75" x14ac:dyDescent="0.2">
      <c r="K200" s="56"/>
      <c r="Y200" s="51"/>
      <c r="Z200" s="51"/>
      <c r="AA200" s="67"/>
    </row>
    <row r="201" spans="11:27" ht="12.75" x14ac:dyDescent="0.2">
      <c r="K201" s="56"/>
      <c r="Y201" s="51"/>
      <c r="Z201" s="51"/>
      <c r="AA201" s="67"/>
    </row>
    <row r="202" spans="11:27" ht="12.75" x14ac:dyDescent="0.2">
      <c r="K202" s="56"/>
      <c r="Y202" s="51"/>
      <c r="Z202" s="51"/>
      <c r="AA202" s="67"/>
    </row>
    <row r="203" spans="11:27" ht="12.75" x14ac:dyDescent="0.2">
      <c r="K203" s="56"/>
      <c r="Y203" s="51"/>
      <c r="Z203" s="51"/>
      <c r="AA203" s="67"/>
    </row>
    <row r="204" spans="11:27" ht="12.75" x14ac:dyDescent="0.2">
      <c r="K204" s="56"/>
      <c r="Y204" s="51"/>
      <c r="Z204" s="51"/>
      <c r="AA204" s="67"/>
    </row>
    <row r="205" spans="11:27" ht="12.75" x14ac:dyDescent="0.2">
      <c r="K205" s="56"/>
      <c r="Y205" s="51"/>
      <c r="Z205" s="51"/>
      <c r="AA205" s="67"/>
    </row>
    <row r="206" spans="11:27" ht="12.75" x14ac:dyDescent="0.2">
      <c r="K206" s="56"/>
      <c r="Y206" s="51"/>
      <c r="Z206" s="51"/>
      <c r="AA206" s="67"/>
    </row>
    <row r="207" spans="11:27" ht="12.75" x14ac:dyDescent="0.2">
      <c r="K207" s="56"/>
      <c r="Y207" s="51"/>
      <c r="Z207" s="51"/>
      <c r="AA207" s="67"/>
    </row>
    <row r="208" spans="11:27" ht="12.75" x14ac:dyDescent="0.2">
      <c r="K208" s="56"/>
      <c r="Y208" s="51"/>
      <c r="Z208" s="51"/>
      <c r="AA208" s="67"/>
    </row>
    <row r="209" spans="11:27" ht="12.75" x14ac:dyDescent="0.2">
      <c r="K209" s="56"/>
      <c r="Y209" s="51"/>
      <c r="Z209" s="51"/>
      <c r="AA209" s="67"/>
    </row>
    <row r="210" spans="11:27" ht="12.75" x14ac:dyDescent="0.2">
      <c r="K210" s="56"/>
      <c r="Y210" s="51"/>
      <c r="Z210" s="51"/>
      <c r="AA210" s="67"/>
    </row>
    <row r="211" spans="11:27" ht="12.75" x14ac:dyDescent="0.2">
      <c r="K211" s="56"/>
      <c r="Y211" s="51"/>
      <c r="Z211" s="51"/>
      <c r="AA211" s="67"/>
    </row>
    <row r="212" spans="11:27" ht="12.75" x14ac:dyDescent="0.2">
      <c r="K212" s="56"/>
      <c r="Y212" s="51"/>
      <c r="Z212" s="51"/>
      <c r="AA212" s="67"/>
    </row>
    <row r="213" spans="11:27" ht="12.75" x14ac:dyDescent="0.2">
      <c r="K213" s="56"/>
      <c r="Y213" s="51"/>
      <c r="Z213" s="51"/>
      <c r="AA213" s="67"/>
    </row>
    <row r="214" spans="11:27" ht="12.75" x14ac:dyDescent="0.2">
      <c r="K214" s="56"/>
      <c r="Y214" s="51"/>
      <c r="Z214" s="51"/>
      <c r="AA214" s="67"/>
    </row>
    <row r="215" spans="11:27" ht="12.75" x14ac:dyDescent="0.2">
      <c r="K215" s="56"/>
      <c r="Y215" s="51"/>
      <c r="Z215" s="51"/>
      <c r="AA215" s="67"/>
    </row>
    <row r="216" spans="11:27" ht="12.75" x14ac:dyDescent="0.2">
      <c r="K216" s="56"/>
      <c r="Y216" s="51"/>
      <c r="Z216" s="51"/>
      <c r="AA216" s="67"/>
    </row>
    <row r="217" spans="11:27" ht="12.75" x14ac:dyDescent="0.2">
      <c r="K217" s="56"/>
      <c r="Y217" s="51"/>
      <c r="Z217" s="51"/>
      <c r="AA217" s="67"/>
    </row>
    <row r="218" spans="11:27" ht="12.75" x14ac:dyDescent="0.2">
      <c r="K218" s="56"/>
      <c r="Y218" s="51"/>
      <c r="Z218" s="51"/>
      <c r="AA218" s="67"/>
    </row>
    <row r="219" spans="11:27" ht="12.75" x14ac:dyDescent="0.2">
      <c r="K219" s="56"/>
      <c r="Y219" s="51"/>
      <c r="Z219" s="51"/>
      <c r="AA219" s="67"/>
    </row>
    <row r="220" spans="11:27" ht="12.75" x14ac:dyDescent="0.2">
      <c r="K220" s="56"/>
      <c r="Y220" s="51"/>
      <c r="Z220" s="51"/>
      <c r="AA220" s="67"/>
    </row>
    <row r="221" spans="11:27" ht="12.75" x14ac:dyDescent="0.2">
      <c r="K221" s="56"/>
      <c r="Y221" s="51"/>
      <c r="Z221" s="51"/>
      <c r="AA221" s="67"/>
    </row>
    <row r="222" spans="11:27" ht="12.75" x14ac:dyDescent="0.2">
      <c r="K222" s="56"/>
      <c r="Y222" s="51"/>
      <c r="Z222" s="51"/>
      <c r="AA222" s="67"/>
    </row>
    <row r="223" spans="11:27" ht="12.75" x14ac:dyDescent="0.2">
      <c r="K223" s="56"/>
      <c r="Y223" s="51"/>
      <c r="Z223" s="51"/>
      <c r="AA223" s="67"/>
    </row>
    <row r="224" spans="11:27" ht="12.75" x14ac:dyDescent="0.2">
      <c r="K224" s="56"/>
      <c r="Y224" s="51"/>
      <c r="Z224" s="51"/>
      <c r="AA224" s="67"/>
    </row>
    <row r="225" spans="11:27" ht="12.75" x14ac:dyDescent="0.2">
      <c r="K225" s="56"/>
      <c r="Y225" s="51"/>
      <c r="Z225" s="51"/>
      <c r="AA225" s="67"/>
    </row>
    <row r="226" spans="11:27" ht="12.75" x14ac:dyDescent="0.2">
      <c r="K226" s="56"/>
      <c r="Y226" s="51"/>
      <c r="Z226" s="51"/>
      <c r="AA226" s="67"/>
    </row>
    <row r="227" spans="11:27" ht="12.75" x14ac:dyDescent="0.2">
      <c r="K227" s="56"/>
      <c r="Y227" s="51"/>
      <c r="Z227" s="51"/>
      <c r="AA227" s="67"/>
    </row>
    <row r="228" spans="11:27" ht="12.75" x14ac:dyDescent="0.2">
      <c r="K228" s="56"/>
      <c r="Y228" s="51"/>
      <c r="Z228" s="51"/>
      <c r="AA228" s="67"/>
    </row>
    <row r="229" spans="11:27" ht="12.75" x14ac:dyDescent="0.2">
      <c r="K229" s="56"/>
      <c r="Y229" s="51"/>
      <c r="Z229" s="51"/>
      <c r="AA229" s="67"/>
    </row>
    <row r="230" spans="11:27" ht="12.75" x14ac:dyDescent="0.2">
      <c r="K230" s="56"/>
      <c r="Y230" s="51"/>
      <c r="Z230" s="51"/>
      <c r="AA230" s="67"/>
    </row>
    <row r="231" spans="11:27" ht="12.75" x14ac:dyDescent="0.2">
      <c r="K231" s="56"/>
      <c r="Y231" s="51"/>
      <c r="Z231" s="51"/>
      <c r="AA231" s="67"/>
    </row>
    <row r="232" spans="11:27" ht="12.75" x14ac:dyDescent="0.2">
      <c r="K232" s="56"/>
      <c r="Y232" s="51"/>
      <c r="Z232" s="51"/>
      <c r="AA232" s="67"/>
    </row>
    <row r="233" spans="11:27" ht="12.75" x14ac:dyDescent="0.2">
      <c r="K233" s="56"/>
      <c r="Y233" s="51"/>
      <c r="Z233" s="51"/>
      <c r="AA233" s="67"/>
    </row>
    <row r="234" spans="11:27" ht="12.75" x14ac:dyDescent="0.2">
      <c r="K234" s="56"/>
      <c r="Y234" s="51"/>
      <c r="Z234" s="51"/>
      <c r="AA234" s="67"/>
    </row>
    <row r="235" spans="11:27" ht="12.75" x14ac:dyDescent="0.2">
      <c r="K235" s="56"/>
      <c r="Y235" s="51"/>
      <c r="Z235" s="51"/>
      <c r="AA235" s="67"/>
    </row>
    <row r="236" spans="11:27" ht="12.75" x14ac:dyDescent="0.2">
      <c r="K236" s="56"/>
      <c r="Y236" s="51"/>
      <c r="Z236" s="51"/>
      <c r="AA236" s="67"/>
    </row>
    <row r="237" spans="11:27" ht="12.75" x14ac:dyDescent="0.2">
      <c r="K237" s="56"/>
      <c r="Y237" s="51"/>
      <c r="Z237" s="51"/>
      <c r="AA237" s="67"/>
    </row>
    <row r="238" spans="11:27" ht="12.75" x14ac:dyDescent="0.2">
      <c r="K238" s="56"/>
      <c r="Y238" s="51"/>
      <c r="Z238" s="51"/>
      <c r="AA238" s="67"/>
    </row>
    <row r="239" spans="11:27" ht="12.75" x14ac:dyDescent="0.2">
      <c r="K239" s="56"/>
      <c r="Y239" s="51"/>
      <c r="Z239" s="51"/>
      <c r="AA239" s="67"/>
    </row>
    <row r="240" spans="11:27" ht="12.75" x14ac:dyDescent="0.2">
      <c r="K240" s="56"/>
      <c r="Y240" s="51"/>
      <c r="Z240" s="51"/>
      <c r="AA240" s="67"/>
    </row>
    <row r="241" spans="11:27" ht="12.75" x14ac:dyDescent="0.2">
      <c r="K241" s="56"/>
      <c r="Y241" s="51"/>
      <c r="Z241" s="51"/>
      <c r="AA241" s="67"/>
    </row>
    <row r="242" spans="11:27" ht="12.75" x14ac:dyDescent="0.2">
      <c r="K242" s="56"/>
      <c r="Y242" s="51"/>
      <c r="Z242" s="51"/>
      <c r="AA242" s="67"/>
    </row>
    <row r="243" spans="11:27" ht="12.75" x14ac:dyDescent="0.2">
      <c r="K243" s="56"/>
      <c r="Y243" s="51"/>
      <c r="Z243" s="51"/>
      <c r="AA243" s="67"/>
    </row>
    <row r="244" spans="11:27" ht="12.75" x14ac:dyDescent="0.2">
      <c r="K244" s="56"/>
      <c r="Y244" s="51"/>
      <c r="Z244" s="51"/>
      <c r="AA244" s="67"/>
    </row>
    <row r="245" spans="11:27" ht="12.75" x14ac:dyDescent="0.2">
      <c r="K245" s="56"/>
      <c r="Y245" s="51"/>
      <c r="Z245" s="51"/>
      <c r="AA245" s="67"/>
    </row>
    <row r="246" spans="11:27" ht="12.75" x14ac:dyDescent="0.2">
      <c r="K246" s="56"/>
      <c r="Y246" s="51"/>
      <c r="Z246" s="51"/>
      <c r="AA246" s="67"/>
    </row>
    <row r="247" spans="11:27" ht="12.75" x14ac:dyDescent="0.2">
      <c r="K247" s="56"/>
      <c r="Y247" s="51"/>
      <c r="Z247" s="51"/>
      <c r="AA247" s="67"/>
    </row>
    <row r="248" spans="11:27" ht="12.75" x14ac:dyDescent="0.2">
      <c r="K248" s="56"/>
      <c r="Y248" s="51"/>
      <c r="Z248" s="51"/>
      <c r="AA248" s="67"/>
    </row>
    <row r="249" spans="11:27" ht="12.75" x14ac:dyDescent="0.2">
      <c r="K249" s="56"/>
      <c r="Y249" s="51"/>
      <c r="Z249" s="51"/>
      <c r="AA249" s="67"/>
    </row>
    <row r="250" spans="11:27" ht="12.75" x14ac:dyDescent="0.2">
      <c r="K250" s="56"/>
      <c r="Y250" s="51"/>
      <c r="Z250" s="51"/>
      <c r="AA250" s="67"/>
    </row>
    <row r="251" spans="11:27" ht="12.75" x14ac:dyDescent="0.2">
      <c r="K251" s="56"/>
      <c r="Y251" s="51"/>
      <c r="Z251" s="51"/>
      <c r="AA251" s="67"/>
    </row>
    <row r="252" spans="11:27" ht="12.75" x14ac:dyDescent="0.2">
      <c r="K252" s="56"/>
      <c r="Y252" s="51"/>
      <c r="Z252" s="51"/>
      <c r="AA252" s="67"/>
    </row>
    <row r="253" spans="11:27" ht="12.75" x14ac:dyDescent="0.2">
      <c r="K253" s="56"/>
      <c r="Y253" s="51"/>
      <c r="Z253" s="51"/>
      <c r="AA253" s="67"/>
    </row>
    <row r="254" spans="11:27" ht="12.75" x14ac:dyDescent="0.2">
      <c r="K254" s="56"/>
      <c r="Y254" s="51"/>
      <c r="Z254" s="51"/>
      <c r="AA254" s="67"/>
    </row>
    <row r="255" spans="11:27" ht="12.75" x14ac:dyDescent="0.2">
      <c r="K255" s="56"/>
      <c r="Y255" s="51"/>
      <c r="Z255" s="51"/>
      <c r="AA255" s="67"/>
    </row>
    <row r="256" spans="11:27" ht="12.75" x14ac:dyDescent="0.2">
      <c r="K256" s="56"/>
      <c r="Y256" s="51"/>
      <c r="Z256" s="51"/>
      <c r="AA256" s="67"/>
    </row>
    <row r="257" spans="11:27" ht="12.75" x14ac:dyDescent="0.2">
      <c r="K257" s="56"/>
      <c r="Y257" s="51"/>
      <c r="Z257" s="51"/>
      <c r="AA257" s="67"/>
    </row>
    <row r="258" spans="11:27" ht="12.75" x14ac:dyDescent="0.2">
      <c r="K258" s="56"/>
      <c r="Y258" s="51"/>
      <c r="Z258" s="51"/>
      <c r="AA258" s="67"/>
    </row>
    <row r="259" spans="11:27" ht="12.75" x14ac:dyDescent="0.2">
      <c r="K259" s="56"/>
      <c r="Y259" s="51"/>
      <c r="Z259" s="51"/>
      <c r="AA259" s="67"/>
    </row>
    <row r="260" spans="11:27" ht="12.75" x14ac:dyDescent="0.2">
      <c r="K260" s="56"/>
      <c r="Y260" s="51"/>
      <c r="Z260" s="51"/>
      <c r="AA260" s="67"/>
    </row>
    <row r="261" spans="11:27" ht="12.75" x14ac:dyDescent="0.2">
      <c r="K261" s="56"/>
      <c r="Y261" s="51"/>
      <c r="Z261" s="51"/>
      <c r="AA261" s="67"/>
    </row>
    <row r="262" spans="11:27" ht="12.75" x14ac:dyDescent="0.2">
      <c r="K262" s="56"/>
      <c r="Y262" s="51"/>
      <c r="Z262" s="51"/>
      <c r="AA262" s="67"/>
    </row>
    <row r="263" spans="11:27" ht="12.75" x14ac:dyDescent="0.2">
      <c r="K263" s="56"/>
      <c r="Y263" s="51"/>
      <c r="Z263" s="51"/>
      <c r="AA263" s="67"/>
    </row>
    <row r="264" spans="11:27" ht="12.75" x14ac:dyDescent="0.2">
      <c r="K264" s="56"/>
      <c r="Y264" s="51"/>
      <c r="Z264" s="51"/>
      <c r="AA264" s="67"/>
    </row>
    <row r="265" spans="11:27" ht="12.75" x14ac:dyDescent="0.2">
      <c r="K265" s="56"/>
      <c r="Y265" s="51"/>
      <c r="Z265" s="51"/>
      <c r="AA265" s="67"/>
    </row>
    <row r="266" spans="11:27" ht="12.75" x14ac:dyDescent="0.2">
      <c r="K266" s="56"/>
      <c r="Y266" s="51"/>
      <c r="Z266" s="51"/>
      <c r="AA266" s="67"/>
    </row>
    <row r="267" spans="11:27" ht="12.75" x14ac:dyDescent="0.2">
      <c r="K267" s="56"/>
      <c r="Y267" s="51"/>
      <c r="Z267" s="51"/>
      <c r="AA267" s="67"/>
    </row>
    <row r="268" spans="11:27" ht="12.75" x14ac:dyDescent="0.2">
      <c r="K268" s="56"/>
      <c r="Y268" s="51"/>
      <c r="Z268" s="51"/>
      <c r="AA268" s="67"/>
    </row>
    <row r="269" spans="11:27" ht="12.75" x14ac:dyDescent="0.2">
      <c r="K269" s="56"/>
      <c r="Y269" s="51"/>
      <c r="Z269" s="51"/>
      <c r="AA269" s="67"/>
    </row>
    <row r="270" spans="11:27" ht="12.75" x14ac:dyDescent="0.2">
      <c r="K270" s="56"/>
      <c r="Y270" s="51"/>
      <c r="Z270" s="51"/>
      <c r="AA270" s="67"/>
    </row>
    <row r="271" spans="11:27" ht="12.75" x14ac:dyDescent="0.2">
      <c r="K271" s="56"/>
      <c r="Y271" s="51"/>
      <c r="Z271" s="51"/>
      <c r="AA271" s="67"/>
    </row>
    <row r="272" spans="11:27" ht="12.75" x14ac:dyDescent="0.2">
      <c r="K272" s="56"/>
      <c r="Y272" s="51"/>
      <c r="Z272" s="51"/>
      <c r="AA272" s="67"/>
    </row>
    <row r="273" spans="11:27" ht="12.75" x14ac:dyDescent="0.2">
      <c r="K273" s="56"/>
      <c r="Y273" s="51"/>
      <c r="Z273" s="51"/>
      <c r="AA273" s="67"/>
    </row>
    <row r="274" spans="11:27" ht="12.75" x14ac:dyDescent="0.2">
      <c r="K274" s="56"/>
      <c r="Y274" s="51"/>
      <c r="Z274" s="51"/>
      <c r="AA274" s="67"/>
    </row>
    <row r="275" spans="11:27" ht="12.75" x14ac:dyDescent="0.2">
      <c r="K275" s="56"/>
      <c r="Y275" s="51"/>
      <c r="Z275" s="51"/>
      <c r="AA275" s="67"/>
    </row>
    <row r="276" spans="11:27" ht="12.75" x14ac:dyDescent="0.2">
      <c r="K276" s="56"/>
      <c r="Y276" s="51"/>
      <c r="Z276" s="51"/>
      <c r="AA276" s="67"/>
    </row>
    <row r="277" spans="11:27" ht="12.75" x14ac:dyDescent="0.2">
      <c r="K277" s="56"/>
      <c r="Y277" s="51"/>
      <c r="Z277" s="51"/>
      <c r="AA277" s="67"/>
    </row>
    <row r="278" spans="11:27" ht="12.75" x14ac:dyDescent="0.2">
      <c r="K278" s="56"/>
      <c r="Y278" s="51"/>
      <c r="Z278" s="51"/>
      <c r="AA278" s="67"/>
    </row>
    <row r="279" spans="11:27" ht="12.75" x14ac:dyDescent="0.2">
      <c r="K279" s="56"/>
      <c r="Y279" s="51"/>
      <c r="Z279" s="51"/>
      <c r="AA279" s="67"/>
    </row>
    <row r="280" spans="11:27" ht="12.75" x14ac:dyDescent="0.2">
      <c r="K280" s="56"/>
      <c r="Y280" s="51"/>
      <c r="Z280" s="51"/>
      <c r="AA280" s="67"/>
    </row>
    <row r="281" spans="11:27" ht="12.75" x14ac:dyDescent="0.2">
      <c r="K281" s="56"/>
      <c r="Y281" s="51"/>
      <c r="Z281" s="51"/>
      <c r="AA281" s="67"/>
    </row>
    <row r="282" spans="11:27" ht="12.75" x14ac:dyDescent="0.2">
      <c r="K282" s="56"/>
      <c r="Y282" s="51"/>
      <c r="Z282" s="51"/>
      <c r="AA282" s="67"/>
    </row>
    <row r="283" spans="11:27" ht="12.75" x14ac:dyDescent="0.2">
      <c r="K283" s="56"/>
      <c r="Y283" s="51"/>
      <c r="Z283" s="51"/>
      <c r="AA283" s="67"/>
    </row>
    <row r="284" spans="11:27" ht="12.75" x14ac:dyDescent="0.2">
      <c r="K284" s="56"/>
      <c r="Y284" s="51"/>
      <c r="Z284" s="51"/>
      <c r="AA284" s="67"/>
    </row>
    <row r="285" spans="11:27" ht="12.75" x14ac:dyDescent="0.2">
      <c r="K285" s="56"/>
      <c r="Y285" s="51"/>
      <c r="Z285" s="51"/>
      <c r="AA285" s="67"/>
    </row>
    <row r="286" spans="11:27" ht="12.75" x14ac:dyDescent="0.2">
      <c r="K286" s="56"/>
      <c r="Y286" s="51"/>
      <c r="Z286" s="51"/>
      <c r="AA286" s="67"/>
    </row>
    <row r="287" spans="11:27" ht="12.75" x14ac:dyDescent="0.2">
      <c r="K287" s="56"/>
      <c r="Y287" s="51"/>
      <c r="Z287" s="51"/>
      <c r="AA287" s="67"/>
    </row>
    <row r="288" spans="11:27" ht="12.75" x14ac:dyDescent="0.2">
      <c r="K288" s="56"/>
      <c r="Y288" s="51"/>
      <c r="Z288" s="51"/>
      <c r="AA288" s="67"/>
    </row>
    <row r="289" spans="11:27" ht="12.75" x14ac:dyDescent="0.2">
      <c r="K289" s="56"/>
      <c r="Y289" s="51"/>
      <c r="Z289" s="51"/>
      <c r="AA289" s="67"/>
    </row>
    <row r="290" spans="11:27" ht="12.75" x14ac:dyDescent="0.2">
      <c r="K290" s="56"/>
      <c r="Y290" s="51"/>
      <c r="Z290" s="51"/>
      <c r="AA290" s="67"/>
    </row>
    <row r="291" spans="11:27" ht="12.75" x14ac:dyDescent="0.2">
      <c r="K291" s="56"/>
      <c r="Y291" s="51"/>
      <c r="Z291" s="51"/>
      <c r="AA291" s="67"/>
    </row>
    <row r="292" spans="11:27" ht="12.75" x14ac:dyDescent="0.2">
      <c r="K292" s="56"/>
      <c r="Y292" s="51"/>
      <c r="Z292" s="51"/>
      <c r="AA292" s="67"/>
    </row>
    <row r="293" spans="11:27" ht="12.75" x14ac:dyDescent="0.2">
      <c r="K293" s="56"/>
      <c r="Y293" s="51"/>
      <c r="Z293" s="51"/>
      <c r="AA293" s="67"/>
    </row>
    <row r="294" spans="11:27" ht="12.75" x14ac:dyDescent="0.2">
      <c r="K294" s="56"/>
      <c r="Y294" s="51"/>
      <c r="Z294" s="51"/>
      <c r="AA294" s="67"/>
    </row>
    <row r="295" spans="11:27" ht="12.75" x14ac:dyDescent="0.2">
      <c r="K295" s="56"/>
      <c r="Y295" s="51"/>
      <c r="Z295" s="51"/>
      <c r="AA295" s="67"/>
    </row>
    <row r="296" spans="11:27" ht="12.75" x14ac:dyDescent="0.2">
      <c r="K296" s="56"/>
      <c r="Y296" s="51"/>
      <c r="Z296" s="51"/>
      <c r="AA296" s="67"/>
    </row>
    <row r="297" spans="11:27" ht="12.75" x14ac:dyDescent="0.2">
      <c r="K297" s="56"/>
      <c r="Y297" s="51"/>
      <c r="Z297" s="51"/>
      <c r="AA297" s="67"/>
    </row>
    <row r="298" spans="11:27" ht="12.75" x14ac:dyDescent="0.2">
      <c r="K298" s="56"/>
      <c r="Y298" s="51"/>
      <c r="Z298" s="51"/>
      <c r="AA298" s="67"/>
    </row>
    <row r="299" spans="11:27" ht="12.75" x14ac:dyDescent="0.2">
      <c r="K299" s="56"/>
      <c r="Y299" s="51"/>
      <c r="Z299" s="51"/>
      <c r="AA299" s="67"/>
    </row>
    <row r="300" spans="11:27" ht="12.75" x14ac:dyDescent="0.2">
      <c r="K300" s="56"/>
      <c r="Y300" s="51"/>
      <c r="Z300" s="51"/>
      <c r="AA300" s="67"/>
    </row>
    <row r="301" spans="11:27" ht="12.75" x14ac:dyDescent="0.2">
      <c r="K301" s="56"/>
      <c r="Y301" s="51"/>
      <c r="Z301" s="51"/>
      <c r="AA301" s="67"/>
    </row>
    <row r="302" spans="11:27" ht="12.75" x14ac:dyDescent="0.2">
      <c r="K302" s="56"/>
      <c r="Y302" s="51"/>
      <c r="Z302" s="51"/>
      <c r="AA302" s="67"/>
    </row>
    <row r="303" spans="11:27" ht="12.75" x14ac:dyDescent="0.2">
      <c r="K303" s="56"/>
      <c r="Y303" s="51"/>
      <c r="Z303" s="51"/>
      <c r="AA303" s="67"/>
    </row>
    <row r="304" spans="11:27" ht="12.75" x14ac:dyDescent="0.2">
      <c r="K304" s="56"/>
      <c r="Y304" s="51"/>
      <c r="Z304" s="51"/>
      <c r="AA304" s="67"/>
    </row>
    <row r="305" spans="11:27" ht="12.75" x14ac:dyDescent="0.2">
      <c r="K305" s="56"/>
      <c r="Y305" s="51"/>
      <c r="Z305" s="51"/>
      <c r="AA305" s="67"/>
    </row>
    <row r="306" spans="11:27" ht="12.75" x14ac:dyDescent="0.2">
      <c r="K306" s="56"/>
      <c r="Y306" s="51"/>
      <c r="Z306" s="51"/>
      <c r="AA306" s="67"/>
    </row>
    <row r="307" spans="11:27" ht="12.75" x14ac:dyDescent="0.2">
      <c r="K307" s="56"/>
      <c r="Y307" s="51"/>
      <c r="Z307" s="51"/>
      <c r="AA307" s="67"/>
    </row>
    <row r="308" spans="11:27" ht="12.75" x14ac:dyDescent="0.2">
      <c r="K308" s="56"/>
      <c r="Y308" s="51"/>
      <c r="Z308" s="51"/>
      <c r="AA308" s="67"/>
    </row>
    <row r="309" spans="11:27" ht="12.75" x14ac:dyDescent="0.2">
      <c r="K309" s="56"/>
      <c r="Y309" s="51"/>
      <c r="Z309" s="51"/>
      <c r="AA309" s="67"/>
    </row>
    <row r="310" spans="11:27" ht="12.75" x14ac:dyDescent="0.2">
      <c r="K310" s="56"/>
      <c r="Y310" s="51"/>
      <c r="Z310" s="51"/>
      <c r="AA310" s="67"/>
    </row>
    <row r="311" spans="11:27" ht="12.75" x14ac:dyDescent="0.2">
      <c r="K311" s="56"/>
      <c r="Y311" s="51"/>
      <c r="Z311" s="51"/>
      <c r="AA311" s="67"/>
    </row>
    <row r="312" spans="11:27" ht="12.75" x14ac:dyDescent="0.2">
      <c r="K312" s="56"/>
      <c r="Y312" s="51"/>
      <c r="Z312" s="51"/>
      <c r="AA312" s="67"/>
    </row>
    <row r="313" spans="11:27" ht="12.75" x14ac:dyDescent="0.2">
      <c r="K313" s="56"/>
      <c r="Y313" s="51"/>
      <c r="Z313" s="51"/>
      <c r="AA313" s="67"/>
    </row>
    <row r="314" spans="11:27" ht="12.75" x14ac:dyDescent="0.2">
      <c r="K314" s="56"/>
      <c r="Y314" s="51"/>
      <c r="Z314" s="51"/>
      <c r="AA314" s="67"/>
    </row>
    <row r="315" spans="11:27" ht="12.75" x14ac:dyDescent="0.2">
      <c r="K315" s="56"/>
      <c r="Y315" s="51"/>
      <c r="Z315" s="51"/>
      <c r="AA315" s="67"/>
    </row>
    <row r="316" spans="11:27" ht="12.75" x14ac:dyDescent="0.2">
      <c r="K316" s="56"/>
      <c r="Y316" s="51"/>
      <c r="Z316" s="51"/>
      <c r="AA316" s="67"/>
    </row>
    <row r="317" spans="11:27" ht="12.75" x14ac:dyDescent="0.2">
      <c r="K317" s="56"/>
      <c r="Y317" s="51"/>
      <c r="Z317" s="51"/>
      <c r="AA317" s="67"/>
    </row>
    <row r="318" spans="11:27" ht="12.75" x14ac:dyDescent="0.2">
      <c r="K318" s="56"/>
      <c r="Y318" s="51"/>
      <c r="Z318" s="51"/>
      <c r="AA318" s="67"/>
    </row>
    <row r="319" spans="11:27" ht="12.75" x14ac:dyDescent="0.2">
      <c r="K319" s="56"/>
      <c r="Y319" s="51"/>
      <c r="Z319" s="51"/>
      <c r="AA319" s="67"/>
    </row>
    <row r="320" spans="11:27" ht="12.75" x14ac:dyDescent="0.2">
      <c r="K320" s="56"/>
      <c r="Y320" s="51"/>
      <c r="Z320" s="51"/>
      <c r="AA320" s="67"/>
    </row>
    <row r="321" spans="11:27" ht="12.75" x14ac:dyDescent="0.2">
      <c r="K321" s="56"/>
      <c r="Y321" s="51"/>
      <c r="Z321" s="51"/>
      <c r="AA321" s="67"/>
    </row>
    <row r="322" spans="11:27" ht="12.75" x14ac:dyDescent="0.2">
      <c r="K322" s="56"/>
      <c r="Y322" s="51"/>
      <c r="Z322" s="51"/>
      <c r="AA322" s="67"/>
    </row>
    <row r="323" spans="11:27" ht="12.75" x14ac:dyDescent="0.2">
      <c r="K323" s="56"/>
      <c r="Y323" s="51"/>
      <c r="Z323" s="51"/>
      <c r="AA323" s="67"/>
    </row>
    <row r="324" spans="11:27" ht="12.75" x14ac:dyDescent="0.2">
      <c r="K324" s="56"/>
      <c r="Y324" s="51"/>
      <c r="Z324" s="51"/>
      <c r="AA324" s="67"/>
    </row>
    <row r="325" spans="11:27" ht="12.75" x14ac:dyDescent="0.2">
      <c r="K325" s="56"/>
      <c r="Y325" s="51"/>
      <c r="Z325" s="51"/>
      <c r="AA325" s="67"/>
    </row>
    <row r="326" spans="11:27" ht="12.75" x14ac:dyDescent="0.2">
      <c r="K326" s="56"/>
      <c r="Y326" s="51"/>
      <c r="Z326" s="51"/>
      <c r="AA326" s="67"/>
    </row>
    <row r="327" spans="11:27" ht="12.75" x14ac:dyDescent="0.2">
      <c r="K327" s="56"/>
      <c r="Y327" s="51"/>
      <c r="Z327" s="51"/>
      <c r="AA327" s="67"/>
    </row>
    <row r="328" spans="11:27" ht="12.75" x14ac:dyDescent="0.2">
      <c r="K328" s="56"/>
      <c r="Y328" s="51"/>
      <c r="Z328" s="51"/>
      <c r="AA328" s="67"/>
    </row>
    <row r="329" spans="11:27" ht="12.75" x14ac:dyDescent="0.2">
      <c r="K329" s="56"/>
      <c r="Y329" s="51"/>
      <c r="Z329" s="51"/>
      <c r="AA329" s="67"/>
    </row>
    <row r="330" spans="11:27" ht="12.75" x14ac:dyDescent="0.2">
      <c r="K330" s="56"/>
      <c r="Y330" s="51"/>
      <c r="Z330" s="51"/>
      <c r="AA330" s="67"/>
    </row>
    <row r="331" spans="11:27" ht="12.75" x14ac:dyDescent="0.2">
      <c r="K331" s="56"/>
      <c r="Y331" s="51"/>
      <c r="Z331" s="51"/>
      <c r="AA331" s="67"/>
    </row>
    <row r="332" spans="11:27" ht="12.75" x14ac:dyDescent="0.2">
      <c r="K332" s="56"/>
      <c r="Y332" s="51"/>
      <c r="Z332" s="51"/>
      <c r="AA332" s="67"/>
    </row>
    <row r="333" spans="11:27" ht="12.75" x14ac:dyDescent="0.2">
      <c r="K333" s="56"/>
      <c r="Y333" s="51"/>
      <c r="Z333" s="51"/>
      <c r="AA333" s="67"/>
    </row>
    <row r="334" spans="11:27" ht="12.75" x14ac:dyDescent="0.2">
      <c r="K334" s="56"/>
      <c r="Y334" s="51"/>
      <c r="Z334" s="51"/>
      <c r="AA334" s="67"/>
    </row>
    <row r="335" spans="11:27" ht="12.75" x14ac:dyDescent="0.2">
      <c r="K335" s="56"/>
      <c r="Y335" s="51"/>
      <c r="Z335" s="51"/>
      <c r="AA335" s="67"/>
    </row>
    <row r="336" spans="11:27" ht="12.75" x14ac:dyDescent="0.2">
      <c r="K336" s="56"/>
      <c r="Y336" s="51"/>
      <c r="Z336" s="51"/>
      <c r="AA336" s="67"/>
    </row>
    <row r="337" spans="11:27" ht="12.75" x14ac:dyDescent="0.2">
      <c r="K337" s="56"/>
      <c r="Y337" s="51"/>
      <c r="Z337" s="51"/>
      <c r="AA337" s="67"/>
    </row>
    <row r="338" spans="11:27" ht="12.75" x14ac:dyDescent="0.2">
      <c r="K338" s="56"/>
      <c r="Y338" s="51"/>
      <c r="Z338" s="51"/>
      <c r="AA338" s="67"/>
    </row>
    <row r="339" spans="11:27" ht="12.75" x14ac:dyDescent="0.2">
      <c r="K339" s="56"/>
      <c r="Y339" s="51"/>
      <c r="Z339" s="51"/>
      <c r="AA339" s="67"/>
    </row>
    <row r="340" spans="11:27" ht="12.75" x14ac:dyDescent="0.2">
      <c r="K340" s="56"/>
      <c r="Y340" s="51"/>
      <c r="Z340" s="51"/>
      <c r="AA340" s="67"/>
    </row>
    <row r="341" spans="11:27" ht="12.75" x14ac:dyDescent="0.2">
      <c r="K341" s="56"/>
      <c r="Y341" s="51"/>
      <c r="Z341" s="51"/>
      <c r="AA341" s="67"/>
    </row>
    <row r="342" spans="11:27" ht="12.75" x14ac:dyDescent="0.2">
      <c r="K342" s="56"/>
      <c r="Y342" s="51"/>
      <c r="Z342" s="51"/>
      <c r="AA342" s="67"/>
    </row>
    <row r="343" spans="11:27" ht="12.75" x14ac:dyDescent="0.2">
      <c r="K343" s="56"/>
      <c r="Y343" s="51"/>
      <c r="Z343" s="51"/>
      <c r="AA343" s="67"/>
    </row>
    <row r="344" spans="11:27" ht="12.75" x14ac:dyDescent="0.2">
      <c r="K344" s="56"/>
      <c r="Y344" s="51"/>
      <c r="Z344" s="51"/>
      <c r="AA344" s="67"/>
    </row>
    <row r="345" spans="11:27" ht="12.75" x14ac:dyDescent="0.2">
      <c r="K345" s="56"/>
      <c r="Y345" s="51"/>
      <c r="Z345" s="51"/>
      <c r="AA345" s="67"/>
    </row>
    <row r="346" spans="11:27" ht="12.75" x14ac:dyDescent="0.2">
      <c r="K346" s="56"/>
      <c r="Y346" s="51"/>
      <c r="Z346" s="51"/>
      <c r="AA346" s="67"/>
    </row>
    <row r="347" spans="11:27" ht="12.75" x14ac:dyDescent="0.2">
      <c r="K347" s="56"/>
      <c r="Y347" s="51"/>
      <c r="Z347" s="51"/>
      <c r="AA347" s="67"/>
    </row>
    <row r="348" spans="11:27" ht="12.75" x14ac:dyDescent="0.2">
      <c r="K348" s="56"/>
      <c r="Y348" s="51"/>
      <c r="Z348" s="51"/>
      <c r="AA348" s="67"/>
    </row>
    <row r="349" spans="11:27" ht="12.75" x14ac:dyDescent="0.2">
      <c r="K349" s="56"/>
      <c r="Y349" s="51"/>
      <c r="Z349" s="51"/>
      <c r="AA349" s="67"/>
    </row>
    <row r="350" spans="11:27" ht="12.75" x14ac:dyDescent="0.2">
      <c r="K350" s="56"/>
      <c r="Y350" s="51"/>
      <c r="Z350" s="51"/>
      <c r="AA350" s="67"/>
    </row>
    <row r="351" spans="11:27" ht="12.75" x14ac:dyDescent="0.2">
      <c r="K351" s="56"/>
      <c r="Y351" s="51"/>
      <c r="Z351" s="51"/>
      <c r="AA351" s="67"/>
    </row>
    <row r="352" spans="11:27" ht="12.75" x14ac:dyDescent="0.2">
      <c r="K352" s="56"/>
      <c r="Y352" s="51"/>
      <c r="Z352" s="51"/>
      <c r="AA352" s="67"/>
    </row>
    <row r="353" spans="11:27" ht="12.75" x14ac:dyDescent="0.2">
      <c r="K353" s="56"/>
      <c r="Y353" s="51"/>
      <c r="Z353" s="51"/>
      <c r="AA353" s="67"/>
    </row>
    <row r="354" spans="11:27" ht="12.75" x14ac:dyDescent="0.2">
      <c r="K354" s="56"/>
      <c r="Y354" s="51"/>
      <c r="Z354" s="51"/>
      <c r="AA354" s="67"/>
    </row>
    <row r="355" spans="11:27" ht="12.75" x14ac:dyDescent="0.2">
      <c r="K355" s="56"/>
      <c r="Y355" s="51"/>
      <c r="Z355" s="51"/>
      <c r="AA355" s="67"/>
    </row>
    <row r="356" spans="11:27" ht="12.75" x14ac:dyDescent="0.2">
      <c r="K356" s="56"/>
      <c r="Y356" s="51"/>
      <c r="Z356" s="51"/>
      <c r="AA356" s="67"/>
    </row>
    <row r="357" spans="11:27" ht="12.75" x14ac:dyDescent="0.2">
      <c r="K357" s="56"/>
      <c r="Y357" s="51"/>
      <c r="Z357" s="51"/>
      <c r="AA357" s="67"/>
    </row>
    <row r="358" spans="11:27" ht="12.75" x14ac:dyDescent="0.2">
      <c r="K358" s="56"/>
      <c r="Y358" s="51"/>
      <c r="Z358" s="51"/>
      <c r="AA358" s="67"/>
    </row>
    <row r="359" spans="11:27" ht="12.75" x14ac:dyDescent="0.2">
      <c r="K359" s="56"/>
      <c r="Y359" s="51"/>
      <c r="Z359" s="51"/>
      <c r="AA359" s="67"/>
    </row>
    <row r="360" spans="11:27" ht="12.75" x14ac:dyDescent="0.2">
      <c r="K360" s="56"/>
      <c r="Y360" s="51"/>
      <c r="Z360" s="51"/>
      <c r="AA360" s="67"/>
    </row>
    <row r="361" spans="11:27" ht="12.75" x14ac:dyDescent="0.2">
      <c r="K361" s="56"/>
      <c r="Y361" s="51"/>
      <c r="Z361" s="51"/>
      <c r="AA361" s="67"/>
    </row>
    <row r="362" spans="11:27" ht="12.75" x14ac:dyDescent="0.2">
      <c r="K362" s="56"/>
      <c r="Y362" s="51"/>
      <c r="Z362" s="51"/>
      <c r="AA362" s="67"/>
    </row>
    <row r="363" spans="11:27" ht="12.75" x14ac:dyDescent="0.2">
      <c r="K363" s="56"/>
      <c r="Y363" s="51"/>
      <c r="Z363" s="51"/>
      <c r="AA363" s="67"/>
    </row>
    <row r="364" spans="11:27" ht="12.75" x14ac:dyDescent="0.2">
      <c r="K364" s="56"/>
      <c r="Y364" s="51"/>
      <c r="Z364" s="51"/>
      <c r="AA364" s="67"/>
    </row>
    <row r="365" spans="11:27" ht="12.75" x14ac:dyDescent="0.2">
      <c r="K365" s="56"/>
      <c r="Y365" s="51"/>
      <c r="Z365" s="51"/>
      <c r="AA365" s="67"/>
    </row>
    <row r="366" spans="11:27" ht="12.75" x14ac:dyDescent="0.2">
      <c r="K366" s="56"/>
      <c r="Y366" s="51"/>
      <c r="Z366" s="51"/>
      <c r="AA366" s="67"/>
    </row>
    <row r="367" spans="11:27" ht="12.75" x14ac:dyDescent="0.2">
      <c r="K367" s="56"/>
      <c r="Y367" s="51"/>
      <c r="Z367" s="51"/>
      <c r="AA367" s="67"/>
    </row>
    <row r="368" spans="11:27" ht="12.75" x14ac:dyDescent="0.2">
      <c r="K368" s="56"/>
      <c r="Y368" s="51"/>
      <c r="Z368" s="51"/>
      <c r="AA368" s="67"/>
    </row>
    <row r="369" spans="11:27" ht="12.75" x14ac:dyDescent="0.2">
      <c r="K369" s="56"/>
      <c r="Y369" s="51"/>
      <c r="Z369" s="51"/>
      <c r="AA369" s="67"/>
    </row>
    <row r="370" spans="11:27" ht="12.75" x14ac:dyDescent="0.2">
      <c r="K370" s="56"/>
      <c r="Y370" s="51"/>
      <c r="Z370" s="51"/>
      <c r="AA370" s="67"/>
    </row>
    <row r="371" spans="11:27" ht="12.75" x14ac:dyDescent="0.2">
      <c r="K371" s="56"/>
      <c r="Y371" s="51"/>
      <c r="Z371" s="51"/>
      <c r="AA371" s="67"/>
    </row>
    <row r="372" spans="11:27" ht="12.75" x14ac:dyDescent="0.2">
      <c r="K372" s="56"/>
      <c r="Y372" s="51"/>
      <c r="Z372" s="51"/>
      <c r="AA372" s="67"/>
    </row>
    <row r="373" spans="11:27" ht="12.75" x14ac:dyDescent="0.2">
      <c r="K373" s="56"/>
      <c r="Y373" s="51"/>
      <c r="Z373" s="51"/>
      <c r="AA373" s="67"/>
    </row>
    <row r="374" spans="11:27" ht="12.75" x14ac:dyDescent="0.2">
      <c r="K374" s="56"/>
      <c r="Y374" s="51"/>
      <c r="Z374" s="51"/>
      <c r="AA374" s="67"/>
    </row>
    <row r="375" spans="11:27" ht="12.75" x14ac:dyDescent="0.2">
      <c r="K375" s="56"/>
      <c r="Y375" s="51"/>
      <c r="Z375" s="51"/>
      <c r="AA375" s="67"/>
    </row>
    <row r="376" spans="11:27" ht="12.75" x14ac:dyDescent="0.2">
      <c r="K376" s="56"/>
      <c r="Y376" s="51"/>
      <c r="Z376" s="51"/>
      <c r="AA376" s="67"/>
    </row>
    <row r="377" spans="11:27" ht="12.75" x14ac:dyDescent="0.2">
      <c r="K377" s="56"/>
      <c r="Y377" s="51"/>
      <c r="Z377" s="51"/>
      <c r="AA377" s="67"/>
    </row>
    <row r="378" spans="11:27" ht="12.75" x14ac:dyDescent="0.2">
      <c r="K378" s="56"/>
      <c r="Y378" s="51"/>
      <c r="Z378" s="51"/>
      <c r="AA378" s="67"/>
    </row>
    <row r="379" spans="11:27" ht="12.75" x14ac:dyDescent="0.2">
      <c r="K379" s="56"/>
      <c r="Y379" s="51"/>
      <c r="Z379" s="51"/>
      <c r="AA379" s="67"/>
    </row>
    <row r="380" spans="11:27" ht="12.75" x14ac:dyDescent="0.2">
      <c r="K380" s="56"/>
      <c r="Y380" s="51"/>
      <c r="Z380" s="51"/>
      <c r="AA380" s="67"/>
    </row>
    <row r="381" spans="11:27" ht="12.75" x14ac:dyDescent="0.2">
      <c r="K381" s="56"/>
      <c r="Y381" s="51"/>
      <c r="Z381" s="51"/>
      <c r="AA381" s="67"/>
    </row>
    <row r="382" spans="11:27" ht="12.75" x14ac:dyDescent="0.2">
      <c r="K382" s="56"/>
      <c r="Y382" s="51"/>
      <c r="Z382" s="51"/>
      <c r="AA382" s="67"/>
    </row>
    <row r="383" spans="11:27" ht="12.75" x14ac:dyDescent="0.2">
      <c r="K383" s="56"/>
      <c r="Y383" s="51"/>
      <c r="Z383" s="51"/>
      <c r="AA383" s="67"/>
    </row>
    <row r="384" spans="11:27" ht="12.75" x14ac:dyDescent="0.2">
      <c r="K384" s="56"/>
      <c r="Y384" s="51"/>
      <c r="Z384" s="51"/>
      <c r="AA384" s="67"/>
    </row>
    <row r="385" spans="11:27" ht="12.75" x14ac:dyDescent="0.2">
      <c r="K385" s="56"/>
      <c r="Y385" s="51"/>
      <c r="Z385" s="51"/>
      <c r="AA385" s="67"/>
    </row>
    <row r="386" spans="11:27" ht="12.75" x14ac:dyDescent="0.2">
      <c r="K386" s="56"/>
      <c r="Y386" s="51"/>
      <c r="Z386" s="51"/>
      <c r="AA386" s="67"/>
    </row>
    <row r="387" spans="11:27" ht="12.75" x14ac:dyDescent="0.2">
      <c r="K387" s="56"/>
      <c r="Y387" s="51"/>
      <c r="Z387" s="51"/>
      <c r="AA387" s="67"/>
    </row>
    <row r="388" spans="11:27" ht="12.75" x14ac:dyDescent="0.2">
      <c r="K388" s="56"/>
      <c r="Y388" s="51"/>
      <c r="Z388" s="51"/>
      <c r="AA388" s="67"/>
    </row>
    <row r="389" spans="11:27" ht="12.75" x14ac:dyDescent="0.2">
      <c r="K389" s="56"/>
      <c r="Y389" s="51"/>
      <c r="Z389" s="51"/>
      <c r="AA389" s="67"/>
    </row>
    <row r="390" spans="11:27" ht="12.75" x14ac:dyDescent="0.2">
      <c r="K390" s="56"/>
      <c r="Y390" s="51"/>
      <c r="Z390" s="51"/>
      <c r="AA390" s="67"/>
    </row>
    <row r="391" spans="11:27" ht="12.75" x14ac:dyDescent="0.2">
      <c r="K391" s="56"/>
      <c r="Y391" s="51"/>
      <c r="Z391" s="51"/>
      <c r="AA391" s="67"/>
    </row>
    <row r="392" spans="11:27" ht="12.75" x14ac:dyDescent="0.2">
      <c r="K392" s="56"/>
      <c r="Y392" s="51"/>
      <c r="Z392" s="51"/>
      <c r="AA392" s="67"/>
    </row>
    <row r="393" spans="11:27" ht="12.75" x14ac:dyDescent="0.2">
      <c r="K393" s="56"/>
      <c r="Y393" s="51"/>
      <c r="Z393" s="51"/>
      <c r="AA393" s="67"/>
    </row>
    <row r="394" spans="11:27" ht="12.75" x14ac:dyDescent="0.2">
      <c r="K394" s="56"/>
      <c r="Y394" s="51"/>
      <c r="Z394" s="51"/>
      <c r="AA394" s="67"/>
    </row>
    <row r="395" spans="11:27" ht="12.75" x14ac:dyDescent="0.2">
      <c r="K395" s="56"/>
      <c r="Y395" s="51"/>
      <c r="Z395" s="51"/>
      <c r="AA395" s="67"/>
    </row>
    <row r="396" spans="11:27" ht="12.75" x14ac:dyDescent="0.2">
      <c r="K396" s="56"/>
      <c r="Y396" s="51"/>
      <c r="Z396" s="51"/>
      <c r="AA396" s="67"/>
    </row>
    <row r="397" spans="11:27" ht="12.75" x14ac:dyDescent="0.2">
      <c r="K397" s="56"/>
      <c r="Y397" s="51"/>
      <c r="Z397" s="51"/>
      <c r="AA397" s="67"/>
    </row>
    <row r="398" spans="11:27" ht="12.75" x14ac:dyDescent="0.2">
      <c r="K398" s="56"/>
      <c r="Y398" s="51"/>
      <c r="Z398" s="51"/>
      <c r="AA398" s="67"/>
    </row>
    <row r="399" spans="11:27" ht="12.75" x14ac:dyDescent="0.2">
      <c r="K399" s="56"/>
      <c r="Y399" s="51"/>
      <c r="Z399" s="51"/>
      <c r="AA399" s="67"/>
    </row>
    <row r="400" spans="11:27" ht="12.75" x14ac:dyDescent="0.2">
      <c r="K400" s="56"/>
      <c r="Y400" s="51"/>
      <c r="Z400" s="51"/>
      <c r="AA400" s="67"/>
    </row>
    <row r="401" spans="11:27" ht="12.75" x14ac:dyDescent="0.2">
      <c r="K401" s="56"/>
      <c r="Y401" s="51"/>
      <c r="Z401" s="51"/>
      <c r="AA401" s="67"/>
    </row>
    <row r="402" spans="11:27" ht="12.75" x14ac:dyDescent="0.2">
      <c r="K402" s="56"/>
      <c r="Y402" s="51"/>
      <c r="Z402" s="51"/>
      <c r="AA402" s="67"/>
    </row>
    <row r="403" spans="11:27" ht="12.75" x14ac:dyDescent="0.2">
      <c r="K403" s="56"/>
      <c r="Y403" s="51"/>
      <c r="Z403" s="51"/>
      <c r="AA403" s="67"/>
    </row>
    <row r="404" spans="11:27" ht="12.75" x14ac:dyDescent="0.2">
      <c r="K404" s="56"/>
      <c r="Y404" s="51"/>
      <c r="Z404" s="51"/>
      <c r="AA404" s="67"/>
    </row>
    <row r="405" spans="11:27" ht="12.75" x14ac:dyDescent="0.2">
      <c r="K405" s="56"/>
      <c r="Y405" s="51"/>
      <c r="Z405" s="51"/>
      <c r="AA405" s="67"/>
    </row>
    <row r="406" spans="11:27" ht="12.75" x14ac:dyDescent="0.2">
      <c r="K406" s="56"/>
      <c r="Y406" s="51"/>
      <c r="Z406" s="51"/>
      <c r="AA406" s="67"/>
    </row>
    <row r="407" spans="11:27" ht="12.75" x14ac:dyDescent="0.2">
      <c r="K407" s="56"/>
      <c r="Y407" s="51"/>
      <c r="Z407" s="51"/>
      <c r="AA407" s="67"/>
    </row>
    <row r="408" spans="11:27" ht="12.75" x14ac:dyDescent="0.2">
      <c r="K408" s="56"/>
      <c r="Y408" s="51"/>
      <c r="Z408" s="51"/>
      <c r="AA408" s="67"/>
    </row>
    <row r="409" spans="11:27" ht="12.75" x14ac:dyDescent="0.2">
      <c r="K409" s="56"/>
      <c r="Y409" s="51"/>
      <c r="Z409" s="51"/>
      <c r="AA409" s="67"/>
    </row>
    <row r="410" spans="11:27" ht="12.75" x14ac:dyDescent="0.2">
      <c r="K410" s="56"/>
      <c r="Y410" s="51"/>
      <c r="Z410" s="51"/>
      <c r="AA410" s="67"/>
    </row>
    <row r="411" spans="11:27" ht="12.75" x14ac:dyDescent="0.2">
      <c r="K411" s="56"/>
      <c r="Y411" s="51"/>
      <c r="Z411" s="51"/>
      <c r="AA411" s="67"/>
    </row>
    <row r="412" spans="11:27" ht="12.75" x14ac:dyDescent="0.2">
      <c r="K412" s="56"/>
      <c r="Y412" s="51"/>
      <c r="Z412" s="51"/>
      <c r="AA412" s="67"/>
    </row>
    <row r="413" spans="11:27" ht="12.75" x14ac:dyDescent="0.2">
      <c r="K413" s="56"/>
      <c r="Y413" s="51"/>
      <c r="Z413" s="51"/>
      <c r="AA413" s="67"/>
    </row>
    <row r="414" spans="11:27" ht="12.75" x14ac:dyDescent="0.2">
      <c r="K414" s="56"/>
      <c r="Y414" s="51"/>
      <c r="Z414" s="51"/>
      <c r="AA414" s="67"/>
    </row>
    <row r="415" spans="11:27" ht="12.75" x14ac:dyDescent="0.2">
      <c r="K415" s="56"/>
      <c r="Y415" s="51"/>
      <c r="Z415" s="51"/>
      <c r="AA415" s="67"/>
    </row>
    <row r="416" spans="11:27" ht="12.75" x14ac:dyDescent="0.2">
      <c r="K416" s="56"/>
      <c r="Y416" s="51"/>
      <c r="Z416" s="51"/>
      <c r="AA416" s="67"/>
    </row>
    <row r="417" spans="11:27" ht="12.75" x14ac:dyDescent="0.2">
      <c r="K417" s="56"/>
      <c r="Y417" s="51"/>
      <c r="Z417" s="51"/>
      <c r="AA417" s="67"/>
    </row>
    <row r="418" spans="11:27" ht="12.75" x14ac:dyDescent="0.2">
      <c r="K418" s="56"/>
      <c r="Y418" s="51"/>
      <c r="Z418" s="51"/>
      <c r="AA418" s="67"/>
    </row>
    <row r="419" spans="11:27" ht="12.75" x14ac:dyDescent="0.2">
      <c r="K419" s="56"/>
      <c r="Y419" s="51"/>
      <c r="Z419" s="51"/>
      <c r="AA419" s="67"/>
    </row>
    <row r="420" spans="11:27" ht="12.75" x14ac:dyDescent="0.2">
      <c r="K420" s="56"/>
      <c r="Y420" s="51"/>
      <c r="Z420" s="51"/>
      <c r="AA420" s="67"/>
    </row>
    <row r="421" spans="11:27" ht="12.75" x14ac:dyDescent="0.2">
      <c r="K421" s="56"/>
      <c r="Y421" s="51"/>
      <c r="Z421" s="51"/>
      <c r="AA421" s="67"/>
    </row>
    <row r="422" spans="11:27" ht="12.75" x14ac:dyDescent="0.2">
      <c r="K422" s="56"/>
      <c r="Y422" s="51"/>
      <c r="Z422" s="51"/>
      <c r="AA422" s="67"/>
    </row>
    <row r="423" spans="11:27" ht="12.75" x14ac:dyDescent="0.2">
      <c r="K423" s="56"/>
      <c r="Y423" s="51"/>
      <c r="Z423" s="51"/>
      <c r="AA423" s="67"/>
    </row>
    <row r="424" spans="11:27" ht="12.75" x14ac:dyDescent="0.2">
      <c r="K424" s="56"/>
      <c r="Y424" s="51"/>
      <c r="Z424" s="51"/>
      <c r="AA424" s="67"/>
    </row>
    <row r="425" spans="11:27" ht="12.75" x14ac:dyDescent="0.2">
      <c r="K425" s="56"/>
      <c r="Y425" s="51"/>
      <c r="Z425" s="51"/>
      <c r="AA425" s="67"/>
    </row>
    <row r="426" spans="11:27" ht="12.75" x14ac:dyDescent="0.2">
      <c r="K426" s="56"/>
      <c r="Y426" s="51"/>
      <c r="Z426" s="51"/>
      <c r="AA426" s="67"/>
    </row>
    <row r="427" spans="11:27" ht="12.75" x14ac:dyDescent="0.2">
      <c r="K427" s="56"/>
      <c r="Y427" s="51"/>
      <c r="Z427" s="51"/>
      <c r="AA427" s="67"/>
    </row>
    <row r="428" spans="11:27" ht="12.75" x14ac:dyDescent="0.2">
      <c r="K428" s="56"/>
      <c r="Y428" s="51"/>
      <c r="Z428" s="51"/>
      <c r="AA428" s="67"/>
    </row>
    <row r="429" spans="11:27" ht="12.75" x14ac:dyDescent="0.2">
      <c r="K429" s="56"/>
      <c r="Y429" s="51"/>
      <c r="Z429" s="51"/>
      <c r="AA429" s="67"/>
    </row>
    <row r="430" spans="11:27" ht="12.75" x14ac:dyDescent="0.2">
      <c r="K430" s="56"/>
      <c r="Y430" s="51"/>
      <c r="Z430" s="51"/>
      <c r="AA430" s="67"/>
    </row>
    <row r="431" spans="11:27" ht="12.75" x14ac:dyDescent="0.2">
      <c r="K431" s="56"/>
      <c r="Y431" s="51"/>
      <c r="Z431" s="51"/>
      <c r="AA431" s="67"/>
    </row>
    <row r="432" spans="11:27" ht="12.75" x14ac:dyDescent="0.2">
      <c r="K432" s="56"/>
      <c r="Y432" s="51"/>
      <c r="Z432" s="51"/>
      <c r="AA432" s="67"/>
    </row>
    <row r="433" spans="11:27" ht="12.75" x14ac:dyDescent="0.2">
      <c r="K433" s="56"/>
      <c r="Y433" s="51"/>
      <c r="Z433" s="51"/>
      <c r="AA433" s="67"/>
    </row>
    <row r="434" spans="11:27" ht="12.75" x14ac:dyDescent="0.2">
      <c r="K434" s="56"/>
      <c r="Y434" s="51"/>
      <c r="Z434" s="51"/>
      <c r="AA434" s="67"/>
    </row>
    <row r="435" spans="11:27" ht="12.75" x14ac:dyDescent="0.2">
      <c r="K435" s="56"/>
      <c r="Y435" s="51"/>
      <c r="Z435" s="51"/>
      <c r="AA435" s="67"/>
    </row>
    <row r="436" spans="11:27" ht="12.75" x14ac:dyDescent="0.2">
      <c r="K436" s="56"/>
      <c r="Y436" s="51"/>
      <c r="Z436" s="51"/>
      <c r="AA436" s="67"/>
    </row>
    <row r="437" spans="11:27" ht="12.75" x14ac:dyDescent="0.2">
      <c r="K437" s="56"/>
      <c r="Y437" s="51"/>
      <c r="Z437" s="51"/>
      <c r="AA437" s="67"/>
    </row>
    <row r="438" spans="11:27" ht="12.75" x14ac:dyDescent="0.2">
      <c r="K438" s="56"/>
      <c r="Y438" s="51"/>
      <c r="Z438" s="51"/>
      <c r="AA438" s="67"/>
    </row>
    <row r="439" spans="11:27" ht="12.75" x14ac:dyDescent="0.2">
      <c r="K439" s="56"/>
      <c r="Y439" s="51"/>
      <c r="Z439" s="51"/>
      <c r="AA439" s="67"/>
    </row>
    <row r="440" spans="11:27" ht="12.75" x14ac:dyDescent="0.2">
      <c r="K440" s="56"/>
      <c r="Y440" s="51"/>
      <c r="Z440" s="51"/>
      <c r="AA440" s="67"/>
    </row>
    <row r="441" spans="11:27" ht="12.75" x14ac:dyDescent="0.2">
      <c r="K441" s="56"/>
      <c r="Y441" s="51"/>
      <c r="Z441" s="51"/>
      <c r="AA441" s="67"/>
    </row>
    <row r="442" spans="11:27" ht="12.75" x14ac:dyDescent="0.2">
      <c r="K442" s="56"/>
      <c r="Y442" s="51"/>
      <c r="Z442" s="51"/>
      <c r="AA442" s="67"/>
    </row>
    <row r="443" spans="11:27" ht="12.75" x14ac:dyDescent="0.2">
      <c r="K443" s="56"/>
      <c r="Y443" s="51"/>
      <c r="Z443" s="51"/>
      <c r="AA443" s="67"/>
    </row>
    <row r="444" spans="11:27" ht="12.75" x14ac:dyDescent="0.2">
      <c r="K444" s="56"/>
      <c r="Y444" s="51"/>
      <c r="Z444" s="51"/>
      <c r="AA444" s="67"/>
    </row>
    <row r="445" spans="11:27" ht="12.75" x14ac:dyDescent="0.2">
      <c r="K445" s="56"/>
      <c r="Y445" s="51"/>
      <c r="Z445" s="51"/>
      <c r="AA445" s="67"/>
    </row>
    <row r="446" spans="11:27" ht="12.75" x14ac:dyDescent="0.2">
      <c r="K446" s="56"/>
      <c r="Y446" s="51"/>
      <c r="Z446" s="51"/>
      <c r="AA446" s="67"/>
    </row>
    <row r="447" spans="11:27" ht="12.75" x14ac:dyDescent="0.2">
      <c r="K447" s="56"/>
      <c r="Y447" s="51"/>
      <c r="Z447" s="51"/>
      <c r="AA447" s="67"/>
    </row>
    <row r="448" spans="11:27" ht="12.75" x14ac:dyDescent="0.2">
      <c r="K448" s="56"/>
      <c r="Y448" s="51"/>
      <c r="Z448" s="51"/>
      <c r="AA448" s="67"/>
    </row>
    <row r="449" spans="11:27" ht="12.75" x14ac:dyDescent="0.2">
      <c r="K449" s="56"/>
      <c r="Y449" s="51"/>
      <c r="Z449" s="51"/>
      <c r="AA449" s="67"/>
    </row>
    <row r="450" spans="11:27" ht="12.75" x14ac:dyDescent="0.2">
      <c r="K450" s="56"/>
      <c r="Y450" s="51"/>
      <c r="Z450" s="51"/>
      <c r="AA450" s="67"/>
    </row>
    <row r="451" spans="11:27" ht="12.75" x14ac:dyDescent="0.2">
      <c r="K451" s="56"/>
      <c r="Y451" s="51"/>
      <c r="Z451" s="51"/>
      <c r="AA451" s="67"/>
    </row>
    <row r="452" spans="11:27" ht="12.75" x14ac:dyDescent="0.2">
      <c r="K452" s="56"/>
      <c r="Y452" s="51"/>
      <c r="Z452" s="51"/>
      <c r="AA452" s="67"/>
    </row>
    <row r="453" spans="11:27" ht="12.75" x14ac:dyDescent="0.2">
      <c r="K453" s="56"/>
      <c r="Y453" s="51"/>
      <c r="Z453" s="51"/>
      <c r="AA453" s="67"/>
    </row>
    <row r="454" spans="11:27" ht="12.75" x14ac:dyDescent="0.2">
      <c r="K454" s="56"/>
      <c r="Y454" s="51"/>
      <c r="Z454" s="51"/>
      <c r="AA454" s="67"/>
    </row>
    <row r="455" spans="11:27" ht="12.75" x14ac:dyDescent="0.2">
      <c r="K455" s="56"/>
      <c r="Y455" s="51"/>
      <c r="Z455" s="51"/>
      <c r="AA455" s="67"/>
    </row>
    <row r="456" spans="11:27" ht="12.75" x14ac:dyDescent="0.2">
      <c r="K456" s="56"/>
      <c r="Y456" s="51"/>
      <c r="Z456" s="51"/>
      <c r="AA456" s="67"/>
    </row>
    <row r="457" spans="11:27" ht="12.75" x14ac:dyDescent="0.2">
      <c r="K457" s="56"/>
      <c r="Y457" s="51"/>
      <c r="Z457" s="51"/>
      <c r="AA457" s="67"/>
    </row>
    <row r="458" spans="11:27" ht="12.75" x14ac:dyDescent="0.2">
      <c r="K458" s="56"/>
      <c r="Y458" s="51"/>
      <c r="Z458" s="51"/>
      <c r="AA458" s="67"/>
    </row>
    <row r="459" spans="11:27" ht="12.75" x14ac:dyDescent="0.2">
      <c r="K459" s="56"/>
      <c r="Y459" s="51"/>
      <c r="Z459" s="51"/>
      <c r="AA459" s="67"/>
    </row>
    <row r="460" spans="11:27" ht="12.75" x14ac:dyDescent="0.2">
      <c r="K460" s="56"/>
      <c r="Y460" s="51"/>
      <c r="Z460" s="51"/>
      <c r="AA460" s="67"/>
    </row>
    <row r="461" spans="11:27" ht="12.75" x14ac:dyDescent="0.2">
      <c r="K461" s="56"/>
      <c r="Y461" s="51"/>
      <c r="Z461" s="51"/>
      <c r="AA461" s="67"/>
    </row>
    <row r="462" spans="11:27" ht="12.75" x14ac:dyDescent="0.2">
      <c r="K462" s="56"/>
      <c r="Y462" s="51"/>
      <c r="Z462" s="51"/>
      <c r="AA462" s="67"/>
    </row>
    <row r="463" spans="11:27" ht="12.75" x14ac:dyDescent="0.2">
      <c r="K463" s="56"/>
      <c r="Y463" s="51"/>
      <c r="Z463" s="51"/>
      <c r="AA463" s="67"/>
    </row>
    <row r="464" spans="11:27" ht="12.75" x14ac:dyDescent="0.2">
      <c r="K464" s="56"/>
      <c r="Y464" s="51"/>
      <c r="Z464" s="51"/>
      <c r="AA464" s="67"/>
    </row>
    <row r="465" spans="11:27" ht="12.75" x14ac:dyDescent="0.2">
      <c r="K465" s="56"/>
      <c r="Y465" s="51"/>
      <c r="Z465" s="51"/>
      <c r="AA465" s="67"/>
    </row>
    <row r="466" spans="11:27" ht="12.75" x14ac:dyDescent="0.2">
      <c r="K466" s="56"/>
      <c r="Y466" s="51"/>
      <c r="Z466" s="51"/>
      <c r="AA466" s="67"/>
    </row>
    <row r="467" spans="11:27" ht="12.75" x14ac:dyDescent="0.2">
      <c r="K467" s="56"/>
      <c r="Y467" s="51"/>
      <c r="Z467" s="51"/>
      <c r="AA467" s="67"/>
    </row>
    <row r="468" spans="11:27" ht="12.75" x14ac:dyDescent="0.2">
      <c r="K468" s="56"/>
      <c r="Y468" s="51"/>
      <c r="Z468" s="51"/>
      <c r="AA468" s="67"/>
    </row>
    <row r="469" spans="11:27" ht="12.75" x14ac:dyDescent="0.2">
      <c r="K469" s="56"/>
      <c r="Y469" s="51"/>
      <c r="Z469" s="51"/>
      <c r="AA469" s="67"/>
    </row>
    <row r="470" spans="11:27" ht="12.75" x14ac:dyDescent="0.2">
      <c r="K470" s="56"/>
      <c r="Y470" s="51"/>
      <c r="Z470" s="51"/>
      <c r="AA470" s="67"/>
    </row>
    <row r="471" spans="11:27" ht="12.75" x14ac:dyDescent="0.2">
      <c r="K471" s="56"/>
      <c r="Y471" s="51"/>
      <c r="Z471" s="51"/>
      <c r="AA471" s="67"/>
    </row>
    <row r="472" spans="11:27" ht="12.75" x14ac:dyDescent="0.2">
      <c r="K472" s="56"/>
      <c r="Y472" s="51"/>
      <c r="Z472" s="51"/>
      <c r="AA472" s="67"/>
    </row>
    <row r="473" spans="11:27" ht="12.75" x14ac:dyDescent="0.2">
      <c r="K473" s="56"/>
      <c r="Y473" s="51"/>
      <c r="Z473" s="51"/>
      <c r="AA473" s="67"/>
    </row>
    <row r="474" spans="11:27" ht="12.75" x14ac:dyDescent="0.2">
      <c r="K474" s="56"/>
      <c r="Y474" s="51"/>
      <c r="Z474" s="51"/>
      <c r="AA474" s="67"/>
    </row>
    <row r="475" spans="11:27" ht="12.75" x14ac:dyDescent="0.2">
      <c r="K475" s="56"/>
      <c r="Y475" s="51"/>
      <c r="Z475" s="51"/>
      <c r="AA475" s="67"/>
    </row>
    <row r="476" spans="11:27" ht="12.75" x14ac:dyDescent="0.2">
      <c r="K476" s="56"/>
      <c r="Y476" s="51"/>
      <c r="Z476" s="51"/>
      <c r="AA476" s="67"/>
    </row>
    <row r="477" spans="11:27" ht="12.75" x14ac:dyDescent="0.2">
      <c r="K477" s="56"/>
      <c r="Y477" s="51"/>
      <c r="Z477" s="51"/>
      <c r="AA477" s="67"/>
    </row>
    <row r="478" spans="11:27" ht="12.75" x14ac:dyDescent="0.2">
      <c r="K478" s="56"/>
      <c r="Y478" s="51"/>
      <c r="Z478" s="51"/>
      <c r="AA478" s="67"/>
    </row>
    <row r="479" spans="11:27" ht="12.75" x14ac:dyDescent="0.2">
      <c r="K479" s="56"/>
      <c r="Y479" s="51"/>
      <c r="Z479" s="51"/>
      <c r="AA479" s="67"/>
    </row>
    <row r="480" spans="11:27" ht="12.75" x14ac:dyDescent="0.2">
      <c r="K480" s="56"/>
      <c r="Y480" s="51"/>
      <c r="Z480" s="51"/>
      <c r="AA480" s="67"/>
    </row>
    <row r="481" spans="11:27" ht="12.75" x14ac:dyDescent="0.2">
      <c r="K481" s="56"/>
      <c r="Y481" s="51"/>
      <c r="Z481" s="51"/>
      <c r="AA481" s="67"/>
    </row>
    <row r="482" spans="11:27" ht="12.75" x14ac:dyDescent="0.2">
      <c r="K482" s="56"/>
      <c r="Y482" s="51"/>
      <c r="Z482" s="51"/>
      <c r="AA482" s="67"/>
    </row>
    <row r="483" spans="11:27" ht="12.75" x14ac:dyDescent="0.2">
      <c r="K483" s="56"/>
      <c r="Y483" s="51"/>
      <c r="Z483" s="51"/>
      <c r="AA483" s="67"/>
    </row>
    <row r="484" spans="11:27" ht="12.75" x14ac:dyDescent="0.2">
      <c r="K484" s="56"/>
      <c r="Y484" s="51"/>
      <c r="Z484" s="51"/>
      <c r="AA484" s="67"/>
    </row>
    <row r="485" spans="11:27" ht="12.75" x14ac:dyDescent="0.2">
      <c r="K485" s="56"/>
      <c r="Y485" s="51"/>
      <c r="Z485" s="51"/>
      <c r="AA485" s="67"/>
    </row>
    <row r="486" spans="11:27" ht="12.75" x14ac:dyDescent="0.2">
      <c r="K486" s="56"/>
      <c r="Y486" s="51"/>
      <c r="Z486" s="51"/>
      <c r="AA486" s="67"/>
    </row>
    <row r="487" spans="11:27" ht="12.75" x14ac:dyDescent="0.2">
      <c r="K487" s="56"/>
      <c r="Y487" s="51"/>
      <c r="Z487" s="51"/>
      <c r="AA487" s="67"/>
    </row>
    <row r="488" spans="11:27" ht="12.75" x14ac:dyDescent="0.2">
      <c r="K488" s="56"/>
      <c r="Y488" s="51"/>
      <c r="Z488" s="51"/>
      <c r="AA488" s="67"/>
    </row>
    <row r="489" spans="11:27" ht="12.75" x14ac:dyDescent="0.2">
      <c r="K489" s="56"/>
      <c r="Y489" s="51"/>
      <c r="Z489" s="51"/>
      <c r="AA489" s="67"/>
    </row>
    <row r="490" spans="11:27" ht="12.75" x14ac:dyDescent="0.2">
      <c r="K490" s="56"/>
      <c r="Y490" s="51"/>
      <c r="Z490" s="51"/>
      <c r="AA490" s="67"/>
    </row>
    <row r="491" spans="11:27" ht="12.75" x14ac:dyDescent="0.2">
      <c r="K491" s="56"/>
      <c r="Y491" s="51"/>
      <c r="Z491" s="51"/>
      <c r="AA491" s="67"/>
    </row>
    <row r="492" spans="11:27" ht="12.75" x14ac:dyDescent="0.2">
      <c r="K492" s="56"/>
      <c r="Y492" s="51"/>
      <c r="Z492" s="51"/>
      <c r="AA492" s="67"/>
    </row>
    <row r="493" spans="11:27" ht="12.75" x14ac:dyDescent="0.2">
      <c r="K493" s="56"/>
      <c r="Y493" s="51"/>
      <c r="Z493" s="51"/>
      <c r="AA493" s="67"/>
    </row>
    <row r="494" spans="11:27" ht="12.75" x14ac:dyDescent="0.2">
      <c r="K494" s="56"/>
      <c r="Y494" s="51"/>
      <c r="Z494" s="51"/>
      <c r="AA494" s="67"/>
    </row>
    <row r="495" spans="11:27" ht="12.75" x14ac:dyDescent="0.2">
      <c r="K495" s="56"/>
      <c r="Y495" s="51"/>
      <c r="Z495" s="51"/>
      <c r="AA495" s="67"/>
    </row>
    <row r="496" spans="11:27" ht="12.75" x14ac:dyDescent="0.2">
      <c r="K496" s="56"/>
      <c r="Y496" s="51"/>
      <c r="Z496" s="51"/>
      <c r="AA496" s="67"/>
    </row>
    <row r="497" spans="11:27" ht="12.75" x14ac:dyDescent="0.2">
      <c r="K497" s="56"/>
      <c r="Y497" s="51"/>
      <c r="Z497" s="51"/>
      <c r="AA497" s="67"/>
    </row>
    <row r="498" spans="11:27" ht="12.75" x14ac:dyDescent="0.2">
      <c r="K498" s="56"/>
      <c r="Y498" s="51"/>
      <c r="Z498" s="51"/>
      <c r="AA498" s="67"/>
    </row>
    <row r="499" spans="11:27" ht="12.75" x14ac:dyDescent="0.2">
      <c r="K499" s="56"/>
      <c r="Y499" s="51"/>
      <c r="Z499" s="51"/>
      <c r="AA499" s="67"/>
    </row>
    <row r="500" spans="11:27" ht="12.75" x14ac:dyDescent="0.2">
      <c r="K500" s="56"/>
      <c r="Y500" s="51"/>
      <c r="Z500" s="51"/>
      <c r="AA500" s="67"/>
    </row>
    <row r="501" spans="11:27" ht="12.75" x14ac:dyDescent="0.2">
      <c r="K501" s="56"/>
      <c r="Y501" s="51"/>
      <c r="Z501" s="51"/>
      <c r="AA501" s="67"/>
    </row>
    <row r="502" spans="11:27" ht="12.75" x14ac:dyDescent="0.2">
      <c r="K502" s="56"/>
      <c r="Y502" s="51"/>
      <c r="Z502" s="51"/>
      <c r="AA502" s="67"/>
    </row>
    <row r="503" spans="11:27" ht="12.75" x14ac:dyDescent="0.2">
      <c r="K503" s="56"/>
      <c r="Y503" s="51"/>
      <c r="Z503" s="51"/>
      <c r="AA503" s="67"/>
    </row>
    <row r="504" spans="11:27" ht="12.75" x14ac:dyDescent="0.2">
      <c r="K504" s="56"/>
      <c r="Y504" s="51"/>
      <c r="Z504" s="51"/>
      <c r="AA504" s="67"/>
    </row>
    <row r="505" spans="11:27" ht="12.75" x14ac:dyDescent="0.2">
      <c r="K505" s="56"/>
      <c r="Y505" s="51"/>
      <c r="Z505" s="51"/>
      <c r="AA505" s="67"/>
    </row>
    <row r="506" spans="11:27" ht="12.75" x14ac:dyDescent="0.2">
      <c r="K506" s="56"/>
      <c r="Y506" s="51"/>
      <c r="Z506" s="51"/>
      <c r="AA506" s="67"/>
    </row>
    <row r="507" spans="11:27" ht="12.75" x14ac:dyDescent="0.2">
      <c r="K507" s="56"/>
      <c r="Y507" s="51"/>
      <c r="Z507" s="51"/>
      <c r="AA507" s="67"/>
    </row>
    <row r="508" spans="11:27" ht="12.75" x14ac:dyDescent="0.2">
      <c r="K508" s="56"/>
      <c r="Y508" s="51"/>
      <c r="Z508" s="51"/>
      <c r="AA508" s="67"/>
    </row>
    <row r="509" spans="11:27" ht="12.75" x14ac:dyDescent="0.2">
      <c r="K509" s="56"/>
      <c r="Y509" s="51"/>
      <c r="Z509" s="51"/>
      <c r="AA509" s="67"/>
    </row>
    <row r="510" spans="11:27" ht="12.75" x14ac:dyDescent="0.2">
      <c r="K510" s="56"/>
      <c r="Y510" s="51"/>
      <c r="Z510" s="51"/>
      <c r="AA510" s="67"/>
    </row>
    <row r="511" spans="11:27" ht="12.75" x14ac:dyDescent="0.2">
      <c r="K511" s="56"/>
      <c r="Y511" s="51"/>
      <c r="Z511" s="51"/>
      <c r="AA511" s="67"/>
    </row>
    <row r="512" spans="11:27" ht="12.75" x14ac:dyDescent="0.2">
      <c r="K512" s="56"/>
      <c r="Y512" s="51"/>
      <c r="Z512" s="51"/>
      <c r="AA512" s="67"/>
    </row>
    <row r="513" spans="11:27" ht="12.75" x14ac:dyDescent="0.2">
      <c r="K513" s="56"/>
      <c r="Y513" s="51"/>
      <c r="Z513" s="51"/>
      <c r="AA513" s="67"/>
    </row>
    <row r="514" spans="11:27" ht="12.75" x14ac:dyDescent="0.2">
      <c r="K514" s="56"/>
      <c r="Y514" s="51"/>
      <c r="Z514" s="51"/>
      <c r="AA514" s="67"/>
    </row>
    <row r="515" spans="11:27" ht="12.75" x14ac:dyDescent="0.2">
      <c r="K515" s="56"/>
      <c r="Y515" s="51"/>
      <c r="Z515" s="51"/>
      <c r="AA515" s="67"/>
    </row>
    <row r="516" spans="11:27" ht="12.75" x14ac:dyDescent="0.2">
      <c r="K516" s="56"/>
      <c r="Y516" s="51"/>
      <c r="Z516" s="51"/>
      <c r="AA516" s="67"/>
    </row>
    <row r="517" spans="11:27" ht="12.75" x14ac:dyDescent="0.2">
      <c r="K517" s="56"/>
      <c r="Y517" s="51"/>
      <c r="Z517" s="51"/>
      <c r="AA517" s="67"/>
    </row>
    <row r="518" spans="11:27" ht="12.75" x14ac:dyDescent="0.2">
      <c r="K518" s="56"/>
      <c r="Y518" s="51"/>
      <c r="Z518" s="51"/>
      <c r="AA518" s="67"/>
    </row>
    <row r="519" spans="11:27" ht="12.75" x14ac:dyDescent="0.2">
      <c r="K519" s="56"/>
      <c r="Y519" s="51"/>
      <c r="Z519" s="51"/>
      <c r="AA519" s="67"/>
    </row>
    <row r="520" spans="11:27" ht="12.75" x14ac:dyDescent="0.2">
      <c r="K520" s="56"/>
      <c r="Y520" s="51"/>
      <c r="Z520" s="51"/>
      <c r="AA520" s="67"/>
    </row>
    <row r="521" spans="11:27" ht="12.75" x14ac:dyDescent="0.2">
      <c r="K521" s="56"/>
      <c r="Y521" s="51"/>
      <c r="Z521" s="51"/>
      <c r="AA521" s="67"/>
    </row>
    <row r="522" spans="11:27" ht="12.75" x14ac:dyDescent="0.2">
      <c r="K522" s="56"/>
      <c r="Y522" s="51"/>
      <c r="Z522" s="51"/>
      <c r="AA522" s="67"/>
    </row>
    <row r="523" spans="11:27" ht="12.75" x14ac:dyDescent="0.2">
      <c r="K523" s="56"/>
      <c r="Y523" s="51"/>
      <c r="Z523" s="51"/>
      <c r="AA523" s="67"/>
    </row>
    <row r="524" spans="11:27" ht="12.75" x14ac:dyDescent="0.2">
      <c r="K524" s="56"/>
      <c r="Y524" s="51"/>
      <c r="Z524" s="51"/>
      <c r="AA524" s="67"/>
    </row>
    <row r="525" spans="11:27" ht="12.75" x14ac:dyDescent="0.2">
      <c r="K525" s="56"/>
      <c r="Y525" s="51"/>
      <c r="Z525" s="51"/>
      <c r="AA525" s="67"/>
    </row>
    <row r="526" spans="11:27" ht="12.75" x14ac:dyDescent="0.2">
      <c r="K526" s="56"/>
      <c r="Y526" s="51"/>
      <c r="Z526" s="51"/>
      <c r="AA526" s="67"/>
    </row>
    <row r="527" spans="11:27" ht="12.75" x14ac:dyDescent="0.2">
      <c r="K527" s="56"/>
      <c r="Y527" s="51"/>
      <c r="Z527" s="51"/>
      <c r="AA527" s="67"/>
    </row>
    <row r="528" spans="11:27" ht="12.75" x14ac:dyDescent="0.2">
      <c r="K528" s="56"/>
      <c r="Y528" s="51"/>
      <c r="Z528" s="51"/>
      <c r="AA528" s="67"/>
    </row>
    <row r="529" spans="11:27" ht="12.75" x14ac:dyDescent="0.2">
      <c r="K529" s="56"/>
      <c r="Y529" s="51"/>
      <c r="Z529" s="51"/>
      <c r="AA529" s="67"/>
    </row>
    <row r="530" spans="11:27" ht="12.75" x14ac:dyDescent="0.2">
      <c r="K530" s="56"/>
      <c r="Y530" s="51"/>
      <c r="Z530" s="51"/>
      <c r="AA530" s="67"/>
    </row>
    <row r="531" spans="11:27" ht="12.75" x14ac:dyDescent="0.2">
      <c r="K531" s="56"/>
      <c r="Y531" s="51"/>
      <c r="Z531" s="51"/>
      <c r="AA531" s="67"/>
    </row>
    <row r="532" spans="11:27" ht="12.75" x14ac:dyDescent="0.2">
      <c r="K532" s="56"/>
      <c r="Y532" s="51"/>
      <c r="Z532" s="51"/>
      <c r="AA532" s="67"/>
    </row>
    <row r="533" spans="11:27" ht="12.75" x14ac:dyDescent="0.2">
      <c r="K533" s="56"/>
      <c r="Y533" s="51"/>
      <c r="Z533" s="51"/>
      <c r="AA533" s="67"/>
    </row>
    <row r="534" spans="11:27" ht="12.75" x14ac:dyDescent="0.2">
      <c r="K534" s="56"/>
      <c r="Y534" s="51"/>
      <c r="Z534" s="51"/>
      <c r="AA534" s="67"/>
    </row>
    <row r="535" spans="11:27" ht="12.75" x14ac:dyDescent="0.2">
      <c r="K535" s="56"/>
      <c r="Y535" s="51"/>
      <c r="Z535" s="51"/>
      <c r="AA535" s="67"/>
    </row>
    <row r="536" spans="11:27" ht="12.75" x14ac:dyDescent="0.2">
      <c r="K536" s="56"/>
      <c r="Y536" s="51"/>
      <c r="Z536" s="51"/>
      <c r="AA536" s="67"/>
    </row>
    <row r="537" spans="11:27" ht="12.75" x14ac:dyDescent="0.2">
      <c r="K537" s="56"/>
      <c r="Y537" s="51"/>
      <c r="Z537" s="51"/>
      <c r="AA537" s="67"/>
    </row>
    <row r="538" spans="11:27" ht="12.75" x14ac:dyDescent="0.2">
      <c r="K538" s="56"/>
      <c r="Y538" s="51"/>
      <c r="Z538" s="51"/>
      <c r="AA538" s="67"/>
    </row>
    <row r="539" spans="11:27" ht="12.75" x14ac:dyDescent="0.2">
      <c r="K539" s="56"/>
      <c r="Y539" s="51"/>
      <c r="Z539" s="51"/>
      <c r="AA539" s="67"/>
    </row>
    <row r="540" spans="11:27" ht="12.75" x14ac:dyDescent="0.2">
      <c r="K540" s="56"/>
      <c r="Y540" s="51"/>
      <c r="Z540" s="51"/>
      <c r="AA540" s="67"/>
    </row>
    <row r="541" spans="11:27" ht="12.75" x14ac:dyDescent="0.2">
      <c r="K541" s="56"/>
      <c r="Y541" s="51"/>
      <c r="Z541" s="51"/>
      <c r="AA541" s="67"/>
    </row>
    <row r="542" spans="11:27" ht="12.75" x14ac:dyDescent="0.2">
      <c r="K542" s="56"/>
      <c r="Y542" s="51"/>
      <c r="Z542" s="51"/>
      <c r="AA542" s="67"/>
    </row>
    <row r="543" spans="11:27" ht="12.75" x14ac:dyDescent="0.2">
      <c r="K543" s="56"/>
      <c r="Y543" s="51"/>
      <c r="Z543" s="51"/>
      <c r="AA543" s="67"/>
    </row>
    <row r="544" spans="11:27" ht="12.75" x14ac:dyDescent="0.2">
      <c r="K544" s="56"/>
      <c r="Y544" s="51"/>
      <c r="Z544" s="51"/>
      <c r="AA544" s="67"/>
    </row>
    <row r="545" spans="11:27" ht="12.75" x14ac:dyDescent="0.2">
      <c r="K545" s="56"/>
      <c r="Y545" s="51"/>
      <c r="Z545" s="51"/>
      <c r="AA545" s="67"/>
    </row>
    <row r="546" spans="11:27" ht="12.75" x14ac:dyDescent="0.2">
      <c r="K546" s="56"/>
      <c r="Y546" s="51"/>
      <c r="Z546" s="51"/>
      <c r="AA546" s="67"/>
    </row>
    <row r="547" spans="11:27" ht="12.75" x14ac:dyDescent="0.2">
      <c r="K547" s="56"/>
      <c r="Y547" s="51"/>
      <c r="Z547" s="51"/>
      <c r="AA547" s="67"/>
    </row>
    <row r="548" spans="11:27" ht="12.75" x14ac:dyDescent="0.2">
      <c r="K548" s="56"/>
      <c r="Y548" s="51"/>
      <c r="Z548" s="51"/>
      <c r="AA548" s="67"/>
    </row>
    <row r="549" spans="11:27" ht="12.75" x14ac:dyDescent="0.2">
      <c r="K549" s="56"/>
      <c r="Y549" s="51"/>
      <c r="Z549" s="51"/>
      <c r="AA549" s="67"/>
    </row>
    <row r="550" spans="11:27" ht="12.75" x14ac:dyDescent="0.2">
      <c r="K550" s="56"/>
      <c r="Y550" s="51"/>
      <c r="Z550" s="51"/>
      <c r="AA550" s="67"/>
    </row>
    <row r="551" spans="11:27" ht="12.75" x14ac:dyDescent="0.2">
      <c r="K551" s="56"/>
      <c r="Y551" s="51"/>
      <c r="Z551" s="51"/>
      <c r="AA551" s="67"/>
    </row>
    <row r="552" spans="11:27" ht="12.75" x14ac:dyDescent="0.2">
      <c r="K552" s="56"/>
      <c r="Y552" s="51"/>
      <c r="Z552" s="51"/>
      <c r="AA552" s="67"/>
    </row>
    <row r="553" spans="11:27" ht="12.75" x14ac:dyDescent="0.2">
      <c r="K553" s="56"/>
      <c r="Y553" s="51"/>
      <c r="Z553" s="51"/>
      <c r="AA553" s="67"/>
    </row>
    <row r="554" spans="11:27" ht="12.75" x14ac:dyDescent="0.2">
      <c r="K554" s="56"/>
      <c r="Y554" s="51"/>
      <c r="Z554" s="51"/>
      <c r="AA554" s="67"/>
    </row>
    <row r="555" spans="11:27" ht="12.75" x14ac:dyDescent="0.2">
      <c r="K555" s="56"/>
      <c r="Y555" s="51"/>
      <c r="Z555" s="51"/>
      <c r="AA555" s="67"/>
    </row>
    <row r="556" spans="11:27" ht="12.75" x14ac:dyDescent="0.2">
      <c r="K556" s="56"/>
      <c r="Y556" s="51"/>
      <c r="Z556" s="51"/>
      <c r="AA556" s="67"/>
    </row>
    <row r="557" spans="11:27" ht="12.75" x14ac:dyDescent="0.2">
      <c r="K557" s="56"/>
      <c r="Y557" s="51"/>
      <c r="Z557" s="51"/>
      <c r="AA557" s="67"/>
    </row>
    <row r="558" spans="11:27" ht="12.75" x14ac:dyDescent="0.2">
      <c r="K558" s="56"/>
      <c r="Y558" s="51"/>
      <c r="Z558" s="51"/>
      <c r="AA558" s="67"/>
    </row>
    <row r="559" spans="11:27" ht="12.75" x14ac:dyDescent="0.2">
      <c r="K559" s="56"/>
      <c r="Y559" s="51"/>
      <c r="Z559" s="51"/>
      <c r="AA559" s="67"/>
    </row>
    <row r="560" spans="11:27" ht="12.75" x14ac:dyDescent="0.2">
      <c r="K560" s="56"/>
      <c r="Y560" s="51"/>
      <c r="Z560" s="51"/>
      <c r="AA560" s="67"/>
    </row>
    <row r="561" spans="11:27" ht="12.75" x14ac:dyDescent="0.2">
      <c r="K561" s="56"/>
      <c r="Y561" s="51"/>
      <c r="Z561" s="51"/>
      <c r="AA561" s="67"/>
    </row>
    <row r="562" spans="11:27" ht="12.75" x14ac:dyDescent="0.2">
      <c r="K562" s="56"/>
      <c r="Y562" s="51"/>
      <c r="Z562" s="51"/>
      <c r="AA562" s="67"/>
    </row>
    <row r="563" spans="11:27" ht="12.75" x14ac:dyDescent="0.2">
      <c r="K563" s="56"/>
      <c r="Y563" s="51"/>
      <c r="Z563" s="51"/>
      <c r="AA563" s="67"/>
    </row>
    <row r="564" spans="11:27" ht="12.75" x14ac:dyDescent="0.2">
      <c r="K564" s="56"/>
      <c r="Y564" s="51"/>
      <c r="Z564" s="51"/>
      <c r="AA564" s="67"/>
    </row>
    <row r="565" spans="11:27" ht="12.75" x14ac:dyDescent="0.2">
      <c r="K565" s="56"/>
      <c r="Y565" s="51"/>
      <c r="Z565" s="51"/>
      <c r="AA565" s="67"/>
    </row>
    <row r="566" spans="11:27" ht="12.75" x14ac:dyDescent="0.2">
      <c r="K566" s="56"/>
      <c r="Y566" s="51"/>
      <c r="Z566" s="51"/>
      <c r="AA566" s="67"/>
    </row>
    <row r="567" spans="11:27" ht="12.75" x14ac:dyDescent="0.2">
      <c r="K567" s="56"/>
      <c r="Y567" s="51"/>
      <c r="Z567" s="51"/>
      <c r="AA567" s="67"/>
    </row>
    <row r="568" spans="11:27" ht="12.75" x14ac:dyDescent="0.2">
      <c r="K568" s="56"/>
      <c r="Y568" s="51"/>
      <c r="Z568" s="51"/>
      <c r="AA568" s="67"/>
    </row>
    <row r="569" spans="11:27" ht="12.75" x14ac:dyDescent="0.2">
      <c r="K569" s="56"/>
      <c r="Y569" s="51"/>
      <c r="Z569" s="51"/>
      <c r="AA569" s="67"/>
    </row>
    <row r="570" spans="11:27" ht="12.75" x14ac:dyDescent="0.2">
      <c r="K570" s="56"/>
      <c r="Y570" s="51"/>
      <c r="Z570" s="51"/>
      <c r="AA570" s="67"/>
    </row>
    <row r="571" spans="11:27" ht="12.75" x14ac:dyDescent="0.2">
      <c r="K571" s="56"/>
      <c r="Y571" s="51"/>
      <c r="Z571" s="51"/>
      <c r="AA571" s="67"/>
    </row>
    <row r="572" spans="11:27" ht="12.75" x14ac:dyDescent="0.2">
      <c r="K572" s="56"/>
      <c r="Y572" s="51"/>
      <c r="Z572" s="51"/>
      <c r="AA572" s="67"/>
    </row>
    <row r="573" spans="11:27" ht="12.75" x14ac:dyDescent="0.2">
      <c r="K573" s="56"/>
      <c r="Y573" s="51"/>
      <c r="Z573" s="51"/>
      <c r="AA573" s="67"/>
    </row>
    <row r="574" spans="11:27" ht="12.75" x14ac:dyDescent="0.2">
      <c r="K574" s="56"/>
      <c r="Y574" s="51"/>
      <c r="Z574" s="51"/>
      <c r="AA574" s="67"/>
    </row>
    <row r="575" spans="11:27" ht="12.75" x14ac:dyDescent="0.2">
      <c r="K575" s="56"/>
      <c r="Y575" s="51"/>
      <c r="Z575" s="51"/>
      <c r="AA575" s="67"/>
    </row>
    <row r="576" spans="11:27" ht="12.75" x14ac:dyDescent="0.2">
      <c r="K576" s="56"/>
      <c r="Y576" s="51"/>
      <c r="Z576" s="51"/>
      <c r="AA576" s="67"/>
    </row>
    <row r="577" spans="11:27" ht="12.75" x14ac:dyDescent="0.2">
      <c r="K577" s="56"/>
      <c r="Y577" s="51"/>
      <c r="Z577" s="51"/>
      <c r="AA577" s="67"/>
    </row>
    <row r="578" spans="11:27" ht="12.75" x14ac:dyDescent="0.2">
      <c r="K578" s="56"/>
      <c r="Y578" s="51"/>
      <c r="Z578" s="51"/>
      <c r="AA578" s="67"/>
    </row>
    <row r="579" spans="11:27" ht="12.75" x14ac:dyDescent="0.2">
      <c r="K579" s="56"/>
      <c r="Y579" s="51"/>
      <c r="Z579" s="51"/>
      <c r="AA579" s="67"/>
    </row>
    <row r="580" spans="11:27" ht="12.75" x14ac:dyDescent="0.2">
      <c r="K580" s="56"/>
      <c r="Y580" s="51"/>
      <c r="Z580" s="51"/>
      <c r="AA580" s="67"/>
    </row>
    <row r="581" spans="11:27" ht="12.75" x14ac:dyDescent="0.2">
      <c r="K581" s="56"/>
      <c r="Y581" s="51"/>
      <c r="Z581" s="51"/>
      <c r="AA581" s="67"/>
    </row>
    <row r="582" spans="11:27" ht="12.75" x14ac:dyDescent="0.2">
      <c r="K582" s="56"/>
      <c r="Y582" s="51"/>
      <c r="Z582" s="51"/>
      <c r="AA582" s="67"/>
    </row>
    <row r="583" spans="11:27" ht="12.75" x14ac:dyDescent="0.2">
      <c r="K583" s="56"/>
      <c r="Y583" s="51"/>
      <c r="Z583" s="51"/>
      <c r="AA583" s="67"/>
    </row>
    <row r="584" spans="11:27" ht="12.75" x14ac:dyDescent="0.2">
      <c r="K584" s="56"/>
      <c r="Y584" s="51"/>
      <c r="Z584" s="51"/>
      <c r="AA584" s="67"/>
    </row>
    <row r="585" spans="11:27" ht="12.75" x14ac:dyDescent="0.2">
      <c r="K585" s="56"/>
      <c r="Y585" s="51"/>
      <c r="Z585" s="51"/>
      <c r="AA585" s="67"/>
    </row>
    <row r="586" spans="11:27" ht="12.75" x14ac:dyDescent="0.2">
      <c r="K586" s="56"/>
      <c r="Y586" s="51"/>
      <c r="Z586" s="51"/>
      <c r="AA586" s="67"/>
    </row>
    <row r="587" spans="11:27" ht="12.75" x14ac:dyDescent="0.2">
      <c r="K587" s="56"/>
      <c r="Y587" s="51"/>
      <c r="Z587" s="51"/>
      <c r="AA587" s="67"/>
    </row>
    <row r="588" spans="11:27" ht="12.75" x14ac:dyDescent="0.2">
      <c r="K588" s="56"/>
      <c r="Y588" s="51"/>
      <c r="Z588" s="51"/>
      <c r="AA588" s="67"/>
    </row>
    <row r="589" spans="11:27" ht="12.75" x14ac:dyDescent="0.2">
      <c r="K589" s="56"/>
      <c r="Y589" s="51"/>
      <c r="Z589" s="51"/>
      <c r="AA589" s="67"/>
    </row>
    <row r="590" spans="11:27" ht="12.75" x14ac:dyDescent="0.2">
      <c r="K590" s="56"/>
      <c r="Y590" s="51"/>
      <c r="Z590" s="51"/>
      <c r="AA590" s="67"/>
    </row>
    <row r="591" spans="11:27" ht="12.75" x14ac:dyDescent="0.2">
      <c r="K591" s="56"/>
      <c r="Y591" s="51"/>
      <c r="Z591" s="51"/>
      <c r="AA591" s="67"/>
    </row>
    <row r="592" spans="11:27" ht="12.75" x14ac:dyDescent="0.2">
      <c r="K592" s="56"/>
      <c r="Y592" s="51"/>
      <c r="Z592" s="51"/>
      <c r="AA592" s="67"/>
    </row>
    <row r="593" spans="11:27" ht="12.75" x14ac:dyDescent="0.2">
      <c r="K593" s="56"/>
      <c r="Y593" s="51"/>
      <c r="Z593" s="51"/>
      <c r="AA593" s="67"/>
    </row>
    <row r="594" spans="11:27" ht="12.75" x14ac:dyDescent="0.2">
      <c r="K594" s="56"/>
      <c r="Y594" s="51"/>
      <c r="Z594" s="51"/>
      <c r="AA594" s="67"/>
    </row>
    <row r="595" spans="11:27" ht="12.75" x14ac:dyDescent="0.2">
      <c r="K595" s="56"/>
      <c r="Y595" s="51"/>
      <c r="Z595" s="51"/>
      <c r="AA595" s="67"/>
    </row>
    <row r="596" spans="11:27" ht="12.75" x14ac:dyDescent="0.2">
      <c r="K596" s="56"/>
      <c r="Y596" s="51"/>
      <c r="Z596" s="51"/>
      <c r="AA596" s="67"/>
    </row>
    <row r="597" spans="11:27" ht="12.75" x14ac:dyDescent="0.2">
      <c r="K597" s="56"/>
      <c r="Y597" s="51"/>
      <c r="Z597" s="51"/>
      <c r="AA597" s="67"/>
    </row>
    <row r="598" spans="11:27" ht="12.75" x14ac:dyDescent="0.2">
      <c r="K598" s="56"/>
      <c r="Y598" s="51"/>
      <c r="Z598" s="51"/>
      <c r="AA598" s="67"/>
    </row>
    <row r="599" spans="11:27" ht="12.75" x14ac:dyDescent="0.2">
      <c r="K599" s="56"/>
      <c r="Y599" s="51"/>
      <c r="Z599" s="51"/>
      <c r="AA599" s="67"/>
    </row>
    <row r="600" spans="11:27" ht="12.75" x14ac:dyDescent="0.2">
      <c r="K600" s="56"/>
      <c r="Y600" s="51"/>
      <c r="Z600" s="51"/>
      <c r="AA600" s="67"/>
    </row>
    <row r="601" spans="11:27" ht="12.75" x14ac:dyDescent="0.2">
      <c r="K601" s="56"/>
      <c r="Y601" s="51"/>
      <c r="Z601" s="51"/>
      <c r="AA601" s="67"/>
    </row>
    <row r="602" spans="11:27" ht="12.75" x14ac:dyDescent="0.2">
      <c r="K602" s="56"/>
      <c r="Y602" s="51"/>
      <c r="Z602" s="51"/>
      <c r="AA602" s="67"/>
    </row>
    <row r="603" spans="11:27" ht="12.75" x14ac:dyDescent="0.2">
      <c r="K603" s="56"/>
      <c r="Y603" s="51"/>
      <c r="Z603" s="51"/>
      <c r="AA603" s="67"/>
    </row>
    <row r="604" spans="11:27" ht="12.75" x14ac:dyDescent="0.2">
      <c r="K604" s="56"/>
      <c r="Y604" s="51"/>
      <c r="Z604" s="51"/>
      <c r="AA604" s="67"/>
    </row>
    <row r="605" spans="11:27" ht="12.75" x14ac:dyDescent="0.2">
      <c r="K605" s="56"/>
      <c r="Y605" s="51"/>
      <c r="Z605" s="51"/>
      <c r="AA605" s="67"/>
    </row>
    <row r="606" spans="11:27" ht="12.75" x14ac:dyDescent="0.2">
      <c r="K606" s="56"/>
      <c r="Y606" s="51"/>
      <c r="Z606" s="51"/>
      <c r="AA606" s="67"/>
    </row>
    <row r="607" spans="11:27" ht="12.75" x14ac:dyDescent="0.2">
      <c r="K607" s="56"/>
      <c r="Y607" s="51"/>
      <c r="Z607" s="51"/>
      <c r="AA607" s="67"/>
    </row>
    <row r="608" spans="11:27" ht="12.75" x14ac:dyDescent="0.2">
      <c r="K608" s="56"/>
      <c r="Y608" s="51"/>
      <c r="Z608" s="51"/>
      <c r="AA608" s="67"/>
    </row>
    <row r="609" spans="11:27" ht="12.75" x14ac:dyDescent="0.2">
      <c r="K609" s="56"/>
      <c r="Y609" s="51"/>
      <c r="Z609" s="51"/>
      <c r="AA609" s="67"/>
    </row>
    <row r="610" spans="11:27" ht="12.75" x14ac:dyDescent="0.2">
      <c r="K610" s="56"/>
      <c r="Y610" s="51"/>
      <c r="Z610" s="51"/>
      <c r="AA610" s="67"/>
    </row>
    <row r="611" spans="11:27" ht="12.75" x14ac:dyDescent="0.2">
      <c r="K611" s="56"/>
      <c r="Y611" s="51"/>
      <c r="Z611" s="51"/>
      <c r="AA611" s="67"/>
    </row>
    <row r="612" spans="11:27" ht="12.75" x14ac:dyDescent="0.2">
      <c r="K612" s="56"/>
      <c r="Y612" s="51"/>
      <c r="Z612" s="51"/>
      <c r="AA612" s="67"/>
    </row>
    <row r="613" spans="11:27" ht="12.75" x14ac:dyDescent="0.2">
      <c r="K613" s="56"/>
      <c r="Y613" s="51"/>
      <c r="Z613" s="51"/>
      <c r="AA613" s="67"/>
    </row>
    <row r="614" spans="11:27" ht="12.75" x14ac:dyDescent="0.2">
      <c r="K614" s="56"/>
      <c r="Y614" s="51"/>
      <c r="Z614" s="51"/>
      <c r="AA614" s="67"/>
    </row>
    <row r="615" spans="11:27" ht="12.75" x14ac:dyDescent="0.2">
      <c r="K615" s="56"/>
      <c r="Y615" s="51"/>
      <c r="Z615" s="51"/>
      <c r="AA615" s="67"/>
    </row>
    <row r="616" spans="11:27" ht="12.75" x14ac:dyDescent="0.2">
      <c r="K616" s="56"/>
      <c r="Y616" s="51"/>
      <c r="Z616" s="51"/>
      <c r="AA616" s="67"/>
    </row>
    <row r="617" spans="11:27" ht="12.75" x14ac:dyDescent="0.2">
      <c r="K617" s="56"/>
      <c r="Y617" s="51"/>
      <c r="Z617" s="51"/>
      <c r="AA617" s="67"/>
    </row>
    <row r="618" spans="11:27" ht="12.75" x14ac:dyDescent="0.2">
      <c r="K618" s="56"/>
      <c r="Y618" s="51"/>
      <c r="Z618" s="51"/>
      <c r="AA618" s="67"/>
    </row>
    <row r="619" spans="11:27" ht="12.75" x14ac:dyDescent="0.2">
      <c r="K619" s="56"/>
      <c r="Y619" s="51"/>
      <c r="Z619" s="51"/>
      <c r="AA619" s="67"/>
    </row>
    <row r="620" spans="11:27" ht="12.75" x14ac:dyDescent="0.2">
      <c r="K620" s="56"/>
      <c r="Y620" s="51"/>
      <c r="Z620" s="51"/>
      <c r="AA620" s="67"/>
    </row>
    <row r="621" spans="11:27" ht="12.75" x14ac:dyDescent="0.2">
      <c r="K621" s="56"/>
      <c r="Y621" s="51"/>
      <c r="Z621" s="51"/>
      <c r="AA621" s="67"/>
    </row>
    <row r="622" spans="11:27" ht="12.75" x14ac:dyDescent="0.2">
      <c r="K622" s="56"/>
      <c r="Y622" s="51"/>
      <c r="Z622" s="51"/>
      <c r="AA622" s="67"/>
    </row>
    <row r="623" spans="11:27" ht="12.75" x14ac:dyDescent="0.2">
      <c r="K623" s="56"/>
      <c r="Y623" s="51"/>
      <c r="Z623" s="51"/>
      <c r="AA623" s="67"/>
    </row>
    <row r="624" spans="11:27" ht="12.75" x14ac:dyDescent="0.2">
      <c r="K624" s="56"/>
      <c r="Y624" s="51"/>
      <c r="Z624" s="51"/>
      <c r="AA624" s="67"/>
    </row>
    <row r="625" spans="11:27" ht="12.75" x14ac:dyDescent="0.2">
      <c r="K625" s="56"/>
      <c r="Y625" s="51"/>
      <c r="Z625" s="51"/>
      <c r="AA625" s="67"/>
    </row>
    <row r="626" spans="11:27" ht="12.75" x14ac:dyDescent="0.2">
      <c r="K626" s="56"/>
      <c r="Y626" s="51"/>
      <c r="Z626" s="51"/>
      <c r="AA626" s="67"/>
    </row>
    <row r="627" spans="11:27" ht="12.75" x14ac:dyDescent="0.2">
      <c r="K627" s="56"/>
      <c r="Y627" s="51"/>
      <c r="Z627" s="51"/>
      <c r="AA627" s="67"/>
    </row>
    <row r="628" spans="11:27" ht="12.75" x14ac:dyDescent="0.2">
      <c r="K628" s="56"/>
      <c r="Y628" s="51"/>
      <c r="Z628" s="51"/>
      <c r="AA628" s="67"/>
    </row>
    <row r="629" spans="11:27" ht="12.75" x14ac:dyDescent="0.2">
      <c r="K629" s="56"/>
      <c r="Y629" s="51"/>
      <c r="Z629" s="51"/>
      <c r="AA629" s="67"/>
    </row>
    <row r="630" spans="11:27" ht="12.75" x14ac:dyDescent="0.2">
      <c r="K630" s="56"/>
      <c r="Y630" s="51"/>
      <c r="Z630" s="51"/>
      <c r="AA630" s="67"/>
    </row>
    <row r="631" spans="11:27" ht="12.75" x14ac:dyDescent="0.2">
      <c r="K631" s="56"/>
      <c r="Y631" s="51"/>
      <c r="Z631" s="51"/>
      <c r="AA631" s="67"/>
    </row>
    <row r="632" spans="11:27" ht="12.75" x14ac:dyDescent="0.2">
      <c r="K632" s="56"/>
      <c r="Y632" s="51"/>
      <c r="Z632" s="51"/>
      <c r="AA632" s="67"/>
    </row>
    <row r="633" spans="11:27" ht="12.75" x14ac:dyDescent="0.2">
      <c r="K633" s="56"/>
      <c r="Y633" s="51"/>
      <c r="Z633" s="51"/>
      <c r="AA633" s="67"/>
    </row>
    <row r="634" spans="11:27" ht="12.75" x14ac:dyDescent="0.2">
      <c r="K634" s="56"/>
      <c r="Y634" s="51"/>
      <c r="Z634" s="51"/>
      <c r="AA634" s="67"/>
    </row>
    <row r="635" spans="11:27" ht="12.75" x14ac:dyDescent="0.2">
      <c r="K635" s="56"/>
      <c r="Y635" s="51"/>
      <c r="Z635" s="51"/>
      <c r="AA635" s="67"/>
    </row>
    <row r="636" spans="11:27" ht="12.75" x14ac:dyDescent="0.2">
      <c r="K636" s="56"/>
      <c r="Y636" s="51"/>
      <c r="Z636" s="51"/>
      <c r="AA636" s="67"/>
    </row>
    <row r="637" spans="11:27" ht="12.75" x14ac:dyDescent="0.2">
      <c r="K637" s="56"/>
      <c r="Y637" s="51"/>
      <c r="Z637" s="51"/>
      <c r="AA637" s="67"/>
    </row>
    <row r="638" spans="11:27" ht="12.75" x14ac:dyDescent="0.2">
      <c r="K638" s="56"/>
      <c r="Y638" s="51"/>
      <c r="Z638" s="51"/>
      <c r="AA638" s="67"/>
    </row>
    <row r="639" spans="11:27" ht="12.75" x14ac:dyDescent="0.2">
      <c r="K639" s="56"/>
      <c r="Y639" s="51"/>
      <c r="Z639" s="51"/>
      <c r="AA639" s="67"/>
    </row>
    <row r="640" spans="11:27" ht="12.75" x14ac:dyDescent="0.2">
      <c r="K640" s="56"/>
      <c r="Y640" s="51"/>
      <c r="Z640" s="51"/>
      <c r="AA640" s="67"/>
    </row>
    <row r="641" spans="11:27" ht="12.75" x14ac:dyDescent="0.2">
      <c r="K641" s="56"/>
      <c r="Y641" s="51"/>
      <c r="Z641" s="51"/>
      <c r="AA641" s="67"/>
    </row>
    <row r="642" spans="11:27" ht="12.75" x14ac:dyDescent="0.2">
      <c r="K642" s="56"/>
      <c r="Y642" s="51"/>
      <c r="Z642" s="51"/>
      <c r="AA642" s="67"/>
    </row>
    <row r="643" spans="11:27" ht="12.75" x14ac:dyDescent="0.2">
      <c r="K643" s="56"/>
      <c r="Y643" s="51"/>
      <c r="Z643" s="51"/>
      <c r="AA643" s="67"/>
    </row>
    <row r="644" spans="11:27" ht="12.75" x14ac:dyDescent="0.2">
      <c r="K644" s="56"/>
      <c r="Y644" s="51"/>
      <c r="Z644" s="51"/>
      <c r="AA644" s="67"/>
    </row>
    <row r="645" spans="11:27" ht="12.75" x14ac:dyDescent="0.2">
      <c r="K645" s="56"/>
      <c r="Y645" s="51"/>
      <c r="Z645" s="51"/>
      <c r="AA645" s="67"/>
    </row>
    <row r="646" spans="11:27" ht="12.75" x14ac:dyDescent="0.2">
      <c r="K646" s="56"/>
      <c r="Y646" s="51"/>
      <c r="Z646" s="51"/>
      <c r="AA646" s="67"/>
    </row>
    <row r="647" spans="11:27" ht="12.75" x14ac:dyDescent="0.2">
      <c r="K647" s="56"/>
      <c r="Y647" s="51"/>
      <c r="Z647" s="51"/>
      <c r="AA647" s="67"/>
    </row>
    <row r="648" spans="11:27" ht="12.75" x14ac:dyDescent="0.2">
      <c r="K648" s="56"/>
      <c r="Y648" s="51"/>
      <c r="Z648" s="51"/>
      <c r="AA648" s="67"/>
    </row>
    <row r="649" spans="11:27" ht="12.75" x14ac:dyDescent="0.2">
      <c r="K649" s="56"/>
      <c r="Y649" s="51"/>
      <c r="Z649" s="51"/>
      <c r="AA649" s="67"/>
    </row>
    <row r="650" spans="11:27" ht="12.75" x14ac:dyDescent="0.2">
      <c r="K650" s="56"/>
      <c r="Y650" s="51"/>
      <c r="Z650" s="51"/>
      <c r="AA650" s="67"/>
    </row>
    <row r="651" spans="11:27" ht="12.75" x14ac:dyDescent="0.2">
      <c r="K651" s="56"/>
      <c r="Y651" s="51"/>
      <c r="Z651" s="51"/>
      <c r="AA651" s="67"/>
    </row>
    <row r="652" spans="11:27" ht="12.75" x14ac:dyDescent="0.2">
      <c r="K652" s="56"/>
      <c r="Y652" s="51"/>
      <c r="Z652" s="51"/>
      <c r="AA652" s="67"/>
    </row>
    <row r="653" spans="11:27" ht="12.75" x14ac:dyDescent="0.2">
      <c r="K653" s="56"/>
      <c r="Y653" s="51"/>
      <c r="Z653" s="51"/>
      <c r="AA653" s="67"/>
    </row>
    <row r="654" spans="11:27" ht="12.75" x14ac:dyDescent="0.2">
      <c r="K654" s="56"/>
      <c r="Y654" s="51"/>
      <c r="Z654" s="51"/>
      <c r="AA654" s="67"/>
    </row>
    <row r="655" spans="11:27" ht="12.75" x14ac:dyDescent="0.2">
      <c r="K655" s="56"/>
      <c r="Y655" s="51"/>
      <c r="Z655" s="51"/>
      <c r="AA655" s="67"/>
    </row>
    <row r="656" spans="11:27" ht="12.75" x14ac:dyDescent="0.2">
      <c r="K656" s="56"/>
      <c r="Y656" s="51"/>
      <c r="Z656" s="51"/>
      <c r="AA656" s="67"/>
    </row>
    <row r="657" spans="11:27" ht="12.75" x14ac:dyDescent="0.2">
      <c r="K657" s="56"/>
      <c r="Y657" s="51"/>
      <c r="Z657" s="51"/>
      <c r="AA657" s="67"/>
    </row>
    <row r="658" spans="11:27" ht="12.75" x14ac:dyDescent="0.2">
      <c r="K658" s="56"/>
      <c r="Y658" s="51"/>
      <c r="Z658" s="51"/>
      <c r="AA658" s="67"/>
    </row>
    <row r="659" spans="11:27" ht="12.75" x14ac:dyDescent="0.2">
      <c r="K659" s="56"/>
      <c r="Y659" s="51"/>
      <c r="Z659" s="51"/>
      <c r="AA659" s="67"/>
    </row>
    <row r="660" spans="11:27" ht="12.75" x14ac:dyDescent="0.2">
      <c r="K660" s="56"/>
      <c r="Y660" s="51"/>
      <c r="Z660" s="51"/>
      <c r="AA660" s="67"/>
    </row>
    <row r="661" spans="11:27" ht="12.75" x14ac:dyDescent="0.2">
      <c r="K661" s="56"/>
      <c r="Y661" s="51"/>
      <c r="Z661" s="51"/>
      <c r="AA661" s="67"/>
    </row>
    <row r="662" spans="11:27" ht="12.75" x14ac:dyDescent="0.2">
      <c r="K662" s="56"/>
      <c r="Y662" s="51"/>
      <c r="Z662" s="51"/>
      <c r="AA662" s="67"/>
    </row>
    <row r="663" spans="11:27" ht="12.75" x14ac:dyDescent="0.2">
      <c r="K663" s="56"/>
      <c r="Y663" s="51"/>
      <c r="Z663" s="51"/>
      <c r="AA663" s="67"/>
    </row>
    <row r="664" spans="11:27" ht="12.75" x14ac:dyDescent="0.2">
      <c r="K664" s="56"/>
      <c r="Y664" s="51"/>
      <c r="Z664" s="51"/>
      <c r="AA664" s="67"/>
    </row>
    <row r="665" spans="11:27" ht="12.75" x14ac:dyDescent="0.2">
      <c r="K665" s="56"/>
      <c r="Y665" s="51"/>
      <c r="Z665" s="51"/>
      <c r="AA665" s="67"/>
    </row>
    <row r="666" spans="11:27" ht="12.75" x14ac:dyDescent="0.2">
      <c r="K666" s="56"/>
      <c r="Y666" s="51"/>
      <c r="Z666" s="51"/>
      <c r="AA666" s="67"/>
    </row>
    <row r="667" spans="11:27" ht="12.75" x14ac:dyDescent="0.2">
      <c r="K667" s="56"/>
      <c r="Y667" s="51"/>
      <c r="Z667" s="51"/>
      <c r="AA667" s="67"/>
    </row>
    <row r="668" spans="11:27" ht="12.75" x14ac:dyDescent="0.2">
      <c r="K668" s="56"/>
      <c r="Y668" s="51"/>
      <c r="Z668" s="51"/>
      <c r="AA668" s="67"/>
    </row>
    <row r="669" spans="11:27" ht="12.75" x14ac:dyDescent="0.2">
      <c r="K669" s="56"/>
      <c r="Y669" s="51"/>
      <c r="Z669" s="51"/>
      <c r="AA669" s="67"/>
    </row>
    <row r="670" spans="11:27" ht="12.75" x14ac:dyDescent="0.2">
      <c r="K670" s="56"/>
      <c r="Y670" s="51"/>
      <c r="Z670" s="51"/>
      <c r="AA670" s="67"/>
    </row>
    <row r="671" spans="11:27" ht="12.75" x14ac:dyDescent="0.2">
      <c r="K671" s="56"/>
      <c r="Y671" s="51"/>
      <c r="Z671" s="51"/>
      <c r="AA671" s="67"/>
    </row>
    <row r="672" spans="11:27" ht="12.75" x14ac:dyDescent="0.2">
      <c r="K672" s="56"/>
      <c r="Y672" s="51"/>
      <c r="Z672" s="51"/>
      <c r="AA672" s="67"/>
    </row>
    <row r="673" spans="11:27" ht="12.75" x14ac:dyDescent="0.2">
      <c r="K673" s="56"/>
      <c r="Y673" s="51"/>
      <c r="Z673" s="51"/>
      <c r="AA673" s="67"/>
    </row>
    <row r="674" spans="11:27" ht="12.75" x14ac:dyDescent="0.2">
      <c r="K674" s="56"/>
      <c r="Y674" s="51"/>
      <c r="Z674" s="51"/>
      <c r="AA674" s="67"/>
    </row>
    <row r="675" spans="11:27" ht="12.75" x14ac:dyDescent="0.2">
      <c r="K675" s="56"/>
      <c r="Y675" s="51"/>
      <c r="Z675" s="51"/>
      <c r="AA675" s="67"/>
    </row>
    <row r="676" spans="11:27" ht="12.75" x14ac:dyDescent="0.2">
      <c r="K676" s="56"/>
      <c r="Y676" s="51"/>
      <c r="Z676" s="51"/>
      <c r="AA676" s="67"/>
    </row>
    <row r="677" spans="11:27" ht="12.75" x14ac:dyDescent="0.2">
      <c r="K677" s="56"/>
      <c r="Y677" s="51"/>
      <c r="Z677" s="51"/>
      <c r="AA677" s="67"/>
    </row>
    <row r="678" spans="11:27" ht="12.75" x14ac:dyDescent="0.2">
      <c r="K678" s="56"/>
      <c r="Y678" s="51"/>
      <c r="Z678" s="51"/>
      <c r="AA678" s="67"/>
    </row>
    <row r="679" spans="11:27" ht="12.75" x14ac:dyDescent="0.2">
      <c r="K679" s="56"/>
      <c r="Y679" s="51"/>
      <c r="Z679" s="51"/>
      <c r="AA679" s="67"/>
    </row>
    <row r="680" spans="11:27" ht="12.75" x14ac:dyDescent="0.2">
      <c r="K680" s="56"/>
      <c r="Y680" s="51"/>
      <c r="Z680" s="51"/>
      <c r="AA680" s="67"/>
    </row>
    <row r="681" spans="11:27" ht="12.75" x14ac:dyDescent="0.2">
      <c r="K681" s="56"/>
      <c r="Y681" s="51"/>
      <c r="Z681" s="51"/>
      <c r="AA681" s="67"/>
    </row>
    <row r="682" spans="11:27" ht="12.75" x14ac:dyDescent="0.2">
      <c r="K682" s="56"/>
      <c r="Y682" s="51"/>
      <c r="Z682" s="51"/>
      <c r="AA682" s="67"/>
    </row>
    <row r="683" spans="11:27" ht="12.75" x14ac:dyDescent="0.2">
      <c r="K683" s="56"/>
      <c r="Y683" s="51"/>
      <c r="Z683" s="51"/>
      <c r="AA683" s="67"/>
    </row>
    <row r="684" spans="11:27" ht="12.75" x14ac:dyDescent="0.2">
      <c r="K684" s="56"/>
      <c r="Y684" s="51"/>
      <c r="Z684" s="51"/>
      <c r="AA684" s="67"/>
    </row>
    <row r="685" spans="11:27" ht="12.75" x14ac:dyDescent="0.2">
      <c r="K685" s="56"/>
      <c r="Y685" s="51"/>
      <c r="Z685" s="51"/>
      <c r="AA685" s="67"/>
    </row>
    <row r="686" spans="11:27" ht="12.75" x14ac:dyDescent="0.2">
      <c r="K686" s="56"/>
      <c r="Y686" s="51"/>
      <c r="Z686" s="51"/>
      <c r="AA686" s="67"/>
    </row>
    <row r="687" spans="11:27" ht="12.75" x14ac:dyDescent="0.2">
      <c r="K687" s="56"/>
      <c r="Y687" s="51"/>
      <c r="Z687" s="51"/>
      <c r="AA687" s="67"/>
    </row>
    <row r="688" spans="11:27" ht="12.75" x14ac:dyDescent="0.2">
      <c r="K688" s="56"/>
      <c r="Y688" s="51"/>
      <c r="Z688" s="51"/>
      <c r="AA688" s="67"/>
    </row>
    <row r="689" spans="11:27" ht="12.75" x14ac:dyDescent="0.2">
      <c r="K689" s="56"/>
      <c r="Y689" s="51"/>
      <c r="Z689" s="51"/>
      <c r="AA689" s="67"/>
    </row>
    <row r="690" spans="11:27" ht="12.75" x14ac:dyDescent="0.2">
      <c r="K690" s="56"/>
      <c r="Y690" s="51"/>
      <c r="Z690" s="51"/>
      <c r="AA690" s="67"/>
    </row>
    <row r="691" spans="11:27" ht="12.75" x14ac:dyDescent="0.2">
      <c r="K691" s="56"/>
      <c r="Y691" s="51"/>
      <c r="Z691" s="51"/>
      <c r="AA691" s="67"/>
    </row>
    <row r="692" spans="11:27" ht="12.75" x14ac:dyDescent="0.2">
      <c r="K692" s="56"/>
      <c r="Y692" s="51"/>
      <c r="Z692" s="51"/>
      <c r="AA692" s="67"/>
    </row>
    <row r="693" spans="11:27" ht="12.75" x14ac:dyDescent="0.2">
      <c r="K693" s="56"/>
      <c r="Y693" s="51"/>
      <c r="Z693" s="51"/>
      <c r="AA693" s="67"/>
    </row>
    <row r="694" spans="11:27" ht="12.75" x14ac:dyDescent="0.2">
      <c r="K694" s="56"/>
      <c r="Y694" s="51"/>
      <c r="Z694" s="51"/>
      <c r="AA694" s="67"/>
    </row>
    <row r="695" spans="11:27" ht="12.75" x14ac:dyDescent="0.2">
      <c r="K695" s="56"/>
      <c r="Y695" s="51"/>
      <c r="Z695" s="51"/>
      <c r="AA695" s="67"/>
    </row>
    <row r="696" spans="11:27" ht="12.75" x14ac:dyDescent="0.2">
      <c r="K696" s="56"/>
      <c r="Y696" s="51"/>
      <c r="Z696" s="51"/>
      <c r="AA696" s="67"/>
    </row>
    <row r="697" spans="11:27" ht="12.75" x14ac:dyDescent="0.2">
      <c r="K697" s="56"/>
      <c r="Y697" s="51"/>
      <c r="Z697" s="51"/>
      <c r="AA697" s="67"/>
    </row>
    <row r="698" spans="11:27" ht="12.75" x14ac:dyDescent="0.2">
      <c r="K698" s="56"/>
      <c r="Y698" s="51"/>
      <c r="Z698" s="51"/>
      <c r="AA698" s="67"/>
    </row>
    <row r="699" spans="11:27" ht="12.75" x14ac:dyDescent="0.2">
      <c r="K699" s="56"/>
      <c r="Y699" s="51"/>
      <c r="Z699" s="51"/>
      <c r="AA699" s="67"/>
    </row>
    <row r="700" spans="11:27" ht="12.75" x14ac:dyDescent="0.2">
      <c r="K700" s="56"/>
      <c r="Y700" s="51"/>
      <c r="Z700" s="51"/>
      <c r="AA700" s="67"/>
    </row>
    <row r="701" spans="11:27" ht="12.75" x14ac:dyDescent="0.2">
      <c r="K701" s="56"/>
      <c r="Y701" s="51"/>
      <c r="Z701" s="51"/>
      <c r="AA701" s="67"/>
    </row>
    <row r="702" spans="11:27" ht="12.75" x14ac:dyDescent="0.2">
      <c r="K702" s="56"/>
      <c r="Y702" s="51"/>
      <c r="Z702" s="51"/>
      <c r="AA702" s="67"/>
    </row>
    <row r="703" spans="11:27" ht="12.75" x14ac:dyDescent="0.2">
      <c r="K703" s="56"/>
      <c r="Y703" s="51"/>
      <c r="Z703" s="51"/>
      <c r="AA703" s="67"/>
    </row>
    <row r="704" spans="11:27" ht="12.75" x14ac:dyDescent="0.2">
      <c r="K704" s="56"/>
      <c r="Y704" s="51"/>
      <c r="Z704" s="51"/>
      <c r="AA704" s="67"/>
    </row>
    <row r="705" spans="11:27" ht="12.75" x14ac:dyDescent="0.2">
      <c r="K705" s="56"/>
      <c r="Y705" s="51"/>
      <c r="Z705" s="51"/>
      <c r="AA705" s="67"/>
    </row>
    <row r="706" spans="11:27" ht="12.75" x14ac:dyDescent="0.2">
      <c r="K706" s="56"/>
      <c r="Y706" s="51"/>
      <c r="Z706" s="51"/>
      <c r="AA706" s="67"/>
    </row>
    <row r="707" spans="11:27" ht="12.75" x14ac:dyDescent="0.2">
      <c r="K707" s="56"/>
      <c r="Y707" s="51"/>
      <c r="Z707" s="51"/>
      <c r="AA707" s="67"/>
    </row>
    <row r="708" spans="11:27" ht="12.75" x14ac:dyDescent="0.2">
      <c r="K708" s="56"/>
      <c r="Y708" s="51"/>
      <c r="Z708" s="51"/>
      <c r="AA708" s="67"/>
    </row>
    <row r="709" spans="11:27" ht="12.75" x14ac:dyDescent="0.2">
      <c r="K709" s="56"/>
      <c r="Y709" s="51"/>
      <c r="Z709" s="51"/>
      <c r="AA709" s="67"/>
    </row>
    <row r="710" spans="11:27" ht="12.75" x14ac:dyDescent="0.2">
      <c r="K710" s="56"/>
      <c r="Y710" s="51"/>
      <c r="Z710" s="51"/>
      <c r="AA710" s="67"/>
    </row>
    <row r="711" spans="11:27" ht="12.75" x14ac:dyDescent="0.2">
      <c r="K711" s="56"/>
      <c r="Y711" s="51"/>
      <c r="Z711" s="51"/>
      <c r="AA711" s="67"/>
    </row>
    <row r="712" spans="11:27" ht="12.75" x14ac:dyDescent="0.2">
      <c r="K712" s="56"/>
      <c r="Y712" s="51"/>
      <c r="Z712" s="51"/>
      <c r="AA712" s="67"/>
    </row>
    <row r="713" spans="11:27" ht="12.75" x14ac:dyDescent="0.2">
      <c r="K713" s="56"/>
      <c r="Y713" s="51"/>
      <c r="Z713" s="51"/>
      <c r="AA713" s="67"/>
    </row>
    <row r="714" spans="11:27" ht="12.75" x14ac:dyDescent="0.2">
      <c r="K714" s="56"/>
      <c r="Y714" s="51"/>
      <c r="Z714" s="51"/>
      <c r="AA714" s="67"/>
    </row>
    <row r="715" spans="11:27" ht="12.75" x14ac:dyDescent="0.2">
      <c r="K715" s="56"/>
      <c r="Y715" s="51"/>
      <c r="Z715" s="51"/>
      <c r="AA715" s="67"/>
    </row>
    <row r="716" spans="11:27" ht="12.75" x14ac:dyDescent="0.2">
      <c r="K716" s="56"/>
      <c r="Y716" s="51"/>
      <c r="Z716" s="51"/>
      <c r="AA716" s="67"/>
    </row>
    <row r="717" spans="11:27" ht="12.75" x14ac:dyDescent="0.2">
      <c r="K717" s="56"/>
      <c r="Y717" s="51"/>
      <c r="Z717" s="51"/>
      <c r="AA717" s="67"/>
    </row>
    <row r="718" spans="11:27" ht="12.75" x14ac:dyDescent="0.2">
      <c r="K718" s="56"/>
      <c r="Y718" s="51"/>
      <c r="Z718" s="51"/>
      <c r="AA718" s="67"/>
    </row>
    <row r="719" spans="11:27" ht="12.75" x14ac:dyDescent="0.2">
      <c r="K719" s="56"/>
      <c r="Y719" s="51"/>
      <c r="Z719" s="51"/>
      <c r="AA719" s="67"/>
    </row>
    <row r="720" spans="11:27" ht="12.75" x14ac:dyDescent="0.2">
      <c r="K720" s="56"/>
      <c r="Y720" s="51"/>
      <c r="Z720" s="51"/>
      <c r="AA720" s="67"/>
    </row>
    <row r="721" spans="11:27" ht="12.75" x14ac:dyDescent="0.2">
      <c r="K721" s="56"/>
      <c r="Y721" s="51"/>
      <c r="Z721" s="51"/>
      <c r="AA721" s="67"/>
    </row>
    <row r="722" spans="11:27" ht="12.75" x14ac:dyDescent="0.2">
      <c r="K722" s="56"/>
      <c r="Y722" s="51"/>
      <c r="Z722" s="51"/>
      <c r="AA722" s="67"/>
    </row>
    <row r="723" spans="11:27" ht="12.75" x14ac:dyDescent="0.2">
      <c r="K723" s="56"/>
      <c r="Y723" s="51"/>
      <c r="Z723" s="51"/>
      <c r="AA723" s="67"/>
    </row>
    <row r="724" spans="11:27" ht="12.75" x14ac:dyDescent="0.2">
      <c r="K724" s="56"/>
      <c r="Y724" s="51"/>
      <c r="Z724" s="51"/>
      <c r="AA724" s="67"/>
    </row>
    <row r="725" spans="11:27" ht="12.75" x14ac:dyDescent="0.2">
      <c r="K725" s="56"/>
      <c r="Y725" s="51"/>
      <c r="Z725" s="51"/>
      <c r="AA725" s="67"/>
    </row>
    <row r="726" spans="11:27" ht="12.75" x14ac:dyDescent="0.2">
      <c r="K726" s="56"/>
      <c r="Y726" s="51"/>
      <c r="Z726" s="51"/>
      <c r="AA726" s="67"/>
    </row>
    <row r="727" spans="11:27" ht="12.75" x14ac:dyDescent="0.2">
      <c r="K727" s="56"/>
      <c r="Y727" s="51"/>
      <c r="Z727" s="51"/>
      <c r="AA727" s="67"/>
    </row>
    <row r="728" spans="11:27" ht="12.75" x14ac:dyDescent="0.2">
      <c r="K728" s="56"/>
      <c r="Y728" s="51"/>
      <c r="Z728" s="51"/>
      <c r="AA728" s="67"/>
    </row>
    <row r="729" spans="11:27" ht="12.75" x14ac:dyDescent="0.2">
      <c r="K729" s="56"/>
      <c r="Y729" s="51"/>
      <c r="Z729" s="51"/>
      <c r="AA729" s="67"/>
    </row>
    <row r="730" spans="11:27" ht="12.75" x14ac:dyDescent="0.2">
      <c r="K730" s="56"/>
      <c r="Y730" s="51"/>
      <c r="Z730" s="51"/>
      <c r="AA730" s="67"/>
    </row>
    <row r="731" spans="11:27" ht="12.75" x14ac:dyDescent="0.2">
      <c r="K731" s="56"/>
      <c r="Y731" s="51"/>
      <c r="Z731" s="51"/>
      <c r="AA731" s="67"/>
    </row>
    <row r="732" spans="11:27" ht="12.75" x14ac:dyDescent="0.2">
      <c r="K732" s="56"/>
      <c r="Y732" s="51"/>
      <c r="Z732" s="51"/>
      <c r="AA732" s="67"/>
    </row>
    <row r="733" spans="11:27" ht="12.75" x14ac:dyDescent="0.2">
      <c r="K733" s="56"/>
      <c r="Y733" s="51"/>
      <c r="Z733" s="51"/>
      <c r="AA733" s="67"/>
    </row>
    <row r="734" spans="11:27" ht="12.75" x14ac:dyDescent="0.2">
      <c r="K734" s="56"/>
      <c r="Y734" s="51"/>
      <c r="Z734" s="51"/>
      <c r="AA734" s="67"/>
    </row>
    <row r="735" spans="11:27" ht="12.75" x14ac:dyDescent="0.2">
      <c r="K735" s="56"/>
      <c r="Y735" s="51"/>
      <c r="Z735" s="51"/>
      <c r="AA735" s="67"/>
    </row>
    <row r="736" spans="11:27" ht="12.75" x14ac:dyDescent="0.2">
      <c r="K736" s="56"/>
      <c r="Y736" s="51"/>
      <c r="Z736" s="51"/>
      <c r="AA736" s="67"/>
    </row>
    <row r="737" spans="11:27" ht="12.75" x14ac:dyDescent="0.2">
      <c r="K737" s="56"/>
      <c r="Y737" s="51"/>
      <c r="Z737" s="51"/>
      <c r="AA737" s="67"/>
    </row>
    <row r="738" spans="11:27" ht="12.75" x14ac:dyDescent="0.2">
      <c r="K738" s="56"/>
      <c r="Y738" s="51"/>
      <c r="Z738" s="51"/>
      <c r="AA738" s="67"/>
    </row>
    <row r="739" spans="11:27" ht="12.75" x14ac:dyDescent="0.2">
      <c r="K739" s="56"/>
      <c r="Y739" s="51"/>
      <c r="Z739" s="51"/>
      <c r="AA739" s="67"/>
    </row>
    <row r="740" spans="11:27" ht="12.75" x14ac:dyDescent="0.2">
      <c r="K740" s="56"/>
      <c r="Y740" s="51"/>
      <c r="Z740" s="51"/>
      <c r="AA740" s="67"/>
    </row>
    <row r="741" spans="11:27" ht="12.75" x14ac:dyDescent="0.2">
      <c r="K741" s="56"/>
      <c r="Y741" s="51"/>
      <c r="Z741" s="51"/>
      <c r="AA741" s="67"/>
    </row>
    <row r="742" spans="11:27" ht="12.75" x14ac:dyDescent="0.2">
      <c r="K742" s="56"/>
      <c r="Y742" s="51"/>
      <c r="Z742" s="51"/>
      <c r="AA742" s="67"/>
    </row>
    <row r="743" spans="11:27" ht="12.75" x14ac:dyDescent="0.2">
      <c r="K743" s="56"/>
      <c r="Y743" s="51"/>
      <c r="Z743" s="51"/>
      <c r="AA743" s="67"/>
    </row>
    <row r="744" spans="11:27" ht="12.75" x14ac:dyDescent="0.2">
      <c r="K744" s="56"/>
      <c r="Y744" s="51"/>
      <c r="Z744" s="51"/>
      <c r="AA744" s="67"/>
    </row>
    <row r="745" spans="11:27" ht="12.75" x14ac:dyDescent="0.2">
      <c r="K745" s="56"/>
      <c r="Y745" s="51"/>
      <c r="Z745" s="51"/>
      <c r="AA745" s="67"/>
    </row>
    <row r="746" spans="11:27" ht="12.75" x14ac:dyDescent="0.2">
      <c r="K746" s="56"/>
      <c r="Y746" s="51"/>
      <c r="Z746" s="51"/>
      <c r="AA746" s="67"/>
    </row>
    <row r="747" spans="11:27" ht="12.75" x14ac:dyDescent="0.2">
      <c r="K747" s="56"/>
      <c r="Y747" s="51"/>
      <c r="Z747" s="51"/>
      <c r="AA747" s="67"/>
    </row>
    <row r="748" spans="11:27" ht="12.75" x14ac:dyDescent="0.2">
      <c r="K748" s="56"/>
      <c r="Y748" s="51"/>
      <c r="Z748" s="51"/>
      <c r="AA748" s="67"/>
    </row>
    <row r="749" spans="11:27" ht="12.75" x14ac:dyDescent="0.2">
      <c r="K749" s="56"/>
      <c r="Y749" s="51"/>
      <c r="Z749" s="51"/>
      <c r="AA749" s="67"/>
    </row>
    <row r="750" spans="11:27" ht="12.75" x14ac:dyDescent="0.2">
      <c r="K750" s="56"/>
      <c r="Y750" s="51"/>
      <c r="Z750" s="51"/>
      <c r="AA750" s="67"/>
    </row>
    <row r="751" spans="11:27" ht="12.75" x14ac:dyDescent="0.2">
      <c r="K751" s="56"/>
      <c r="Y751" s="51"/>
      <c r="Z751" s="51"/>
      <c r="AA751" s="67"/>
    </row>
    <row r="752" spans="11:27" ht="12.75" x14ac:dyDescent="0.2">
      <c r="K752" s="56"/>
      <c r="Y752" s="51"/>
      <c r="Z752" s="51"/>
      <c r="AA752" s="67"/>
    </row>
    <row r="753" spans="11:27" ht="12.75" x14ac:dyDescent="0.2">
      <c r="K753" s="56"/>
      <c r="Y753" s="51"/>
      <c r="Z753" s="51"/>
      <c r="AA753" s="67"/>
    </row>
    <row r="754" spans="11:27" ht="12.75" x14ac:dyDescent="0.2">
      <c r="K754" s="56"/>
      <c r="Y754" s="51"/>
      <c r="Z754" s="51"/>
      <c r="AA754" s="67"/>
    </row>
    <row r="755" spans="11:27" ht="12.75" x14ac:dyDescent="0.2">
      <c r="K755" s="56"/>
      <c r="Y755" s="51"/>
      <c r="Z755" s="51"/>
      <c r="AA755" s="67"/>
    </row>
    <row r="756" spans="11:27" ht="12.75" x14ac:dyDescent="0.2">
      <c r="K756" s="56"/>
      <c r="Y756" s="51"/>
      <c r="Z756" s="51"/>
      <c r="AA756" s="67"/>
    </row>
    <row r="757" spans="11:27" ht="12.75" x14ac:dyDescent="0.2">
      <c r="K757" s="56"/>
      <c r="Y757" s="51"/>
      <c r="Z757" s="51"/>
      <c r="AA757" s="67"/>
    </row>
    <row r="758" spans="11:27" ht="12.75" x14ac:dyDescent="0.2">
      <c r="K758" s="56"/>
      <c r="Y758" s="51"/>
      <c r="Z758" s="51"/>
      <c r="AA758" s="67"/>
    </row>
    <row r="759" spans="11:27" ht="12.75" x14ac:dyDescent="0.2">
      <c r="K759" s="56"/>
      <c r="Y759" s="51"/>
      <c r="Z759" s="51"/>
      <c r="AA759" s="67"/>
    </row>
    <row r="760" spans="11:27" ht="12.75" x14ac:dyDescent="0.2">
      <c r="K760" s="56"/>
      <c r="Y760" s="51"/>
      <c r="Z760" s="51"/>
      <c r="AA760" s="67"/>
    </row>
    <row r="761" spans="11:27" ht="12.75" x14ac:dyDescent="0.2">
      <c r="K761" s="56"/>
      <c r="Y761" s="51"/>
      <c r="Z761" s="51"/>
      <c r="AA761" s="67"/>
    </row>
    <row r="762" spans="11:27" ht="12.75" x14ac:dyDescent="0.2">
      <c r="K762" s="56"/>
      <c r="Y762" s="51"/>
      <c r="Z762" s="51"/>
      <c r="AA762" s="67"/>
    </row>
    <row r="763" spans="11:27" ht="12.75" x14ac:dyDescent="0.2">
      <c r="K763" s="56"/>
      <c r="Y763" s="51"/>
      <c r="Z763" s="51"/>
      <c r="AA763" s="67"/>
    </row>
    <row r="764" spans="11:27" ht="12.75" x14ac:dyDescent="0.2">
      <c r="K764" s="56"/>
      <c r="Y764" s="51"/>
      <c r="Z764" s="51"/>
      <c r="AA764" s="67"/>
    </row>
    <row r="765" spans="11:27" ht="12.75" x14ac:dyDescent="0.2">
      <c r="K765" s="56"/>
      <c r="Y765" s="51"/>
      <c r="Z765" s="51"/>
      <c r="AA765" s="67"/>
    </row>
    <row r="766" spans="11:27" ht="12.75" x14ac:dyDescent="0.2">
      <c r="K766" s="56"/>
      <c r="Y766" s="51"/>
      <c r="Z766" s="51"/>
      <c r="AA766" s="67"/>
    </row>
    <row r="767" spans="11:27" ht="12.75" x14ac:dyDescent="0.2">
      <c r="K767" s="56"/>
      <c r="Y767" s="51"/>
      <c r="Z767" s="51"/>
      <c r="AA767" s="67"/>
    </row>
    <row r="768" spans="11:27" ht="12.75" x14ac:dyDescent="0.2">
      <c r="K768" s="56"/>
      <c r="Y768" s="51"/>
      <c r="Z768" s="51"/>
      <c r="AA768" s="67"/>
    </row>
    <row r="769" spans="11:27" ht="12.75" x14ac:dyDescent="0.2">
      <c r="K769" s="56"/>
      <c r="Y769" s="51"/>
      <c r="Z769" s="51"/>
      <c r="AA769" s="67"/>
    </row>
    <row r="770" spans="11:27" ht="12.75" x14ac:dyDescent="0.2">
      <c r="K770" s="56"/>
      <c r="Y770" s="51"/>
      <c r="Z770" s="51"/>
      <c r="AA770" s="67"/>
    </row>
    <row r="771" spans="11:27" ht="12.75" x14ac:dyDescent="0.2">
      <c r="K771" s="56"/>
      <c r="Y771" s="51"/>
      <c r="Z771" s="51"/>
      <c r="AA771" s="67"/>
    </row>
    <row r="772" spans="11:27" ht="12.75" x14ac:dyDescent="0.2">
      <c r="K772" s="56"/>
      <c r="Y772" s="51"/>
      <c r="Z772" s="51"/>
      <c r="AA772" s="67"/>
    </row>
    <row r="773" spans="11:27" ht="12.75" x14ac:dyDescent="0.2">
      <c r="K773" s="56"/>
      <c r="Y773" s="51"/>
      <c r="Z773" s="51"/>
      <c r="AA773" s="67"/>
    </row>
    <row r="774" spans="11:27" ht="12.75" x14ac:dyDescent="0.2">
      <c r="K774" s="56"/>
      <c r="Y774" s="51"/>
      <c r="Z774" s="51"/>
      <c r="AA774" s="67"/>
    </row>
    <row r="775" spans="11:27" ht="12.75" x14ac:dyDescent="0.2">
      <c r="K775" s="56"/>
      <c r="Y775" s="51"/>
      <c r="Z775" s="51"/>
      <c r="AA775" s="67"/>
    </row>
    <row r="776" spans="11:27" ht="12.75" x14ac:dyDescent="0.2">
      <c r="K776" s="56"/>
      <c r="Y776" s="51"/>
      <c r="Z776" s="51"/>
      <c r="AA776" s="67"/>
    </row>
    <row r="777" spans="11:27" ht="12.75" x14ac:dyDescent="0.2">
      <c r="K777" s="56"/>
      <c r="Y777" s="51"/>
      <c r="Z777" s="51"/>
      <c r="AA777" s="67"/>
    </row>
    <row r="778" spans="11:27" ht="12.75" x14ac:dyDescent="0.2">
      <c r="K778" s="56"/>
      <c r="Y778" s="51"/>
      <c r="Z778" s="51"/>
      <c r="AA778" s="67"/>
    </row>
    <row r="779" spans="11:27" ht="12.75" x14ac:dyDescent="0.2">
      <c r="K779" s="56"/>
      <c r="Y779" s="51"/>
      <c r="Z779" s="51"/>
      <c r="AA779" s="67"/>
    </row>
    <row r="780" spans="11:27" ht="12.75" x14ac:dyDescent="0.2">
      <c r="K780" s="56"/>
      <c r="Y780" s="51"/>
      <c r="Z780" s="51"/>
      <c r="AA780" s="67"/>
    </row>
    <row r="781" spans="11:27" ht="12.75" x14ac:dyDescent="0.2">
      <c r="K781" s="56"/>
      <c r="Y781" s="51"/>
      <c r="Z781" s="51"/>
      <c r="AA781" s="67"/>
    </row>
    <row r="782" spans="11:27" ht="12.75" x14ac:dyDescent="0.2">
      <c r="K782" s="56"/>
      <c r="Y782" s="51"/>
      <c r="Z782" s="51"/>
      <c r="AA782" s="67"/>
    </row>
    <row r="783" spans="11:27" ht="12.75" x14ac:dyDescent="0.2">
      <c r="K783" s="56"/>
      <c r="Y783" s="51"/>
      <c r="Z783" s="51"/>
      <c r="AA783" s="67"/>
    </row>
    <row r="784" spans="11:27" ht="12.75" x14ac:dyDescent="0.2">
      <c r="K784" s="56"/>
      <c r="Y784" s="51"/>
      <c r="Z784" s="51"/>
      <c r="AA784" s="67"/>
    </row>
    <row r="785" spans="11:27" ht="12.75" x14ac:dyDescent="0.2">
      <c r="K785" s="56"/>
      <c r="Y785" s="51"/>
      <c r="Z785" s="51"/>
      <c r="AA785" s="67"/>
    </row>
    <row r="786" spans="11:27" ht="12.75" x14ac:dyDescent="0.2">
      <c r="K786" s="56"/>
      <c r="Y786" s="51"/>
      <c r="Z786" s="51"/>
      <c r="AA786" s="67"/>
    </row>
    <row r="787" spans="11:27" ht="12.75" x14ac:dyDescent="0.2">
      <c r="K787" s="56"/>
      <c r="Y787" s="51"/>
      <c r="Z787" s="51"/>
      <c r="AA787" s="67"/>
    </row>
    <row r="788" spans="11:27" ht="12.75" x14ac:dyDescent="0.2">
      <c r="K788" s="56"/>
      <c r="Y788" s="51"/>
      <c r="Z788" s="51"/>
      <c r="AA788" s="67"/>
    </row>
    <row r="789" spans="11:27" ht="12.75" x14ac:dyDescent="0.2">
      <c r="K789" s="56"/>
      <c r="Y789" s="51"/>
      <c r="Z789" s="51"/>
      <c r="AA789" s="67"/>
    </row>
    <row r="790" spans="11:27" ht="12.75" x14ac:dyDescent="0.2">
      <c r="K790" s="56"/>
      <c r="Y790" s="51"/>
      <c r="Z790" s="51"/>
      <c r="AA790" s="67"/>
    </row>
    <row r="791" spans="11:27" ht="12.75" x14ac:dyDescent="0.2">
      <c r="K791" s="56"/>
      <c r="Y791" s="51"/>
      <c r="Z791" s="51"/>
      <c r="AA791" s="67"/>
    </row>
    <row r="792" spans="11:27" ht="12.75" x14ac:dyDescent="0.2">
      <c r="K792" s="56"/>
      <c r="Y792" s="51"/>
      <c r="Z792" s="51"/>
      <c r="AA792" s="67"/>
    </row>
    <row r="793" spans="11:27" ht="12.75" x14ac:dyDescent="0.2">
      <c r="K793" s="56"/>
      <c r="Y793" s="51"/>
      <c r="Z793" s="51"/>
      <c r="AA793" s="67"/>
    </row>
    <row r="794" spans="11:27" ht="12.75" x14ac:dyDescent="0.2">
      <c r="K794" s="56"/>
      <c r="Y794" s="51"/>
      <c r="Z794" s="51"/>
      <c r="AA794" s="67"/>
    </row>
    <row r="795" spans="11:27" ht="12.75" x14ac:dyDescent="0.2">
      <c r="K795" s="56"/>
      <c r="Y795" s="51"/>
      <c r="Z795" s="51"/>
      <c r="AA795" s="67"/>
    </row>
    <row r="796" spans="11:27" ht="12.75" x14ac:dyDescent="0.2">
      <c r="K796" s="56"/>
      <c r="Y796" s="51"/>
      <c r="Z796" s="51"/>
      <c r="AA796" s="67"/>
    </row>
    <row r="797" spans="11:27" ht="12.75" x14ac:dyDescent="0.2">
      <c r="K797" s="56"/>
      <c r="Y797" s="51"/>
      <c r="Z797" s="51"/>
      <c r="AA797" s="67"/>
    </row>
    <row r="798" spans="11:27" ht="12.75" x14ac:dyDescent="0.2">
      <c r="K798" s="56"/>
      <c r="Y798" s="51"/>
      <c r="Z798" s="51"/>
      <c r="AA798" s="67"/>
    </row>
    <row r="799" spans="11:27" ht="12.75" x14ac:dyDescent="0.2">
      <c r="K799" s="56"/>
      <c r="Y799" s="51"/>
      <c r="Z799" s="51"/>
      <c r="AA799" s="67"/>
    </row>
    <row r="800" spans="11:27" ht="12.75" x14ac:dyDescent="0.2">
      <c r="K800" s="56"/>
      <c r="Y800" s="51"/>
      <c r="Z800" s="51"/>
      <c r="AA800" s="67"/>
    </row>
    <row r="801" spans="11:27" ht="12.75" x14ac:dyDescent="0.2">
      <c r="K801" s="56"/>
      <c r="Y801" s="51"/>
      <c r="Z801" s="51"/>
      <c r="AA801" s="67"/>
    </row>
    <row r="802" spans="11:27" ht="12.75" x14ac:dyDescent="0.2">
      <c r="K802" s="56"/>
      <c r="Y802" s="51"/>
      <c r="Z802" s="51"/>
      <c r="AA802" s="67"/>
    </row>
    <row r="803" spans="11:27" ht="12.75" x14ac:dyDescent="0.2">
      <c r="K803" s="56"/>
      <c r="Y803" s="51"/>
      <c r="Z803" s="51"/>
      <c r="AA803" s="67"/>
    </row>
    <row r="804" spans="11:27" ht="12.75" x14ac:dyDescent="0.2">
      <c r="K804" s="56"/>
      <c r="Y804" s="51"/>
      <c r="Z804" s="51"/>
      <c r="AA804" s="67"/>
    </row>
    <row r="805" spans="11:27" ht="12.75" x14ac:dyDescent="0.2">
      <c r="K805" s="56"/>
      <c r="Y805" s="51"/>
      <c r="Z805" s="51"/>
      <c r="AA805" s="67"/>
    </row>
    <row r="806" spans="11:27" ht="12.75" x14ac:dyDescent="0.2">
      <c r="K806" s="56"/>
      <c r="Y806" s="51"/>
      <c r="Z806" s="51"/>
      <c r="AA806" s="67"/>
    </row>
    <row r="807" spans="11:27" ht="12.75" x14ac:dyDescent="0.2">
      <c r="K807" s="56"/>
      <c r="Y807" s="51"/>
      <c r="Z807" s="51"/>
      <c r="AA807" s="67"/>
    </row>
    <row r="808" spans="11:27" ht="12.75" x14ac:dyDescent="0.2">
      <c r="K808" s="56"/>
      <c r="Y808" s="51"/>
      <c r="Z808" s="51"/>
      <c r="AA808" s="67"/>
    </row>
    <row r="809" spans="11:27" ht="12.75" x14ac:dyDescent="0.2">
      <c r="K809" s="56"/>
      <c r="Y809" s="51"/>
      <c r="Z809" s="51"/>
      <c r="AA809" s="67"/>
    </row>
    <row r="810" spans="11:27" ht="12.75" x14ac:dyDescent="0.2">
      <c r="K810" s="56"/>
      <c r="Y810" s="51"/>
      <c r="Z810" s="51"/>
      <c r="AA810" s="67"/>
    </row>
    <row r="811" spans="11:27" ht="12.75" x14ac:dyDescent="0.2">
      <c r="K811" s="56"/>
      <c r="Y811" s="51"/>
      <c r="Z811" s="51"/>
      <c r="AA811" s="67"/>
    </row>
    <row r="812" spans="11:27" ht="12.75" x14ac:dyDescent="0.2">
      <c r="K812" s="56"/>
      <c r="Y812" s="51"/>
      <c r="Z812" s="51"/>
      <c r="AA812" s="67"/>
    </row>
    <row r="813" spans="11:27" ht="12.75" x14ac:dyDescent="0.2">
      <c r="K813" s="56"/>
      <c r="Y813" s="51"/>
      <c r="Z813" s="51"/>
      <c r="AA813" s="67"/>
    </row>
    <row r="814" spans="11:27" ht="12.75" x14ac:dyDescent="0.2">
      <c r="K814" s="56"/>
      <c r="Y814" s="51"/>
      <c r="Z814" s="51"/>
      <c r="AA814" s="67"/>
    </row>
    <row r="815" spans="11:27" ht="12.75" x14ac:dyDescent="0.2">
      <c r="K815" s="56"/>
      <c r="Y815" s="51"/>
      <c r="Z815" s="51"/>
      <c r="AA815" s="67"/>
    </row>
    <row r="816" spans="11:27" ht="12.75" x14ac:dyDescent="0.2">
      <c r="K816" s="56"/>
      <c r="Y816" s="51"/>
      <c r="Z816" s="51"/>
      <c r="AA816" s="67"/>
    </row>
    <row r="817" spans="11:27" ht="12.75" x14ac:dyDescent="0.2">
      <c r="K817" s="56"/>
      <c r="Y817" s="51"/>
      <c r="Z817" s="51"/>
      <c r="AA817" s="67"/>
    </row>
    <row r="818" spans="11:27" ht="12.75" x14ac:dyDescent="0.2">
      <c r="K818" s="56"/>
      <c r="Y818" s="51"/>
      <c r="Z818" s="51"/>
      <c r="AA818" s="67"/>
    </row>
    <row r="819" spans="11:27" ht="12.75" x14ac:dyDescent="0.2">
      <c r="K819" s="56"/>
      <c r="Y819" s="51"/>
      <c r="Z819" s="51"/>
      <c r="AA819" s="67"/>
    </row>
    <row r="820" spans="11:27" ht="12.75" x14ac:dyDescent="0.2">
      <c r="K820" s="56"/>
      <c r="Y820" s="51"/>
      <c r="Z820" s="51"/>
      <c r="AA820" s="67"/>
    </row>
    <row r="821" spans="11:27" ht="12.75" x14ac:dyDescent="0.2">
      <c r="K821" s="56"/>
      <c r="Y821" s="51"/>
      <c r="Z821" s="51"/>
      <c r="AA821" s="67"/>
    </row>
    <row r="822" spans="11:27" ht="12.75" x14ac:dyDescent="0.2">
      <c r="K822" s="56"/>
      <c r="Y822" s="51"/>
      <c r="Z822" s="51"/>
      <c r="AA822" s="67"/>
    </row>
    <row r="823" spans="11:27" ht="12.75" x14ac:dyDescent="0.2">
      <c r="K823" s="56"/>
      <c r="Y823" s="51"/>
      <c r="Z823" s="51"/>
      <c r="AA823" s="67"/>
    </row>
    <row r="824" spans="11:27" ht="12.75" x14ac:dyDescent="0.2">
      <c r="K824" s="56"/>
      <c r="Y824" s="51"/>
      <c r="Z824" s="51"/>
      <c r="AA824" s="67"/>
    </row>
    <row r="825" spans="11:27" ht="12.75" x14ac:dyDescent="0.2">
      <c r="K825" s="56"/>
      <c r="Y825" s="51"/>
      <c r="Z825" s="51"/>
      <c r="AA825" s="67"/>
    </row>
    <row r="826" spans="11:27" ht="12.75" x14ac:dyDescent="0.2">
      <c r="K826" s="56"/>
      <c r="Y826" s="51"/>
      <c r="Z826" s="51"/>
      <c r="AA826" s="67"/>
    </row>
    <row r="827" spans="11:27" ht="12.75" x14ac:dyDescent="0.2">
      <c r="K827" s="56"/>
      <c r="Y827" s="51"/>
      <c r="Z827" s="51"/>
      <c r="AA827" s="67"/>
    </row>
    <row r="828" spans="11:27" ht="12.75" x14ac:dyDescent="0.2">
      <c r="K828" s="56"/>
      <c r="Y828" s="51"/>
      <c r="Z828" s="51"/>
      <c r="AA828" s="67"/>
    </row>
    <row r="829" spans="11:27" ht="12.75" x14ac:dyDescent="0.2">
      <c r="K829" s="56"/>
      <c r="Y829" s="51"/>
      <c r="Z829" s="51"/>
      <c r="AA829" s="67"/>
    </row>
    <row r="830" spans="11:27" ht="12.75" x14ac:dyDescent="0.2">
      <c r="K830" s="56"/>
      <c r="Y830" s="51"/>
      <c r="Z830" s="51"/>
      <c r="AA830" s="67"/>
    </row>
    <row r="831" spans="11:27" ht="12.75" x14ac:dyDescent="0.2">
      <c r="K831" s="56"/>
      <c r="Y831" s="51"/>
      <c r="Z831" s="51"/>
      <c r="AA831" s="67"/>
    </row>
    <row r="832" spans="11:27" ht="12.75" x14ac:dyDescent="0.2">
      <c r="K832" s="56"/>
      <c r="Y832" s="51"/>
      <c r="Z832" s="51"/>
      <c r="AA832" s="67"/>
    </row>
    <row r="833" spans="11:27" ht="12.75" x14ac:dyDescent="0.2">
      <c r="K833" s="56"/>
      <c r="Y833" s="51"/>
      <c r="Z833" s="51"/>
      <c r="AA833" s="67"/>
    </row>
    <row r="834" spans="11:27" ht="12.75" x14ac:dyDescent="0.2">
      <c r="K834" s="56"/>
      <c r="Y834" s="51"/>
      <c r="Z834" s="51"/>
      <c r="AA834" s="67"/>
    </row>
    <row r="835" spans="11:27" ht="12.75" x14ac:dyDescent="0.2">
      <c r="K835" s="56"/>
      <c r="Y835" s="51"/>
      <c r="Z835" s="51"/>
      <c r="AA835" s="67"/>
    </row>
    <row r="836" spans="11:27" ht="12.75" x14ac:dyDescent="0.2">
      <c r="K836" s="56"/>
      <c r="Y836" s="51"/>
      <c r="Z836" s="51"/>
      <c r="AA836" s="67"/>
    </row>
    <row r="837" spans="11:27" ht="12.75" x14ac:dyDescent="0.2">
      <c r="K837" s="56"/>
      <c r="Y837" s="51"/>
      <c r="Z837" s="51"/>
      <c r="AA837" s="67"/>
    </row>
    <row r="838" spans="11:27" ht="12.75" x14ac:dyDescent="0.2">
      <c r="K838" s="56"/>
      <c r="Y838" s="51"/>
      <c r="Z838" s="51"/>
      <c r="AA838" s="67"/>
    </row>
    <row r="839" spans="11:27" ht="12.75" x14ac:dyDescent="0.2">
      <c r="K839" s="56"/>
      <c r="Y839" s="51"/>
      <c r="Z839" s="51"/>
      <c r="AA839" s="67"/>
    </row>
    <row r="840" spans="11:27" ht="12.75" x14ac:dyDescent="0.2">
      <c r="K840" s="56"/>
      <c r="Y840" s="51"/>
      <c r="Z840" s="51"/>
      <c r="AA840" s="67"/>
    </row>
    <row r="841" spans="11:27" ht="12.75" x14ac:dyDescent="0.2">
      <c r="K841" s="56"/>
      <c r="Y841" s="51"/>
      <c r="Z841" s="51"/>
      <c r="AA841" s="67"/>
    </row>
    <row r="842" spans="11:27" ht="12.75" x14ac:dyDescent="0.2">
      <c r="K842" s="56"/>
      <c r="Y842" s="51"/>
      <c r="Z842" s="51"/>
      <c r="AA842" s="67"/>
    </row>
    <row r="843" spans="11:27" ht="12.75" x14ac:dyDescent="0.2">
      <c r="K843" s="56"/>
      <c r="Y843" s="51"/>
      <c r="Z843" s="51"/>
      <c r="AA843" s="67"/>
    </row>
    <row r="844" spans="11:27" ht="12.75" x14ac:dyDescent="0.2">
      <c r="K844" s="56"/>
      <c r="Y844" s="51"/>
      <c r="Z844" s="51"/>
      <c r="AA844" s="67"/>
    </row>
    <row r="845" spans="11:27" ht="12.75" x14ac:dyDescent="0.2">
      <c r="K845" s="56"/>
      <c r="Y845" s="51"/>
      <c r="Z845" s="51"/>
      <c r="AA845" s="67"/>
    </row>
    <row r="846" spans="11:27" ht="12.75" x14ac:dyDescent="0.2">
      <c r="K846" s="56"/>
      <c r="Y846" s="51"/>
      <c r="Z846" s="51"/>
      <c r="AA846" s="67"/>
    </row>
    <row r="847" spans="11:27" ht="12.75" x14ac:dyDescent="0.2">
      <c r="K847" s="56"/>
      <c r="Y847" s="51"/>
      <c r="Z847" s="51"/>
      <c r="AA847" s="67"/>
    </row>
    <row r="848" spans="11:27" ht="12.75" x14ac:dyDescent="0.2">
      <c r="K848" s="56"/>
      <c r="Y848" s="51"/>
      <c r="Z848" s="51"/>
      <c r="AA848" s="67"/>
    </row>
    <row r="849" spans="11:27" ht="12.75" x14ac:dyDescent="0.2">
      <c r="K849" s="56"/>
      <c r="Y849" s="51"/>
      <c r="Z849" s="51"/>
      <c r="AA849" s="67"/>
    </row>
    <row r="850" spans="11:27" ht="12.75" x14ac:dyDescent="0.2">
      <c r="K850" s="56"/>
      <c r="Y850" s="51"/>
      <c r="Z850" s="51"/>
      <c r="AA850" s="67"/>
    </row>
    <row r="851" spans="11:27" ht="12.75" x14ac:dyDescent="0.2">
      <c r="K851" s="56"/>
      <c r="Y851" s="51"/>
      <c r="Z851" s="51"/>
      <c r="AA851" s="67"/>
    </row>
    <row r="852" spans="11:27" ht="12.75" x14ac:dyDescent="0.2">
      <c r="K852" s="56"/>
      <c r="Y852" s="51"/>
      <c r="Z852" s="51"/>
      <c r="AA852" s="67"/>
    </row>
    <row r="853" spans="11:27" ht="12.75" x14ac:dyDescent="0.2">
      <c r="K853" s="56"/>
      <c r="Y853" s="51"/>
      <c r="Z853" s="51"/>
      <c r="AA853" s="67"/>
    </row>
    <row r="854" spans="11:27" ht="12.75" x14ac:dyDescent="0.2">
      <c r="K854" s="56"/>
      <c r="Y854" s="51"/>
      <c r="Z854" s="51"/>
      <c r="AA854" s="67"/>
    </row>
    <row r="855" spans="11:27" ht="12.75" x14ac:dyDescent="0.2">
      <c r="K855" s="56"/>
      <c r="Y855" s="51"/>
      <c r="Z855" s="51"/>
      <c r="AA855" s="67"/>
    </row>
    <row r="856" spans="11:27" ht="12.75" x14ac:dyDescent="0.2">
      <c r="K856" s="56"/>
      <c r="Y856" s="51"/>
      <c r="Z856" s="51"/>
      <c r="AA856" s="67"/>
    </row>
    <row r="857" spans="11:27" ht="12.75" x14ac:dyDescent="0.2">
      <c r="K857" s="56"/>
      <c r="Y857" s="51"/>
      <c r="Z857" s="51"/>
      <c r="AA857" s="67"/>
    </row>
    <row r="858" spans="11:27" ht="12.75" x14ac:dyDescent="0.2">
      <c r="K858" s="56"/>
      <c r="Y858" s="51"/>
      <c r="Z858" s="51"/>
      <c r="AA858" s="67"/>
    </row>
    <row r="859" spans="11:27" ht="12.75" x14ac:dyDescent="0.2">
      <c r="K859" s="56"/>
      <c r="Y859" s="51"/>
      <c r="Z859" s="51"/>
      <c r="AA859" s="67"/>
    </row>
    <row r="860" spans="11:27" ht="12.75" x14ac:dyDescent="0.2">
      <c r="K860" s="56"/>
      <c r="Y860" s="51"/>
      <c r="Z860" s="51"/>
      <c r="AA860" s="67"/>
    </row>
    <row r="861" spans="11:27" ht="12.75" x14ac:dyDescent="0.2">
      <c r="K861" s="56"/>
      <c r="Y861" s="51"/>
      <c r="Z861" s="51"/>
      <c r="AA861" s="67"/>
    </row>
    <row r="862" spans="11:27" ht="12.75" x14ac:dyDescent="0.2">
      <c r="K862" s="56"/>
      <c r="Y862" s="51"/>
      <c r="Z862" s="51"/>
      <c r="AA862" s="67"/>
    </row>
    <row r="863" spans="11:27" ht="12.75" x14ac:dyDescent="0.2">
      <c r="K863" s="56"/>
      <c r="Y863" s="51"/>
      <c r="Z863" s="51"/>
      <c r="AA863" s="67"/>
    </row>
    <row r="864" spans="11:27" ht="12.75" x14ac:dyDescent="0.2">
      <c r="K864" s="56"/>
      <c r="Y864" s="51"/>
      <c r="Z864" s="51"/>
      <c r="AA864" s="67"/>
    </row>
    <row r="865" spans="11:27" ht="12.75" x14ac:dyDescent="0.2">
      <c r="K865" s="56"/>
      <c r="Y865" s="51"/>
      <c r="Z865" s="51"/>
      <c r="AA865" s="67"/>
    </row>
    <row r="866" spans="11:27" ht="12.75" x14ac:dyDescent="0.2">
      <c r="K866" s="56"/>
      <c r="Y866" s="51"/>
      <c r="Z866" s="51"/>
      <c r="AA866" s="67"/>
    </row>
    <row r="867" spans="11:27" ht="12.75" x14ac:dyDescent="0.2">
      <c r="K867" s="56"/>
      <c r="Y867" s="51"/>
      <c r="Z867" s="51"/>
      <c r="AA867" s="67"/>
    </row>
    <row r="868" spans="11:27" ht="12.75" x14ac:dyDescent="0.2">
      <c r="K868" s="56"/>
      <c r="Y868" s="51"/>
      <c r="Z868" s="51"/>
      <c r="AA868" s="67"/>
    </row>
    <row r="869" spans="11:27" ht="12.75" x14ac:dyDescent="0.2">
      <c r="K869" s="56"/>
      <c r="Y869" s="51"/>
      <c r="Z869" s="51"/>
      <c r="AA869" s="67"/>
    </row>
    <row r="870" spans="11:27" ht="12.75" x14ac:dyDescent="0.2">
      <c r="K870" s="56"/>
      <c r="Y870" s="51"/>
      <c r="Z870" s="51"/>
      <c r="AA870" s="67"/>
    </row>
    <row r="871" spans="11:27" ht="12.75" x14ac:dyDescent="0.2">
      <c r="K871" s="56"/>
      <c r="Y871" s="51"/>
      <c r="Z871" s="51"/>
      <c r="AA871" s="67"/>
    </row>
    <row r="872" spans="11:27" ht="12.75" x14ac:dyDescent="0.2">
      <c r="K872" s="56"/>
      <c r="Y872" s="51"/>
      <c r="Z872" s="51"/>
      <c r="AA872" s="67"/>
    </row>
    <row r="873" spans="11:27" ht="12.75" x14ac:dyDescent="0.2">
      <c r="K873" s="56"/>
      <c r="Y873" s="51"/>
      <c r="Z873" s="51"/>
      <c r="AA873" s="67"/>
    </row>
    <row r="874" spans="11:27" ht="12.75" x14ac:dyDescent="0.2">
      <c r="K874" s="56"/>
      <c r="Y874" s="51"/>
      <c r="Z874" s="51"/>
      <c r="AA874" s="67"/>
    </row>
    <row r="875" spans="11:27" ht="12.75" x14ac:dyDescent="0.2">
      <c r="K875" s="56"/>
      <c r="Y875" s="51"/>
      <c r="Z875" s="51"/>
      <c r="AA875" s="67"/>
    </row>
    <row r="876" spans="11:27" ht="12.75" x14ac:dyDescent="0.2">
      <c r="K876" s="56"/>
      <c r="Y876" s="51"/>
      <c r="Z876" s="51"/>
      <c r="AA876" s="67"/>
    </row>
    <row r="877" spans="11:27" ht="12.75" x14ac:dyDescent="0.2">
      <c r="K877" s="56"/>
      <c r="Y877" s="51"/>
      <c r="Z877" s="51"/>
      <c r="AA877" s="67"/>
    </row>
    <row r="878" spans="11:27" ht="12.75" x14ac:dyDescent="0.2">
      <c r="K878" s="56"/>
      <c r="Y878" s="51"/>
      <c r="Z878" s="51"/>
      <c r="AA878" s="67"/>
    </row>
    <row r="879" spans="11:27" ht="12.75" x14ac:dyDescent="0.2">
      <c r="K879" s="56"/>
      <c r="Y879" s="51"/>
      <c r="Z879" s="51"/>
      <c r="AA879" s="67"/>
    </row>
    <row r="880" spans="11:27" ht="12.75" x14ac:dyDescent="0.2">
      <c r="K880" s="56"/>
      <c r="Y880" s="51"/>
      <c r="Z880" s="51"/>
      <c r="AA880" s="67"/>
    </row>
    <row r="881" spans="11:27" ht="12.75" x14ac:dyDescent="0.2">
      <c r="K881" s="56"/>
      <c r="Y881" s="51"/>
      <c r="Z881" s="51"/>
      <c r="AA881" s="67"/>
    </row>
    <row r="882" spans="11:27" ht="12.75" x14ac:dyDescent="0.2">
      <c r="K882" s="56"/>
      <c r="Y882" s="51"/>
      <c r="Z882" s="51"/>
      <c r="AA882" s="67"/>
    </row>
    <row r="883" spans="11:27" ht="12.75" x14ac:dyDescent="0.2">
      <c r="K883" s="56"/>
      <c r="Y883" s="51"/>
      <c r="Z883" s="51"/>
      <c r="AA883" s="67"/>
    </row>
    <row r="884" spans="11:27" ht="12.75" x14ac:dyDescent="0.2">
      <c r="K884" s="56"/>
      <c r="Y884" s="51"/>
      <c r="Z884" s="51"/>
      <c r="AA884" s="67"/>
    </row>
    <row r="885" spans="11:27" ht="12.75" x14ac:dyDescent="0.2">
      <c r="K885" s="56"/>
      <c r="Y885" s="51"/>
      <c r="Z885" s="51"/>
      <c r="AA885" s="67"/>
    </row>
    <row r="886" spans="11:27" ht="12.75" x14ac:dyDescent="0.2">
      <c r="K886" s="56"/>
      <c r="Y886" s="51"/>
      <c r="Z886" s="51"/>
      <c r="AA886" s="67"/>
    </row>
    <row r="887" spans="11:27" ht="12.75" x14ac:dyDescent="0.2">
      <c r="K887" s="56"/>
      <c r="Y887" s="51"/>
      <c r="Z887" s="51"/>
      <c r="AA887" s="67"/>
    </row>
    <row r="888" spans="11:27" ht="12.75" x14ac:dyDescent="0.2">
      <c r="K888" s="56"/>
      <c r="Y888" s="51"/>
      <c r="Z888" s="51"/>
      <c r="AA888" s="67"/>
    </row>
    <row r="889" spans="11:27" ht="12.75" x14ac:dyDescent="0.2">
      <c r="K889" s="56"/>
      <c r="Y889" s="51"/>
      <c r="Z889" s="51"/>
      <c r="AA889" s="67"/>
    </row>
    <row r="890" spans="11:27" ht="12.75" x14ac:dyDescent="0.2">
      <c r="K890" s="56"/>
      <c r="Y890" s="51"/>
      <c r="Z890" s="51"/>
      <c r="AA890" s="67"/>
    </row>
    <row r="891" spans="11:27" ht="12.75" x14ac:dyDescent="0.2">
      <c r="K891" s="56"/>
      <c r="Y891" s="51"/>
      <c r="Z891" s="51"/>
      <c r="AA891" s="67"/>
    </row>
    <row r="892" spans="11:27" ht="12.75" x14ac:dyDescent="0.2">
      <c r="K892" s="56"/>
      <c r="Y892" s="51"/>
      <c r="Z892" s="51"/>
      <c r="AA892" s="67"/>
    </row>
    <row r="893" spans="11:27" ht="12.75" x14ac:dyDescent="0.2">
      <c r="K893" s="56"/>
      <c r="Y893" s="51"/>
      <c r="Z893" s="51"/>
      <c r="AA893" s="67"/>
    </row>
    <row r="894" spans="11:27" ht="12.75" x14ac:dyDescent="0.2">
      <c r="K894" s="56"/>
      <c r="Y894" s="51"/>
      <c r="Z894" s="51"/>
      <c r="AA894" s="67"/>
    </row>
    <row r="895" spans="11:27" ht="12.75" x14ac:dyDescent="0.2">
      <c r="K895" s="56"/>
      <c r="Y895" s="51"/>
      <c r="Z895" s="51"/>
      <c r="AA895" s="67"/>
    </row>
    <row r="896" spans="11:27" ht="12.75" x14ac:dyDescent="0.2">
      <c r="K896" s="56"/>
      <c r="Y896" s="51"/>
      <c r="Z896" s="51"/>
      <c r="AA896" s="67"/>
    </row>
    <row r="897" spans="11:27" ht="12.75" x14ac:dyDescent="0.2">
      <c r="K897" s="56"/>
      <c r="Y897" s="51"/>
      <c r="Z897" s="51"/>
      <c r="AA897" s="67"/>
    </row>
    <row r="898" spans="11:27" ht="12.75" x14ac:dyDescent="0.2">
      <c r="K898" s="56"/>
      <c r="Y898" s="51"/>
      <c r="Z898" s="51"/>
      <c r="AA898" s="67"/>
    </row>
    <row r="899" spans="11:27" ht="12.75" x14ac:dyDescent="0.2">
      <c r="K899" s="56"/>
      <c r="Y899" s="51"/>
      <c r="Z899" s="51"/>
      <c r="AA899" s="67"/>
    </row>
    <row r="900" spans="11:27" ht="12.75" x14ac:dyDescent="0.2">
      <c r="K900" s="56"/>
      <c r="Y900" s="51"/>
      <c r="Z900" s="51"/>
      <c r="AA900" s="67"/>
    </row>
    <row r="901" spans="11:27" ht="12.75" x14ac:dyDescent="0.2">
      <c r="K901" s="56"/>
      <c r="Y901" s="51"/>
      <c r="Z901" s="51"/>
      <c r="AA901" s="67"/>
    </row>
    <row r="902" spans="11:27" ht="12.75" x14ac:dyDescent="0.2">
      <c r="K902" s="56"/>
      <c r="Y902" s="51"/>
      <c r="Z902" s="51"/>
      <c r="AA902" s="67"/>
    </row>
    <row r="903" spans="11:27" ht="12.75" x14ac:dyDescent="0.2">
      <c r="K903" s="56"/>
      <c r="Y903" s="51"/>
      <c r="Z903" s="51"/>
      <c r="AA903" s="67"/>
    </row>
    <row r="904" spans="11:27" ht="12.75" x14ac:dyDescent="0.2">
      <c r="K904" s="56"/>
      <c r="Y904" s="51"/>
      <c r="Z904" s="51"/>
      <c r="AA904" s="67"/>
    </row>
    <row r="905" spans="11:27" ht="12.75" x14ac:dyDescent="0.2">
      <c r="K905" s="56"/>
      <c r="Y905" s="51"/>
      <c r="Z905" s="51"/>
      <c r="AA905" s="67"/>
    </row>
    <row r="906" spans="11:27" ht="12.75" x14ac:dyDescent="0.2">
      <c r="K906" s="56"/>
      <c r="Y906" s="51"/>
      <c r="Z906" s="51"/>
      <c r="AA906" s="67"/>
    </row>
    <row r="907" spans="11:27" ht="12.75" x14ac:dyDescent="0.2">
      <c r="K907" s="56"/>
      <c r="Y907" s="51"/>
      <c r="Z907" s="51"/>
      <c r="AA907" s="67"/>
    </row>
    <row r="908" spans="11:27" ht="12.75" x14ac:dyDescent="0.2">
      <c r="K908" s="56"/>
      <c r="Y908" s="51"/>
      <c r="Z908" s="51"/>
      <c r="AA908" s="67"/>
    </row>
    <row r="909" spans="11:27" ht="12.75" x14ac:dyDescent="0.2">
      <c r="K909" s="56"/>
      <c r="Y909" s="51"/>
      <c r="Z909" s="51"/>
      <c r="AA909" s="67"/>
    </row>
    <row r="910" spans="11:27" ht="12.75" x14ac:dyDescent="0.2">
      <c r="K910" s="56"/>
      <c r="Y910" s="51"/>
      <c r="Z910" s="51"/>
      <c r="AA910" s="67"/>
    </row>
    <row r="911" spans="11:27" ht="12.75" x14ac:dyDescent="0.2">
      <c r="K911" s="56"/>
      <c r="Y911" s="51"/>
      <c r="Z911" s="51"/>
      <c r="AA911" s="67"/>
    </row>
    <row r="912" spans="11:27" ht="12.75" x14ac:dyDescent="0.2">
      <c r="K912" s="56"/>
      <c r="Y912" s="51"/>
      <c r="Z912" s="51"/>
      <c r="AA912" s="67"/>
    </row>
    <row r="913" spans="11:27" ht="12.75" x14ac:dyDescent="0.2">
      <c r="K913" s="56"/>
      <c r="Y913" s="51"/>
      <c r="Z913" s="51"/>
      <c r="AA913" s="67"/>
    </row>
    <row r="914" spans="11:27" ht="12.75" x14ac:dyDescent="0.2">
      <c r="K914" s="56"/>
      <c r="Y914" s="51"/>
      <c r="Z914" s="51"/>
      <c r="AA914" s="67"/>
    </row>
    <row r="915" spans="11:27" ht="12.75" x14ac:dyDescent="0.2">
      <c r="K915" s="56"/>
      <c r="Y915" s="51"/>
      <c r="Z915" s="51"/>
      <c r="AA915" s="67"/>
    </row>
    <row r="916" spans="11:27" ht="12.75" x14ac:dyDescent="0.2">
      <c r="K916" s="56"/>
      <c r="Y916" s="51"/>
      <c r="Z916" s="51"/>
      <c r="AA916" s="67"/>
    </row>
    <row r="917" spans="11:27" ht="12.75" x14ac:dyDescent="0.2">
      <c r="K917" s="56"/>
      <c r="Y917" s="51"/>
      <c r="Z917" s="51"/>
      <c r="AA917" s="67"/>
    </row>
    <row r="918" spans="11:27" ht="12.75" x14ac:dyDescent="0.2">
      <c r="K918" s="56"/>
      <c r="Y918" s="51"/>
      <c r="Z918" s="51"/>
      <c r="AA918" s="67"/>
    </row>
    <row r="919" spans="11:27" ht="12.75" x14ac:dyDescent="0.2">
      <c r="K919" s="56"/>
      <c r="Y919" s="51"/>
      <c r="Z919" s="51"/>
      <c r="AA919" s="67"/>
    </row>
    <row r="920" spans="11:27" ht="12.75" x14ac:dyDescent="0.2">
      <c r="K920" s="56"/>
      <c r="Y920" s="51"/>
      <c r="Z920" s="51"/>
      <c r="AA920" s="67"/>
    </row>
    <row r="921" spans="11:27" ht="12.75" x14ac:dyDescent="0.2">
      <c r="K921" s="56"/>
      <c r="Y921" s="51"/>
      <c r="Z921" s="51"/>
      <c r="AA921" s="67"/>
    </row>
    <row r="922" spans="11:27" ht="12.75" x14ac:dyDescent="0.2">
      <c r="K922" s="56"/>
      <c r="Y922" s="51"/>
      <c r="Z922" s="51"/>
      <c r="AA922" s="67"/>
    </row>
    <row r="923" spans="11:27" ht="12.75" x14ac:dyDescent="0.2">
      <c r="K923" s="56"/>
      <c r="Y923" s="51"/>
      <c r="Z923" s="51"/>
      <c r="AA923" s="67"/>
    </row>
    <row r="924" spans="11:27" ht="12.75" x14ac:dyDescent="0.2">
      <c r="K924" s="56"/>
      <c r="Y924" s="51"/>
      <c r="Z924" s="51"/>
      <c r="AA924" s="67"/>
    </row>
    <row r="925" spans="11:27" ht="12.75" x14ac:dyDescent="0.2">
      <c r="K925" s="56"/>
      <c r="Y925" s="51"/>
      <c r="Z925" s="51"/>
      <c r="AA925" s="67"/>
    </row>
    <row r="926" spans="11:27" ht="12.75" x14ac:dyDescent="0.2">
      <c r="K926" s="56"/>
      <c r="Y926" s="51"/>
      <c r="Z926" s="51"/>
      <c r="AA926" s="67"/>
    </row>
    <row r="927" spans="11:27" ht="12.75" x14ac:dyDescent="0.2">
      <c r="K927" s="56"/>
      <c r="Y927" s="51"/>
      <c r="Z927" s="51"/>
      <c r="AA927" s="67"/>
    </row>
    <row r="928" spans="11:27" ht="12.75" x14ac:dyDescent="0.2">
      <c r="K928" s="56"/>
      <c r="Y928" s="51"/>
      <c r="Z928" s="51"/>
      <c r="AA928" s="67"/>
    </row>
    <row r="929" spans="11:27" ht="12.75" x14ac:dyDescent="0.2">
      <c r="K929" s="56"/>
      <c r="Y929" s="51"/>
      <c r="Z929" s="51"/>
      <c r="AA929" s="67"/>
    </row>
    <row r="930" spans="11:27" ht="12.75" x14ac:dyDescent="0.2">
      <c r="K930" s="56"/>
      <c r="Y930" s="51"/>
      <c r="Z930" s="51"/>
      <c r="AA930" s="67"/>
    </row>
    <row r="931" spans="11:27" ht="12.75" x14ac:dyDescent="0.2">
      <c r="K931" s="56"/>
      <c r="Y931" s="51"/>
      <c r="Z931" s="51"/>
      <c r="AA931" s="67"/>
    </row>
    <row r="932" spans="11:27" ht="12.75" x14ac:dyDescent="0.2">
      <c r="K932" s="56"/>
      <c r="Y932" s="51"/>
      <c r="Z932" s="51"/>
      <c r="AA932" s="67"/>
    </row>
    <row r="933" spans="11:27" ht="12.75" x14ac:dyDescent="0.2">
      <c r="K933" s="56"/>
      <c r="Y933" s="51"/>
      <c r="Z933" s="51"/>
      <c r="AA933" s="67"/>
    </row>
    <row r="934" spans="11:27" ht="12.75" x14ac:dyDescent="0.2">
      <c r="K934" s="56"/>
      <c r="Y934" s="51"/>
      <c r="Z934" s="51"/>
      <c r="AA934" s="67"/>
    </row>
    <row r="935" spans="11:27" ht="12.75" x14ac:dyDescent="0.2">
      <c r="K935" s="56"/>
      <c r="Y935" s="51"/>
      <c r="Z935" s="51"/>
      <c r="AA935" s="67"/>
    </row>
    <row r="936" spans="11:27" ht="12.75" x14ac:dyDescent="0.2">
      <c r="K936" s="56"/>
      <c r="Y936" s="51"/>
      <c r="Z936" s="51"/>
      <c r="AA936" s="67"/>
    </row>
    <row r="937" spans="11:27" ht="12.75" x14ac:dyDescent="0.2">
      <c r="K937" s="56"/>
      <c r="Y937" s="51"/>
      <c r="Z937" s="51"/>
      <c r="AA937" s="67"/>
    </row>
    <row r="938" spans="11:27" ht="12.75" x14ac:dyDescent="0.2">
      <c r="K938" s="56"/>
      <c r="Y938" s="51"/>
      <c r="Z938" s="51"/>
      <c r="AA938" s="67"/>
    </row>
    <row r="939" spans="11:27" ht="12.75" x14ac:dyDescent="0.2">
      <c r="K939" s="56"/>
      <c r="Y939" s="51"/>
      <c r="Z939" s="51"/>
      <c r="AA939" s="67"/>
    </row>
    <row r="940" spans="11:27" ht="12.75" x14ac:dyDescent="0.2">
      <c r="K940" s="56"/>
      <c r="Y940" s="51"/>
      <c r="Z940" s="51"/>
      <c r="AA940" s="67"/>
    </row>
    <row r="941" spans="11:27" ht="12.75" x14ac:dyDescent="0.2">
      <c r="K941" s="56"/>
      <c r="Y941" s="51"/>
      <c r="Z941" s="51"/>
      <c r="AA941" s="67"/>
    </row>
    <row r="942" spans="11:27" ht="12.75" x14ac:dyDescent="0.2">
      <c r="K942" s="56"/>
      <c r="Y942" s="51"/>
      <c r="Z942" s="51"/>
      <c r="AA942" s="67"/>
    </row>
    <row r="943" spans="11:27" ht="12.75" x14ac:dyDescent="0.2">
      <c r="K943" s="56"/>
      <c r="Y943" s="51"/>
      <c r="Z943" s="51"/>
      <c r="AA943" s="67"/>
    </row>
    <row r="944" spans="11:27" ht="12.75" x14ac:dyDescent="0.2">
      <c r="K944" s="56"/>
      <c r="Y944" s="51"/>
      <c r="Z944" s="51"/>
      <c r="AA944" s="67"/>
    </row>
    <row r="945" spans="11:27" ht="12.75" x14ac:dyDescent="0.2">
      <c r="K945" s="56"/>
      <c r="Y945" s="51"/>
      <c r="Z945" s="51"/>
      <c r="AA945" s="67"/>
    </row>
    <row r="946" spans="11:27" ht="12.75" x14ac:dyDescent="0.2">
      <c r="K946" s="56"/>
      <c r="Y946" s="51"/>
      <c r="Z946" s="51"/>
      <c r="AA946" s="67"/>
    </row>
    <row r="947" spans="11:27" ht="12.75" x14ac:dyDescent="0.2">
      <c r="K947" s="56"/>
      <c r="Y947" s="51"/>
      <c r="Z947" s="51"/>
      <c r="AA947" s="67"/>
    </row>
    <row r="948" spans="11:27" ht="12.75" x14ac:dyDescent="0.2">
      <c r="K948" s="56"/>
      <c r="Y948" s="51"/>
      <c r="Z948" s="51"/>
      <c r="AA948" s="67"/>
    </row>
    <row r="949" spans="11:27" ht="12.75" x14ac:dyDescent="0.2">
      <c r="K949" s="56"/>
      <c r="Y949" s="51"/>
      <c r="Z949" s="51"/>
      <c r="AA949" s="67"/>
    </row>
    <row r="950" spans="11:27" ht="12.75" x14ac:dyDescent="0.2">
      <c r="K950" s="56"/>
      <c r="Y950" s="51"/>
      <c r="Z950" s="51"/>
      <c r="AA950" s="67"/>
    </row>
    <row r="951" spans="11:27" ht="12.75" x14ac:dyDescent="0.2">
      <c r="K951" s="56"/>
      <c r="Y951" s="51"/>
      <c r="Z951" s="51"/>
      <c r="AA951" s="67"/>
    </row>
    <row r="952" spans="11:27" ht="12.75" x14ac:dyDescent="0.2">
      <c r="K952" s="56"/>
      <c r="Y952" s="51"/>
      <c r="Z952" s="51"/>
      <c r="AA952" s="67"/>
    </row>
    <row r="953" spans="11:27" ht="12.75" x14ac:dyDescent="0.2">
      <c r="K953" s="56"/>
      <c r="Y953" s="51"/>
      <c r="Z953" s="51"/>
      <c r="AA953" s="67"/>
    </row>
    <row r="954" spans="11:27" ht="12.75" x14ac:dyDescent="0.2">
      <c r="K954" s="56"/>
      <c r="Y954" s="51"/>
      <c r="Z954" s="51"/>
      <c r="AA954" s="67"/>
    </row>
    <row r="955" spans="11:27" ht="12.75" x14ac:dyDescent="0.2">
      <c r="K955" s="56"/>
      <c r="Y955" s="51"/>
      <c r="Z955" s="51"/>
      <c r="AA955" s="67"/>
    </row>
    <row r="956" spans="11:27" ht="12.75" x14ac:dyDescent="0.2">
      <c r="K956" s="56"/>
      <c r="Y956" s="51"/>
      <c r="Z956" s="51"/>
      <c r="AA956" s="67"/>
    </row>
    <row r="957" spans="11:27" ht="12.75" x14ac:dyDescent="0.2">
      <c r="K957" s="56"/>
      <c r="Y957" s="51"/>
      <c r="Z957" s="51"/>
      <c r="AA957" s="67"/>
    </row>
    <row r="958" spans="11:27" ht="12.75" x14ac:dyDescent="0.2">
      <c r="K958" s="56"/>
      <c r="Y958" s="51"/>
      <c r="Z958" s="51"/>
      <c r="AA958" s="67"/>
    </row>
    <row r="959" spans="11:27" ht="12.75" x14ac:dyDescent="0.2">
      <c r="K959" s="56"/>
      <c r="Y959" s="51"/>
      <c r="Z959" s="51"/>
      <c r="AA959" s="67"/>
    </row>
    <row r="960" spans="11:27" ht="12.75" x14ac:dyDescent="0.2">
      <c r="K960" s="56"/>
      <c r="Y960" s="51"/>
      <c r="Z960" s="51"/>
      <c r="AA960" s="67"/>
    </row>
    <row r="961" spans="11:27" ht="12.75" x14ac:dyDescent="0.2">
      <c r="K961" s="56"/>
      <c r="Y961" s="51"/>
      <c r="Z961" s="51"/>
      <c r="AA961" s="67"/>
    </row>
    <row r="962" spans="11:27" ht="12.75" x14ac:dyDescent="0.2">
      <c r="K962" s="56"/>
      <c r="Y962" s="51"/>
      <c r="Z962" s="51"/>
      <c r="AA962" s="67"/>
    </row>
    <row r="963" spans="11:27" ht="12.75" x14ac:dyDescent="0.2">
      <c r="K963" s="56"/>
      <c r="Y963" s="51"/>
      <c r="Z963" s="51"/>
      <c r="AA963" s="67"/>
    </row>
    <row r="964" spans="11:27" ht="12.75" x14ac:dyDescent="0.2">
      <c r="K964" s="56"/>
      <c r="Y964" s="51"/>
      <c r="Z964" s="51"/>
      <c r="AA964" s="67"/>
    </row>
    <row r="965" spans="11:27" ht="12.75" x14ac:dyDescent="0.2">
      <c r="K965" s="56"/>
      <c r="Y965" s="51"/>
      <c r="Z965" s="51"/>
      <c r="AA965" s="67"/>
    </row>
    <row r="966" spans="11:27" ht="12.75" x14ac:dyDescent="0.2">
      <c r="K966" s="56"/>
      <c r="Y966" s="51"/>
      <c r="Z966" s="51"/>
      <c r="AA966" s="67"/>
    </row>
    <row r="967" spans="11:27" ht="12.75" x14ac:dyDescent="0.2">
      <c r="K967" s="56"/>
      <c r="Y967" s="51"/>
      <c r="Z967" s="51"/>
      <c r="AA967" s="67"/>
    </row>
    <row r="968" spans="11:27" ht="12.75" x14ac:dyDescent="0.2">
      <c r="K968" s="56"/>
      <c r="Y968" s="51"/>
      <c r="Z968" s="51"/>
      <c r="AA968" s="67"/>
    </row>
    <row r="969" spans="11:27" ht="12.75" x14ac:dyDescent="0.2">
      <c r="K969" s="56"/>
      <c r="Y969" s="51"/>
      <c r="Z969" s="51"/>
      <c r="AA969" s="67"/>
    </row>
    <row r="970" spans="11:27" ht="12.75" x14ac:dyDescent="0.2">
      <c r="K970" s="56"/>
      <c r="Y970" s="51"/>
      <c r="Z970" s="51"/>
      <c r="AA970" s="67"/>
    </row>
    <row r="971" spans="11:27" ht="12.75" x14ac:dyDescent="0.2">
      <c r="K971" s="56"/>
      <c r="Y971" s="51"/>
      <c r="Z971" s="51"/>
      <c r="AA971" s="67"/>
    </row>
    <row r="972" spans="11:27" ht="12.75" x14ac:dyDescent="0.2">
      <c r="K972" s="56"/>
      <c r="Y972" s="51"/>
      <c r="Z972" s="51"/>
      <c r="AA972" s="67"/>
    </row>
    <row r="973" spans="11:27" ht="12.75" x14ac:dyDescent="0.2">
      <c r="K973" s="56"/>
      <c r="Y973" s="51"/>
      <c r="Z973" s="51"/>
      <c r="AA973" s="67"/>
    </row>
    <row r="974" spans="11:27" ht="12.75" x14ac:dyDescent="0.2">
      <c r="K974" s="56"/>
      <c r="Y974" s="51"/>
      <c r="Z974" s="51"/>
      <c r="AA974" s="67"/>
    </row>
    <row r="975" spans="11:27" ht="12.75" x14ac:dyDescent="0.2">
      <c r="K975" s="56"/>
      <c r="Y975" s="51"/>
      <c r="Z975" s="51"/>
      <c r="AA975" s="67"/>
    </row>
    <row r="976" spans="11:27" ht="12.75" x14ac:dyDescent="0.2">
      <c r="K976" s="56"/>
      <c r="Y976" s="51"/>
      <c r="Z976" s="51"/>
      <c r="AA976" s="67"/>
    </row>
    <row r="977" spans="11:27" ht="12.75" x14ac:dyDescent="0.2">
      <c r="K977" s="56"/>
      <c r="Y977" s="51"/>
      <c r="Z977" s="51"/>
      <c r="AA977" s="67"/>
    </row>
    <row r="978" spans="11:27" ht="12.75" x14ac:dyDescent="0.2">
      <c r="K978" s="56"/>
      <c r="Y978" s="51"/>
      <c r="Z978" s="51"/>
      <c r="AA978" s="67"/>
    </row>
    <row r="979" spans="11:27" ht="12.75" x14ac:dyDescent="0.2">
      <c r="K979" s="56"/>
      <c r="Y979" s="51"/>
      <c r="Z979" s="51"/>
      <c r="AA979" s="67"/>
    </row>
    <row r="980" spans="11:27" ht="12.75" x14ac:dyDescent="0.2">
      <c r="K980" s="56"/>
      <c r="Y980" s="51"/>
      <c r="Z980" s="51"/>
      <c r="AA980" s="67"/>
    </row>
    <row r="981" spans="11:27" ht="12.75" x14ac:dyDescent="0.2">
      <c r="K981" s="56"/>
      <c r="Y981" s="51"/>
      <c r="Z981" s="51"/>
      <c r="AA981" s="67"/>
    </row>
    <row r="982" spans="11:27" ht="12.75" x14ac:dyDescent="0.2">
      <c r="K982" s="56"/>
      <c r="Y982" s="51"/>
      <c r="Z982" s="51"/>
      <c r="AA982" s="67"/>
    </row>
    <row r="983" spans="11:27" ht="12.75" x14ac:dyDescent="0.2">
      <c r="K983" s="56"/>
      <c r="Y983" s="51"/>
      <c r="Z983" s="51"/>
      <c r="AA983" s="67"/>
    </row>
    <row r="984" spans="11:27" ht="12.75" x14ac:dyDescent="0.2">
      <c r="K984" s="56"/>
      <c r="Y984" s="51"/>
      <c r="Z984" s="51"/>
      <c r="AA984" s="67"/>
    </row>
    <row r="985" spans="11:27" ht="12.75" x14ac:dyDescent="0.2">
      <c r="K985" s="56"/>
      <c r="Y985" s="51"/>
      <c r="Z985" s="51"/>
      <c r="AA985" s="67"/>
    </row>
    <row r="986" spans="11:27" ht="12.75" x14ac:dyDescent="0.2">
      <c r="K986" s="56"/>
      <c r="Y986" s="51"/>
      <c r="Z986" s="51"/>
      <c r="AA986" s="67"/>
    </row>
    <row r="987" spans="11:27" ht="12.75" x14ac:dyDescent="0.2">
      <c r="K987" s="56"/>
      <c r="Y987" s="51"/>
      <c r="Z987" s="51"/>
      <c r="AA987" s="67"/>
    </row>
    <row r="988" spans="11:27" ht="12.75" x14ac:dyDescent="0.2">
      <c r="K988" s="56"/>
      <c r="Y988" s="51"/>
      <c r="Z988" s="51"/>
      <c r="AA988" s="6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2:AG181"/>
  <sheetViews>
    <sheetView workbookViewId="0"/>
  </sheetViews>
  <sheetFormatPr defaultColWidth="12.5703125" defaultRowHeight="15.75" customHeight="1" x14ac:dyDescent="0.2"/>
  <cols>
    <col min="1" max="1" width="9.42578125" customWidth="1"/>
    <col min="2" max="2" width="10.7109375" customWidth="1"/>
    <col min="3" max="4" width="5.42578125" customWidth="1"/>
    <col min="5" max="5" width="4.5703125" customWidth="1"/>
    <col min="6" max="6" width="4.7109375" customWidth="1"/>
    <col min="7" max="7" width="4.28515625" customWidth="1"/>
    <col min="8" max="9" width="4.5703125" customWidth="1"/>
    <col min="10" max="10" width="6.140625" customWidth="1"/>
    <col min="11" max="11" width="3.85546875" customWidth="1"/>
    <col min="12" max="12" width="8.28515625" customWidth="1"/>
    <col min="13" max="13" width="9.42578125" customWidth="1"/>
    <col min="14" max="14" width="5.140625" customWidth="1"/>
    <col min="15" max="15" width="5.42578125" customWidth="1"/>
    <col min="16" max="16" width="5" customWidth="1"/>
    <col min="17" max="17" width="4.7109375" customWidth="1"/>
    <col min="18" max="18" width="5.140625" customWidth="1"/>
    <col min="19" max="19" width="5.42578125" customWidth="1"/>
    <col min="20" max="20" width="4.7109375" customWidth="1"/>
    <col min="21" max="21" width="5.7109375" customWidth="1"/>
    <col min="22" max="22" width="5.42578125" customWidth="1"/>
    <col min="23" max="23" width="7.140625" customWidth="1"/>
    <col min="24" max="24" width="8.28515625" customWidth="1"/>
    <col min="25" max="25" width="8.140625" customWidth="1"/>
    <col min="26" max="26" width="6.42578125" customWidth="1"/>
    <col min="27" max="27" width="7.42578125" customWidth="1"/>
    <col min="28" max="28" width="8.28515625" customWidth="1"/>
    <col min="29" max="29" width="7.7109375" customWidth="1"/>
    <col min="30" max="30" width="7.42578125" customWidth="1"/>
    <col min="31" max="31" width="7.85546875" customWidth="1"/>
    <col min="32" max="32" width="5.7109375" customWidth="1"/>
  </cols>
  <sheetData>
    <row r="2" spans="1:33" ht="51" x14ac:dyDescent="0.2">
      <c r="A2" s="52" t="s">
        <v>135</v>
      </c>
      <c r="B2" s="53">
        <v>45598</v>
      </c>
      <c r="C2" s="54"/>
      <c r="D2" s="54"/>
      <c r="E2" s="54"/>
      <c r="F2" s="54"/>
      <c r="G2" s="54"/>
      <c r="H2" s="54"/>
      <c r="I2" s="54"/>
      <c r="J2" s="55" t="s">
        <v>141</v>
      </c>
      <c r="K2" s="56"/>
      <c r="L2" s="52" t="s">
        <v>136</v>
      </c>
      <c r="M2" s="53">
        <v>45598</v>
      </c>
      <c r="N2" s="54"/>
      <c r="O2" s="54"/>
      <c r="P2" s="54"/>
      <c r="Q2" s="54"/>
      <c r="R2" s="54"/>
      <c r="S2" s="54"/>
      <c r="T2" s="54"/>
      <c r="U2" s="54"/>
      <c r="V2" s="54"/>
      <c r="W2" s="55" t="s">
        <v>141</v>
      </c>
      <c r="X2" s="57" t="s">
        <v>192</v>
      </c>
      <c r="Y2" s="58" t="s">
        <v>142</v>
      </c>
      <c r="Z2" s="59" t="s">
        <v>193</v>
      </c>
      <c r="AA2" s="60" t="s">
        <v>194</v>
      </c>
      <c r="AB2" s="57" t="s">
        <v>165</v>
      </c>
      <c r="AC2" s="55" t="s">
        <v>195</v>
      </c>
      <c r="AD2" s="55" t="s">
        <v>196</v>
      </c>
      <c r="AE2" s="57" t="s">
        <v>197</v>
      </c>
      <c r="AF2" s="55" t="s">
        <v>198</v>
      </c>
      <c r="AG2" s="61"/>
    </row>
    <row r="3" spans="1:33" ht="12.75" x14ac:dyDescent="0.2">
      <c r="A3" s="55" t="s">
        <v>199</v>
      </c>
      <c r="B3" s="62">
        <v>0.05</v>
      </c>
      <c r="C3" s="62">
        <v>0.1</v>
      </c>
      <c r="D3" s="62">
        <v>0.2</v>
      </c>
      <c r="E3" s="62">
        <v>0.5</v>
      </c>
      <c r="F3" s="62">
        <v>1</v>
      </c>
      <c r="G3" s="62">
        <v>2</v>
      </c>
      <c r="H3" s="62">
        <v>5</v>
      </c>
      <c r="I3" s="62">
        <v>10</v>
      </c>
      <c r="K3" s="56"/>
      <c r="L3" s="55" t="s">
        <v>199</v>
      </c>
      <c r="M3" s="62">
        <v>0.05</v>
      </c>
      <c r="N3" s="62">
        <v>0.1</v>
      </c>
      <c r="O3" s="62">
        <v>0.2</v>
      </c>
      <c r="P3" s="62">
        <v>0.5</v>
      </c>
      <c r="Q3" s="62">
        <v>1</v>
      </c>
      <c r="R3" s="62">
        <v>2</v>
      </c>
      <c r="S3" s="62">
        <v>5</v>
      </c>
      <c r="T3" s="62">
        <v>10</v>
      </c>
      <c r="U3" s="62">
        <v>20</v>
      </c>
      <c r="V3" s="62">
        <v>50</v>
      </c>
      <c r="W3" s="54"/>
      <c r="X3" s="54"/>
      <c r="Y3" s="63"/>
      <c r="Z3" s="63"/>
      <c r="AA3" s="64"/>
      <c r="AB3" s="54"/>
      <c r="AC3" s="54"/>
      <c r="AD3" s="54"/>
      <c r="AE3" s="54"/>
      <c r="AF3" s="54"/>
    </row>
    <row r="4" spans="1:33" ht="12.75" x14ac:dyDescent="0.2">
      <c r="A4" s="55" t="s">
        <v>200</v>
      </c>
      <c r="B4" s="65">
        <v>68</v>
      </c>
      <c r="C4" s="65">
        <v>55</v>
      </c>
      <c r="D4" s="65">
        <v>28</v>
      </c>
      <c r="E4" s="65">
        <v>8</v>
      </c>
      <c r="F4" s="65">
        <v>12</v>
      </c>
      <c r="G4" s="65">
        <v>8</v>
      </c>
      <c r="H4" s="65">
        <v>2</v>
      </c>
      <c r="I4" s="65">
        <v>2</v>
      </c>
      <c r="J4" s="54"/>
      <c r="K4" s="56"/>
      <c r="L4" s="55" t="s">
        <v>200</v>
      </c>
      <c r="M4" s="65">
        <v>70</v>
      </c>
      <c r="N4" s="65">
        <v>31</v>
      </c>
      <c r="O4" s="65">
        <v>7</v>
      </c>
      <c r="P4" s="65">
        <v>4</v>
      </c>
      <c r="Q4" s="65">
        <v>13</v>
      </c>
      <c r="R4" s="65">
        <v>18</v>
      </c>
      <c r="S4" s="65">
        <v>5</v>
      </c>
      <c r="T4" s="65">
        <v>8</v>
      </c>
      <c r="U4" s="65">
        <v>9</v>
      </c>
      <c r="V4" s="65">
        <v>4</v>
      </c>
      <c r="W4" s="54"/>
      <c r="X4" s="54"/>
      <c r="Y4" s="63"/>
      <c r="Z4" s="63"/>
      <c r="AA4" s="64"/>
      <c r="AB4" s="54"/>
      <c r="AC4" s="54"/>
      <c r="AD4" s="54"/>
      <c r="AE4" s="54"/>
      <c r="AF4" s="54"/>
    </row>
    <row r="5" spans="1:33" ht="12.75" x14ac:dyDescent="0.2">
      <c r="A5" s="55" t="s">
        <v>141</v>
      </c>
      <c r="B5" s="65">
        <f t="shared" ref="B5:I5" si="0">B4*B3</f>
        <v>3.4000000000000004</v>
      </c>
      <c r="C5" s="65">
        <f t="shared" si="0"/>
        <v>5.5</v>
      </c>
      <c r="D5" s="65">
        <f t="shared" si="0"/>
        <v>5.6000000000000005</v>
      </c>
      <c r="E5" s="65">
        <f t="shared" si="0"/>
        <v>4</v>
      </c>
      <c r="F5" s="65">
        <f t="shared" si="0"/>
        <v>12</v>
      </c>
      <c r="G5" s="65">
        <f t="shared" si="0"/>
        <v>16</v>
      </c>
      <c r="H5" s="65">
        <f t="shared" si="0"/>
        <v>10</v>
      </c>
      <c r="I5" s="65">
        <f t="shared" si="0"/>
        <v>20</v>
      </c>
      <c r="J5" s="54">
        <f>SUM(B5:I5)</f>
        <v>76.5</v>
      </c>
      <c r="K5" s="56"/>
      <c r="L5" s="55" t="s">
        <v>141</v>
      </c>
      <c r="M5" s="65">
        <f t="shared" ref="M5:V5" si="1">M4*M3</f>
        <v>3.5</v>
      </c>
      <c r="N5" s="65">
        <f t="shared" si="1"/>
        <v>3.1</v>
      </c>
      <c r="O5" s="65">
        <f t="shared" si="1"/>
        <v>1.4000000000000001</v>
      </c>
      <c r="P5" s="65">
        <f t="shared" si="1"/>
        <v>2</v>
      </c>
      <c r="Q5" s="65">
        <f t="shared" si="1"/>
        <v>13</v>
      </c>
      <c r="R5" s="65">
        <f t="shared" si="1"/>
        <v>36</v>
      </c>
      <c r="S5" s="65">
        <f t="shared" si="1"/>
        <v>25</v>
      </c>
      <c r="T5" s="65">
        <f t="shared" si="1"/>
        <v>80</v>
      </c>
      <c r="U5" s="65">
        <f t="shared" si="1"/>
        <v>180</v>
      </c>
      <c r="V5" s="65">
        <f t="shared" si="1"/>
        <v>200</v>
      </c>
      <c r="W5" s="54">
        <f>SUM(M5:V5)</f>
        <v>544</v>
      </c>
      <c r="X5" s="55">
        <f>W5-J5</f>
        <v>467.5</v>
      </c>
      <c r="Y5" s="63">
        <v>206.7</v>
      </c>
      <c r="Z5" s="63">
        <v>36.5</v>
      </c>
      <c r="AA5" s="66">
        <f>X5+Z5</f>
        <v>504</v>
      </c>
      <c r="AB5" s="55">
        <f>100</f>
        <v>100</v>
      </c>
      <c r="AC5" s="55">
        <f>Y5-AB5</f>
        <v>106.69999999999999</v>
      </c>
      <c r="AD5" s="55">
        <f>X5-Y5</f>
        <v>260.8</v>
      </c>
      <c r="AE5" s="55">
        <v>20</v>
      </c>
      <c r="AF5" s="55">
        <f>AD5-AE5</f>
        <v>240.8</v>
      </c>
      <c r="AG5" s="61"/>
    </row>
    <row r="6" spans="1:33" ht="12.75" x14ac:dyDescent="0.2">
      <c r="K6" s="56"/>
      <c r="Y6" s="51"/>
      <c r="Z6" s="51"/>
      <c r="AA6" s="67"/>
      <c r="AC6" s="38">
        <v>-15</v>
      </c>
    </row>
    <row r="7" spans="1:33" ht="12.75" x14ac:dyDescent="0.2">
      <c r="K7" s="56"/>
      <c r="Y7" s="51"/>
      <c r="Z7" s="51"/>
      <c r="AA7" s="67"/>
    </row>
    <row r="8" spans="1:33" ht="51" x14ac:dyDescent="0.2">
      <c r="A8" s="52" t="s">
        <v>135</v>
      </c>
      <c r="B8" s="53">
        <v>45599</v>
      </c>
      <c r="C8" s="54"/>
      <c r="D8" s="54"/>
      <c r="E8" s="54"/>
      <c r="F8" s="54"/>
      <c r="G8" s="54"/>
      <c r="H8" s="54"/>
      <c r="I8" s="54"/>
      <c r="J8" s="55" t="s">
        <v>141</v>
      </c>
      <c r="K8" s="56"/>
      <c r="L8" s="52" t="s">
        <v>136</v>
      </c>
      <c r="M8" s="53">
        <v>45599</v>
      </c>
      <c r="N8" s="54"/>
      <c r="O8" s="54"/>
      <c r="P8" s="54"/>
      <c r="Q8" s="54"/>
      <c r="R8" s="54"/>
      <c r="S8" s="54"/>
      <c r="T8" s="54"/>
      <c r="U8" s="54"/>
      <c r="V8" s="54"/>
      <c r="W8" s="55" t="s">
        <v>141</v>
      </c>
      <c r="X8" s="57" t="s">
        <v>192</v>
      </c>
      <c r="Y8" s="58" t="s">
        <v>142</v>
      </c>
      <c r="Z8" s="59" t="s">
        <v>193</v>
      </c>
      <c r="AA8" s="60" t="s">
        <v>194</v>
      </c>
      <c r="AB8" s="57" t="s">
        <v>165</v>
      </c>
      <c r="AC8" s="55" t="s">
        <v>195</v>
      </c>
      <c r="AD8" s="55" t="s">
        <v>196</v>
      </c>
      <c r="AE8" s="57" t="s">
        <v>197</v>
      </c>
      <c r="AF8" s="55" t="s">
        <v>198</v>
      </c>
      <c r="AG8" s="61"/>
    </row>
    <row r="9" spans="1:33" ht="12.75" x14ac:dyDescent="0.2">
      <c r="A9" s="55" t="s">
        <v>199</v>
      </c>
      <c r="B9" s="62">
        <v>0.05</v>
      </c>
      <c r="C9" s="62">
        <v>0.1</v>
      </c>
      <c r="D9" s="62">
        <v>0.2</v>
      </c>
      <c r="E9" s="62">
        <v>0.5</v>
      </c>
      <c r="F9" s="62">
        <v>1</v>
      </c>
      <c r="G9" s="62">
        <v>2</v>
      </c>
      <c r="H9" s="62">
        <v>5</v>
      </c>
      <c r="I9" s="62">
        <v>10</v>
      </c>
      <c r="K9" s="56"/>
      <c r="L9" s="55" t="s">
        <v>199</v>
      </c>
      <c r="M9" s="62">
        <v>0.05</v>
      </c>
      <c r="N9" s="62">
        <v>0.1</v>
      </c>
      <c r="O9" s="62">
        <v>0.2</v>
      </c>
      <c r="P9" s="62">
        <v>0.5</v>
      </c>
      <c r="Q9" s="62">
        <v>1</v>
      </c>
      <c r="R9" s="62">
        <v>2</v>
      </c>
      <c r="S9" s="62">
        <v>5</v>
      </c>
      <c r="T9" s="62">
        <v>10</v>
      </c>
      <c r="U9" s="62">
        <v>20</v>
      </c>
      <c r="V9" s="62">
        <v>50</v>
      </c>
      <c r="W9" s="54"/>
      <c r="X9" s="54"/>
      <c r="Y9" s="63"/>
      <c r="Z9" s="63"/>
      <c r="AA9" s="64"/>
      <c r="AB9" s="54"/>
      <c r="AC9" s="54"/>
      <c r="AD9" s="54"/>
      <c r="AE9" s="54"/>
      <c r="AF9" s="54"/>
    </row>
    <row r="10" spans="1:33" ht="12.75" x14ac:dyDescent="0.2">
      <c r="A10" s="55" t="s">
        <v>200</v>
      </c>
      <c r="B10" s="65">
        <v>70</v>
      </c>
      <c r="C10" s="65">
        <v>31</v>
      </c>
      <c r="D10" s="65">
        <v>7</v>
      </c>
      <c r="E10" s="65">
        <v>4</v>
      </c>
      <c r="F10" s="65">
        <v>10</v>
      </c>
      <c r="G10" s="65">
        <v>8</v>
      </c>
      <c r="H10" s="65">
        <v>2</v>
      </c>
      <c r="I10" s="65">
        <v>1</v>
      </c>
      <c r="J10" s="54"/>
      <c r="K10" s="56"/>
      <c r="L10" s="55" t="s">
        <v>200</v>
      </c>
      <c r="M10" s="65">
        <v>71</v>
      </c>
      <c r="N10" s="65">
        <v>30</v>
      </c>
      <c r="O10" s="65">
        <v>4</v>
      </c>
      <c r="P10" s="65">
        <v>7</v>
      </c>
      <c r="Q10" s="65">
        <v>7</v>
      </c>
      <c r="R10" s="65">
        <v>6</v>
      </c>
      <c r="S10" s="65">
        <v>3</v>
      </c>
      <c r="T10" s="65">
        <v>3</v>
      </c>
      <c r="U10" s="65">
        <v>5</v>
      </c>
      <c r="V10" s="65"/>
      <c r="W10" s="54"/>
      <c r="X10" s="54"/>
      <c r="Y10" s="63"/>
      <c r="Z10" s="63"/>
      <c r="AA10" s="64"/>
      <c r="AB10" s="54"/>
      <c r="AC10" s="54"/>
      <c r="AD10" s="54"/>
      <c r="AE10" s="54"/>
      <c r="AF10" s="54"/>
    </row>
    <row r="11" spans="1:33" ht="12.75" x14ac:dyDescent="0.2">
      <c r="A11" s="55" t="s">
        <v>141</v>
      </c>
      <c r="B11" s="65">
        <f t="shared" ref="B11:I11" si="2">B10*B9</f>
        <v>3.5</v>
      </c>
      <c r="C11" s="65">
        <f t="shared" si="2"/>
        <v>3.1</v>
      </c>
      <c r="D11" s="65">
        <f t="shared" si="2"/>
        <v>1.4000000000000001</v>
      </c>
      <c r="E11" s="65">
        <f t="shared" si="2"/>
        <v>2</v>
      </c>
      <c r="F11" s="65">
        <f t="shared" si="2"/>
        <v>10</v>
      </c>
      <c r="G11" s="65">
        <f t="shared" si="2"/>
        <v>16</v>
      </c>
      <c r="H11" s="65">
        <f t="shared" si="2"/>
        <v>10</v>
      </c>
      <c r="I11" s="65">
        <f t="shared" si="2"/>
        <v>10</v>
      </c>
      <c r="J11" s="54">
        <f>SUM(B11:I11)</f>
        <v>56</v>
      </c>
      <c r="K11" s="56"/>
      <c r="L11" s="55" t="s">
        <v>141</v>
      </c>
      <c r="M11" s="65">
        <f t="shared" ref="M11:V11" si="3">M10*M9</f>
        <v>3.5500000000000003</v>
      </c>
      <c r="N11" s="65">
        <f t="shared" si="3"/>
        <v>3</v>
      </c>
      <c r="O11" s="65">
        <f t="shared" si="3"/>
        <v>0.8</v>
      </c>
      <c r="P11" s="65">
        <f t="shared" si="3"/>
        <v>3.5</v>
      </c>
      <c r="Q11" s="65">
        <f t="shared" si="3"/>
        <v>7</v>
      </c>
      <c r="R11" s="65">
        <f t="shared" si="3"/>
        <v>12</v>
      </c>
      <c r="S11" s="65">
        <f t="shared" si="3"/>
        <v>15</v>
      </c>
      <c r="T11" s="65">
        <f t="shared" si="3"/>
        <v>30</v>
      </c>
      <c r="U11" s="65">
        <f t="shared" si="3"/>
        <v>100</v>
      </c>
      <c r="V11" s="65">
        <f t="shared" si="3"/>
        <v>0</v>
      </c>
      <c r="W11" s="54">
        <f>SUM(M11:V11)</f>
        <v>174.85</v>
      </c>
      <c r="X11" s="55">
        <f>W11-J11</f>
        <v>118.85</v>
      </c>
      <c r="Y11" s="63">
        <v>51.9</v>
      </c>
      <c r="Z11" s="63">
        <v>23.4</v>
      </c>
      <c r="AA11" s="66">
        <f>X11+Z11</f>
        <v>142.25</v>
      </c>
      <c r="AB11" s="55">
        <v>20</v>
      </c>
      <c r="AC11" s="55">
        <f>Y11-AB11</f>
        <v>31.9</v>
      </c>
      <c r="AD11" s="55">
        <f>X11-Y11</f>
        <v>66.949999999999989</v>
      </c>
      <c r="AE11" s="55">
        <v>0</v>
      </c>
      <c r="AF11" s="55">
        <f>AD11-AE11</f>
        <v>66.949999999999989</v>
      </c>
      <c r="AG11" s="61"/>
    </row>
    <row r="12" spans="1:33" ht="12.75" x14ac:dyDescent="0.2">
      <c r="K12" s="56"/>
      <c r="Y12" s="51"/>
      <c r="Z12" s="51"/>
      <c r="AA12" s="67">
        <v>14</v>
      </c>
      <c r="AF12" s="38">
        <v>-2</v>
      </c>
    </row>
    <row r="13" spans="1:33" ht="12.75" x14ac:dyDescent="0.2">
      <c r="K13" s="56"/>
      <c r="Y13" s="51"/>
      <c r="Z13" s="51"/>
      <c r="AA13" s="67"/>
    </row>
    <row r="14" spans="1:33" ht="51" x14ac:dyDescent="0.2">
      <c r="A14" s="52" t="s">
        <v>135</v>
      </c>
      <c r="B14" s="53">
        <v>45600</v>
      </c>
      <c r="C14" s="54"/>
      <c r="D14" s="54"/>
      <c r="E14" s="54"/>
      <c r="F14" s="54"/>
      <c r="G14" s="54"/>
      <c r="H14" s="54"/>
      <c r="I14" s="54"/>
      <c r="J14" s="55" t="s">
        <v>141</v>
      </c>
      <c r="K14" s="56"/>
      <c r="L14" s="52" t="s">
        <v>136</v>
      </c>
      <c r="M14" s="53">
        <v>45600</v>
      </c>
      <c r="N14" s="54"/>
      <c r="O14" s="54"/>
      <c r="P14" s="54"/>
      <c r="Q14" s="54"/>
      <c r="R14" s="54"/>
      <c r="S14" s="54"/>
      <c r="T14" s="54"/>
      <c r="U14" s="54"/>
      <c r="V14" s="54"/>
      <c r="W14" s="55" t="s">
        <v>141</v>
      </c>
      <c r="X14" s="57" t="s">
        <v>192</v>
      </c>
      <c r="Y14" s="58" t="s">
        <v>142</v>
      </c>
      <c r="Z14" s="59" t="s">
        <v>193</v>
      </c>
      <c r="AA14" s="60" t="s">
        <v>194</v>
      </c>
      <c r="AB14" s="57" t="s">
        <v>165</v>
      </c>
      <c r="AC14" s="55" t="s">
        <v>195</v>
      </c>
      <c r="AD14" s="55" t="s">
        <v>196</v>
      </c>
      <c r="AE14" s="57" t="s">
        <v>197</v>
      </c>
      <c r="AF14" s="55" t="s">
        <v>198</v>
      </c>
      <c r="AG14" s="61"/>
    </row>
    <row r="15" spans="1:33" ht="12.75" x14ac:dyDescent="0.2">
      <c r="A15" s="55" t="s">
        <v>199</v>
      </c>
      <c r="B15" s="62">
        <v>0.05</v>
      </c>
      <c r="C15" s="62">
        <v>0.1</v>
      </c>
      <c r="D15" s="62">
        <v>0.2</v>
      </c>
      <c r="E15" s="62">
        <v>0.5</v>
      </c>
      <c r="F15" s="62">
        <v>1</v>
      </c>
      <c r="G15" s="62">
        <v>2</v>
      </c>
      <c r="H15" s="62">
        <v>5</v>
      </c>
      <c r="I15" s="62">
        <v>10</v>
      </c>
      <c r="K15" s="56"/>
      <c r="L15" s="55" t="s">
        <v>199</v>
      </c>
      <c r="M15" s="62">
        <v>0.05</v>
      </c>
      <c r="N15" s="62">
        <v>0.1</v>
      </c>
      <c r="O15" s="62">
        <v>0.2</v>
      </c>
      <c r="P15" s="62">
        <v>0.5</v>
      </c>
      <c r="Q15" s="62">
        <v>1</v>
      </c>
      <c r="R15" s="62">
        <v>2</v>
      </c>
      <c r="S15" s="62">
        <v>5</v>
      </c>
      <c r="T15" s="62">
        <v>10</v>
      </c>
      <c r="U15" s="62">
        <v>20</v>
      </c>
      <c r="V15" s="62">
        <v>50</v>
      </c>
      <c r="W15" s="54"/>
      <c r="X15" s="54"/>
      <c r="Y15" s="63"/>
      <c r="Z15" s="63"/>
      <c r="AA15" s="64"/>
      <c r="AB15" s="54"/>
      <c r="AC15" s="54"/>
      <c r="AD15" s="54"/>
      <c r="AE15" s="54"/>
      <c r="AF15" s="54"/>
    </row>
    <row r="16" spans="1:33" ht="12.75" x14ac:dyDescent="0.2">
      <c r="A16" s="55" t="s">
        <v>200</v>
      </c>
      <c r="B16" s="65">
        <v>71</v>
      </c>
      <c r="C16" s="65">
        <v>30</v>
      </c>
      <c r="D16" s="65">
        <v>4</v>
      </c>
      <c r="E16" s="65">
        <v>7</v>
      </c>
      <c r="F16" s="65">
        <v>12</v>
      </c>
      <c r="G16" s="65">
        <v>10</v>
      </c>
      <c r="H16" s="65">
        <v>3</v>
      </c>
      <c r="I16" s="65">
        <v>1</v>
      </c>
      <c r="J16" s="54"/>
      <c r="K16" s="56"/>
      <c r="L16" s="55" t="s">
        <v>200</v>
      </c>
      <c r="M16" s="38">
        <v>85</v>
      </c>
      <c r="N16" s="65">
        <v>8</v>
      </c>
      <c r="O16" s="65">
        <v>31</v>
      </c>
      <c r="P16" s="65">
        <v>6</v>
      </c>
      <c r="Q16" s="65">
        <v>3</v>
      </c>
      <c r="R16" s="65">
        <v>9</v>
      </c>
      <c r="S16" s="65">
        <v>3</v>
      </c>
      <c r="T16" s="65">
        <v>1</v>
      </c>
      <c r="U16" s="65">
        <v>12</v>
      </c>
      <c r="V16" s="65">
        <v>1</v>
      </c>
      <c r="W16" s="65"/>
      <c r="X16" s="54"/>
      <c r="Y16" s="63"/>
      <c r="Z16" s="63"/>
      <c r="AA16" s="64"/>
      <c r="AB16" s="54"/>
      <c r="AC16" s="54"/>
      <c r="AD16" s="54"/>
      <c r="AE16" s="54"/>
      <c r="AF16" s="54"/>
    </row>
    <row r="17" spans="1:33" ht="12.75" x14ac:dyDescent="0.2">
      <c r="A17" s="55" t="s">
        <v>141</v>
      </c>
      <c r="B17" s="65">
        <f t="shared" ref="B17:I17" si="4">B16*B15</f>
        <v>3.5500000000000003</v>
      </c>
      <c r="C17" s="65">
        <f t="shared" si="4"/>
        <v>3</v>
      </c>
      <c r="D17" s="65">
        <f t="shared" si="4"/>
        <v>0.8</v>
      </c>
      <c r="E17" s="65">
        <f t="shared" si="4"/>
        <v>3.5</v>
      </c>
      <c r="F17" s="65">
        <f t="shared" si="4"/>
        <v>12</v>
      </c>
      <c r="G17" s="65">
        <f t="shared" si="4"/>
        <v>20</v>
      </c>
      <c r="H17" s="65">
        <f t="shared" si="4"/>
        <v>15</v>
      </c>
      <c r="I17" s="65">
        <f t="shared" si="4"/>
        <v>10</v>
      </c>
      <c r="J17" s="54">
        <f>SUM(B17:I17)</f>
        <v>67.849999999999994</v>
      </c>
      <c r="K17" s="56"/>
      <c r="L17" s="55" t="s">
        <v>141</v>
      </c>
      <c r="M17" s="65">
        <f t="shared" ref="M17:V17" si="5">M16*M15</f>
        <v>4.25</v>
      </c>
      <c r="N17" s="65">
        <f t="shared" si="5"/>
        <v>0.8</v>
      </c>
      <c r="O17" s="65">
        <f t="shared" si="5"/>
        <v>6.2</v>
      </c>
      <c r="P17" s="65">
        <f t="shared" si="5"/>
        <v>3</v>
      </c>
      <c r="Q17" s="65">
        <f t="shared" si="5"/>
        <v>3</v>
      </c>
      <c r="R17" s="65">
        <f t="shared" si="5"/>
        <v>18</v>
      </c>
      <c r="S17" s="65">
        <f t="shared" si="5"/>
        <v>15</v>
      </c>
      <c r="T17" s="65">
        <f t="shared" si="5"/>
        <v>10</v>
      </c>
      <c r="U17" s="65">
        <f t="shared" si="5"/>
        <v>240</v>
      </c>
      <c r="V17" s="65">
        <f t="shared" si="5"/>
        <v>50</v>
      </c>
      <c r="W17" s="54">
        <f>SUM(M17:V17)</f>
        <v>350.25</v>
      </c>
      <c r="X17" s="55">
        <f>W17-J17</f>
        <v>282.39999999999998</v>
      </c>
      <c r="Y17" s="63">
        <v>107.2</v>
      </c>
      <c r="Z17" s="63">
        <v>60.9</v>
      </c>
      <c r="AA17" s="66">
        <f>X17+Z17</f>
        <v>343.29999999999995</v>
      </c>
      <c r="AB17" s="55">
        <v>60</v>
      </c>
      <c r="AC17" s="55">
        <f>Y17-AB17</f>
        <v>47.2</v>
      </c>
      <c r="AD17" s="55">
        <f>X17-Y17</f>
        <v>175.2</v>
      </c>
      <c r="AE17" s="55">
        <v>25</v>
      </c>
      <c r="AF17" s="55">
        <f>AD17-AE17</f>
        <v>150.19999999999999</v>
      </c>
      <c r="AG17" s="61"/>
    </row>
    <row r="18" spans="1:33" ht="12.75" x14ac:dyDescent="0.2">
      <c r="AC18" s="38">
        <v>2.8</v>
      </c>
    </row>
    <row r="19" spans="1:33" ht="12.75" x14ac:dyDescent="0.2">
      <c r="AC19" s="38">
        <v>-10</v>
      </c>
    </row>
    <row r="20" spans="1:33" ht="51" x14ac:dyDescent="0.2">
      <c r="A20" s="52" t="s">
        <v>135</v>
      </c>
      <c r="B20" s="53">
        <v>45601</v>
      </c>
      <c r="C20" s="54"/>
      <c r="D20" s="54"/>
      <c r="E20" s="54"/>
      <c r="F20" s="54"/>
      <c r="G20" s="54"/>
      <c r="H20" s="54"/>
      <c r="I20" s="38" t="s">
        <v>215</v>
      </c>
      <c r="J20" s="55" t="s">
        <v>141</v>
      </c>
      <c r="K20" s="56"/>
      <c r="L20" s="52" t="s">
        <v>136</v>
      </c>
      <c r="M20" s="53">
        <v>45601</v>
      </c>
      <c r="N20" s="54"/>
      <c r="O20" s="54"/>
      <c r="P20" s="54"/>
      <c r="Q20" s="54"/>
      <c r="R20" s="54"/>
      <c r="S20" s="54"/>
      <c r="T20" s="54"/>
      <c r="U20" s="54"/>
      <c r="V20" s="54"/>
      <c r="W20" s="55" t="s">
        <v>141</v>
      </c>
      <c r="X20" s="57" t="s">
        <v>192</v>
      </c>
      <c r="Y20" s="58" t="s">
        <v>142</v>
      </c>
      <c r="Z20" s="59" t="s">
        <v>193</v>
      </c>
      <c r="AA20" s="60" t="s">
        <v>194</v>
      </c>
      <c r="AB20" s="57" t="s">
        <v>165</v>
      </c>
      <c r="AC20" s="55" t="s">
        <v>195</v>
      </c>
      <c r="AD20" s="55" t="s">
        <v>196</v>
      </c>
      <c r="AE20" s="57" t="s">
        <v>197</v>
      </c>
      <c r="AF20" s="55" t="s">
        <v>198</v>
      </c>
      <c r="AG20" s="61"/>
    </row>
    <row r="21" spans="1:33" ht="12.75" x14ac:dyDescent="0.2">
      <c r="A21" s="55" t="s">
        <v>199</v>
      </c>
      <c r="B21" s="62">
        <v>0.05</v>
      </c>
      <c r="C21" s="62">
        <v>0.1</v>
      </c>
      <c r="D21" s="62">
        <v>0.2</v>
      </c>
      <c r="E21" s="62">
        <v>0.5</v>
      </c>
      <c r="F21" s="62">
        <v>1</v>
      </c>
      <c r="G21" s="62">
        <v>2</v>
      </c>
      <c r="H21" s="62">
        <v>5</v>
      </c>
      <c r="I21" s="62">
        <v>10</v>
      </c>
      <c r="K21" s="56"/>
      <c r="L21" s="55" t="s">
        <v>199</v>
      </c>
      <c r="M21" s="62">
        <v>0.05</v>
      </c>
      <c r="N21" s="62">
        <v>0.1</v>
      </c>
      <c r="O21" s="62">
        <v>0.2</v>
      </c>
      <c r="P21" s="62">
        <v>0.5</v>
      </c>
      <c r="Q21" s="62">
        <v>1</v>
      </c>
      <c r="R21" s="62">
        <v>2</v>
      </c>
      <c r="S21" s="62">
        <v>5</v>
      </c>
      <c r="T21" s="62">
        <v>10</v>
      </c>
      <c r="U21" s="62">
        <v>20</v>
      </c>
      <c r="V21" s="62">
        <v>50</v>
      </c>
      <c r="W21" s="54"/>
      <c r="X21" s="54"/>
      <c r="Y21" s="63"/>
      <c r="Z21" s="63"/>
      <c r="AA21" s="64"/>
      <c r="AB21" s="54"/>
      <c r="AC21" s="54"/>
      <c r="AD21" s="54"/>
      <c r="AE21" s="54"/>
      <c r="AF21" s="54"/>
    </row>
    <row r="22" spans="1:33" ht="12.75" x14ac:dyDescent="0.2">
      <c r="A22" s="55" t="s">
        <v>200</v>
      </c>
      <c r="B22" s="38">
        <v>85</v>
      </c>
      <c r="C22" s="65">
        <v>8</v>
      </c>
      <c r="D22" s="65">
        <v>31</v>
      </c>
      <c r="E22" s="65">
        <v>6</v>
      </c>
      <c r="F22" s="65">
        <v>3</v>
      </c>
      <c r="G22" s="65">
        <v>9</v>
      </c>
      <c r="H22" s="65">
        <v>3</v>
      </c>
      <c r="I22" s="65">
        <v>1</v>
      </c>
      <c r="J22" s="54"/>
      <c r="K22" s="56"/>
      <c r="L22" s="55" t="s">
        <v>200</v>
      </c>
      <c r="M22" s="38">
        <v>85</v>
      </c>
      <c r="N22" s="65">
        <v>21</v>
      </c>
      <c r="O22" s="65">
        <v>3</v>
      </c>
      <c r="P22" s="65">
        <v>14</v>
      </c>
      <c r="Q22" s="65">
        <v>16</v>
      </c>
      <c r="R22" s="65">
        <v>4</v>
      </c>
      <c r="S22" s="65">
        <v>15</v>
      </c>
      <c r="T22" s="65">
        <v>8</v>
      </c>
      <c r="U22" s="65">
        <v>5</v>
      </c>
      <c r="V22" s="65">
        <v>1</v>
      </c>
      <c r="W22" s="65"/>
      <c r="X22" s="54"/>
      <c r="Y22" s="63"/>
      <c r="Z22" s="63"/>
      <c r="AA22" s="64"/>
      <c r="AB22" s="54"/>
      <c r="AC22" s="54"/>
      <c r="AD22" s="54"/>
      <c r="AE22" s="54"/>
      <c r="AF22" s="54"/>
    </row>
    <row r="23" spans="1:33" ht="12.75" x14ac:dyDescent="0.2">
      <c r="A23" s="55" t="s">
        <v>141</v>
      </c>
      <c r="B23" s="65">
        <f t="shared" ref="B23:I23" si="6">B22*B21</f>
        <v>4.25</v>
      </c>
      <c r="C23" s="65">
        <f t="shared" si="6"/>
        <v>0.8</v>
      </c>
      <c r="D23" s="65">
        <f t="shared" si="6"/>
        <v>6.2</v>
      </c>
      <c r="E23" s="65">
        <f t="shared" si="6"/>
        <v>3</v>
      </c>
      <c r="F23" s="65">
        <f t="shared" si="6"/>
        <v>3</v>
      </c>
      <c r="G23" s="65">
        <f t="shared" si="6"/>
        <v>18</v>
      </c>
      <c r="H23" s="65">
        <f t="shared" si="6"/>
        <v>15</v>
      </c>
      <c r="I23" s="65">
        <f t="shared" si="6"/>
        <v>10</v>
      </c>
      <c r="J23" s="54">
        <f>SUM(B23:I23)</f>
        <v>60.25</v>
      </c>
      <c r="K23" s="56"/>
      <c r="L23" s="55" t="s">
        <v>141</v>
      </c>
      <c r="M23" s="65">
        <f t="shared" ref="M23:V23" si="7">M22*M21</f>
        <v>4.25</v>
      </c>
      <c r="N23" s="65">
        <f t="shared" si="7"/>
        <v>2.1</v>
      </c>
      <c r="O23" s="65">
        <f t="shared" si="7"/>
        <v>0.60000000000000009</v>
      </c>
      <c r="P23" s="65">
        <f t="shared" si="7"/>
        <v>7</v>
      </c>
      <c r="Q23" s="65">
        <f t="shared" si="7"/>
        <v>16</v>
      </c>
      <c r="R23" s="65">
        <f t="shared" si="7"/>
        <v>8</v>
      </c>
      <c r="S23" s="65">
        <f t="shared" si="7"/>
        <v>75</v>
      </c>
      <c r="T23" s="65">
        <f t="shared" si="7"/>
        <v>80</v>
      </c>
      <c r="U23" s="65">
        <f t="shared" si="7"/>
        <v>100</v>
      </c>
      <c r="V23" s="65">
        <f t="shared" si="7"/>
        <v>50</v>
      </c>
      <c r="W23" s="54">
        <f>SUM(M23:V23)</f>
        <v>342.95</v>
      </c>
      <c r="X23" s="55">
        <f>W23-J23</f>
        <v>282.7</v>
      </c>
      <c r="Y23" s="63">
        <v>74.7</v>
      </c>
      <c r="Z23" s="63">
        <v>54.8</v>
      </c>
      <c r="AA23" s="66">
        <f>X23+Z23</f>
        <v>337.5</v>
      </c>
      <c r="AB23" s="55">
        <f>SUM(Y23+Z23)*0.31</f>
        <v>40.145000000000003</v>
      </c>
      <c r="AC23" s="55">
        <f>Y23-AB23</f>
        <v>34.555</v>
      </c>
      <c r="AD23" s="55">
        <f>X23-Y23</f>
        <v>208</v>
      </c>
      <c r="AE23" s="55">
        <f>50</f>
        <v>50</v>
      </c>
      <c r="AF23" s="55">
        <f>AD23-AE23</f>
        <v>158</v>
      </c>
      <c r="AG23" s="61"/>
    </row>
    <row r="24" spans="1:33" ht="12.75" x14ac:dyDescent="0.2">
      <c r="AC24" s="38">
        <v>-20</v>
      </c>
    </row>
    <row r="26" spans="1:33" ht="51" x14ac:dyDescent="0.2">
      <c r="A26" s="52" t="s">
        <v>135</v>
      </c>
      <c r="B26" s="53">
        <v>45602</v>
      </c>
      <c r="C26" s="54"/>
      <c r="D26" s="54"/>
      <c r="E26" s="54"/>
      <c r="F26" s="54"/>
      <c r="G26" s="54"/>
      <c r="H26" s="54"/>
      <c r="I26" s="54"/>
      <c r="J26" s="55" t="s">
        <v>141</v>
      </c>
      <c r="K26" s="56"/>
      <c r="L26" s="52" t="s">
        <v>136</v>
      </c>
      <c r="M26" s="53">
        <v>45602</v>
      </c>
      <c r="N26" s="54"/>
      <c r="O26" s="54"/>
      <c r="P26" s="54"/>
      <c r="Q26" s="54"/>
      <c r="R26" s="54"/>
      <c r="S26" s="54"/>
      <c r="T26" s="54"/>
      <c r="U26" s="54"/>
      <c r="V26" s="54"/>
      <c r="W26" s="55" t="s">
        <v>141</v>
      </c>
      <c r="X26" s="57" t="s">
        <v>192</v>
      </c>
      <c r="Y26" s="58" t="s">
        <v>142</v>
      </c>
      <c r="Z26" s="59" t="s">
        <v>193</v>
      </c>
      <c r="AA26" s="60" t="s">
        <v>194</v>
      </c>
      <c r="AB26" s="57" t="s">
        <v>165</v>
      </c>
      <c r="AC26" s="55" t="s">
        <v>195</v>
      </c>
      <c r="AD26" s="55" t="s">
        <v>196</v>
      </c>
      <c r="AE26" s="57" t="s">
        <v>197</v>
      </c>
      <c r="AF26" s="55" t="s">
        <v>198</v>
      </c>
      <c r="AG26" s="61"/>
    </row>
    <row r="27" spans="1:33" ht="12.75" x14ac:dyDescent="0.2">
      <c r="A27" s="55" t="s">
        <v>199</v>
      </c>
      <c r="B27" s="62">
        <v>0.05</v>
      </c>
      <c r="C27" s="62">
        <v>0.1</v>
      </c>
      <c r="D27" s="62">
        <v>0.2</v>
      </c>
      <c r="E27" s="62">
        <v>0.5</v>
      </c>
      <c r="F27" s="62">
        <v>1</v>
      </c>
      <c r="G27" s="62">
        <v>2</v>
      </c>
      <c r="H27" s="62">
        <v>5</v>
      </c>
      <c r="I27" s="62">
        <v>10</v>
      </c>
      <c r="K27" s="56"/>
      <c r="L27" s="55" t="s">
        <v>199</v>
      </c>
      <c r="M27" s="62">
        <v>0.05</v>
      </c>
      <c r="N27" s="62">
        <v>0.1</v>
      </c>
      <c r="O27" s="62">
        <v>0.2</v>
      </c>
      <c r="P27" s="62">
        <v>0.5</v>
      </c>
      <c r="Q27" s="62">
        <v>1</v>
      </c>
      <c r="R27" s="62">
        <v>2</v>
      </c>
      <c r="S27" s="62">
        <v>5</v>
      </c>
      <c r="T27" s="62">
        <v>10</v>
      </c>
      <c r="U27" s="62">
        <v>20</v>
      </c>
      <c r="V27" s="62">
        <v>50</v>
      </c>
      <c r="W27" s="54"/>
      <c r="X27" s="54"/>
      <c r="Y27" s="63"/>
      <c r="Z27" s="63"/>
      <c r="AA27" s="64"/>
      <c r="AB27" s="54"/>
      <c r="AC27" s="54"/>
      <c r="AD27" s="54"/>
      <c r="AE27" s="54"/>
      <c r="AF27" s="54"/>
    </row>
    <row r="28" spans="1:33" ht="12.75" x14ac:dyDescent="0.2">
      <c r="A28" s="55" t="s">
        <v>200</v>
      </c>
      <c r="B28" s="38">
        <v>85</v>
      </c>
      <c r="C28" s="65">
        <v>21</v>
      </c>
      <c r="D28" s="65">
        <v>3</v>
      </c>
      <c r="E28" s="65">
        <v>14</v>
      </c>
      <c r="F28" s="65">
        <v>16</v>
      </c>
      <c r="G28" s="65">
        <v>4</v>
      </c>
      <c r="H28" s="65">
        <v>2</v>
      </c>
      <c r="I28" s="65">
        <v>2</v>
      </c>
      <c r="J28" s="54"/>
      <c r="K28" s="56"/>
      <c r="L28" s="55" t="s">
        <v>200</v>
      </c>
      <c r="M28" s="38">
        <v>68</v>
      </c>
      <c r="N28" s="65">
        <v>9</v>
      </c>
      <c r="O28" s="65">
        <v>11</v>
      </c>
      <c r="P28" s="65">
        <v>29</v>
      </c>
      <c r="Q28" s="65">
        <v>33</v>
      </c>
      <c r="R28" s="65">
        <v>18</v>
      </c>
      <c r="S28" s="65">
        <v>5</v>
      </c>
      <c r="T28" s="65">
        <v>12</v>
      </c>
      <c r="U28" s="65">
        <v>3</v>
      </c>
      <c r="V28" s="65">
        <v>2</v>
      </c>
      <c r="W28" s="65"/>
      <c r="X28" s="54"/>
      <c r="Y28" s="63"/>
      <c r="Z28" s="63"/>
      <c r="AA28" s="64"/>
      <c r="AB28" s="54"/>
      <c r="AC28" s="54"/>
      <c r="AD28" s="54"/>
      <c r="AE28" s="54"/>
      <c r="AF28" s="54"/>
    </row>
    <row r="29" spans="1:33" ht="12.75" x14ac:dyDescent="0.2">
      <c r="A29" s="55" t="s">
        <v>141</v>
      </c>
      <c r="B29" s="65">
        <f t="shared" ref="B29:I29" si="8">B28*B27</f>
        <v>4.25</v>
      </c>
      <c r="C29" s="65">
        <f t="shared" si="8"/>
        <v>2.1</v>
      </c>
      <c r="D29" s="65">
        <f t="shared" si="8"/>
        <v>0.60000000000000009</v>
      </c>
      <c r="E29" s="65">
        <f t="shared" si="8"/>
        <v>7</v>
      </c>
      <c r="F29" s="65">
        <f t="shared" si="8"/>
        <v>16</v>
      </c>
      <c r="G29" s="65">
        <f t="shared" si="8"/>
        <v>8</v>
      </c>
      <c r="H29" s="65">
        <f t="shared" si="8"/>
        <v>10</v>
      </c>
      <c r="I29" s="65">
        <f t="shared" si="8"/>
        <v>20</v>
      </c>
      <c r="J29" s="54">
        <f>SUM(B29:I29)</f>
        <v>67.95</v>
      </c>
      <c r="K29" s="56"/>
      <c r="L29" s="55" t="s">
        <v>141</v>
      </c>
      <c r="M29" s="65">
        <f t="shared" ref="M29:V29" si="9">M28*M27</f>
        <v>3.4000000000000004</v>
      </c>
      <c r="N29" s="65">
        <f t="shared" si="9"/>
        <v>0.9</v>
      </c>
      <c r="O29" s="65">
        <f t="shared" si="9"/>
        <v>2.2000000000000002</v>
      </c>
      <c r="P29" s="65">
        <f t="shared" si="9"/>
        <v>14.5</v>
      </c>
      <c r="Q29" s="65">
        <f t="shared" si="9"/>
        <v>33</v>
      </c>
      <c r="R29" s="65">
        <f t="shared" si="9"/>
        <v>36</v>
      </c>
      <c r="S29" s="65">
        <f t="shared" si="9"/>
        <v>25</v>
      </c>
      <c r="T29" s="65">
        <f t="shared" si="9"/>
        <v>120</v>
      </c>
      <c r="U29" s="65">
        <f t="shared" si="9"/>
        <v>60</v>
      </c>
      <c r="V29" s="65">
        <f t="shared" si="9"/>
        <v>100</v>
      </c>
      <c r="W29" s="54">
        <f>SUM(M29:V29)</f>
        <v>395</v>
      </c>
      <c r="X29" s="55">
        <f>W29-J29</f>
        <v>327.05</v>
      </c>
      <c r="Y29" s="63">
        <v>154.80000000000001</v>
      </c>
      <c r="Z29" s="63">
        <v>36.1</v>
      </c>
      <c r="AA29" s="66">
        <f>X29+Z29</f>
        <v>363.15000000000003</v>
      </c>
      <c r="AB29" s="55">
        <v>70</v>
      </c>
      <c r="AC29" s="55">
        <f>Y29-AB29</f>
        <v>84.800000000000011</v>
      </c>
      <c r="AD29" s="55">
        <f>X29-Y29</f>
        <v>172.25</v>
      </c>
      <c r="AE29" s="55">
        <f>AD29*0.2</f>
        <v>34.450000000000003</v>
      </c>
      <c r="AF29" s="55">
        <f>AD29-AE29</f>
        <v>137.80000000000001</v>
      </c>
      <c r="AG29" s="61"/>
    </row>
    <row r="30" spans="1:33" ht="12.75" x14ac:dyDescent="0.2">
      <c r="AF30" s="38">
        <v>-2</v>
      </c>
    </row>
    <row r="32" spans="1:33" ht="51" x14ac:dyDescent="0.2">
      <c r="A32" s="52" t="s">
        <v>135</v>
      </c>
      <c r="B32" s="53">
        <v>45603</v>
      </c>
      <c r="C32" s="54"/>
      <c r="D32" s="54"/>
      <c r="E32" s="54"/>
      <c r="F32" s="54"/>
      <c r="G32" s="54"/>
      <c r="H32" s="54"/>
      <c r="I32" s="54"/>
      <c r="J32" s="55" t="s">
        <v>141</v>
      </c>
      <c r="K32" s="56"/>
      <c r="L32" s="52" t="s">
        <v>136</v>
      </c>
      <c r="M32" s="53">
        <v>45603</v>
      </c>
      <c r="N32" s="54"/>
      <c r="O32" s="54"/>
      <c r="P32" s="54"/>
      <c r="Q32" s="54"/>
      <c r="R32" s="54"/>
      <c r="S32" s="54"/>
      <c r="T32" s="54"/>
      <c r="U32" s="54"/>
      <c r="V32" s="54"/>
      <c r="W32" s="55" t="s">
        <v>141</v>
      </c>
      <c r="X32" s="57" t="s">
        <v>192</v>
      </c>
      <c r="Y32" s="58" t="s">
        <v>142</v>
      </c>
      <c r="Z32" s="59" t="s">
        <v>193</v>
      </c>
      <c r="AA32" s="60" t="s">
        <v>194</v>
      </c>
      <c r="AB32" s="57" t="s">
        <v>165</v>
      </c>
      <c r="AC32" s="55" t="s">
        <v>195</v>
      </c>
      <c r="AD32" s="55" t="s">
        <v>196</v>
      </c>
      <c r="AE32" s="57" t="s">
        <v>197</v>
      </c>
      <c r="AF32" s="55" t="s">
        <v>198</v>
      </c>
      <c r="AG32" s="61"/>
    </row>
    <row r="33" spans="1:33" ht="12.75" x14ac:dyDescent="0.2">
      <c r="A33" s="55" t="s">
        <v>199</v>
      </c>
      <c r="B33" s="62">
        <v>0.05</v>
      </c>
      <c r="C33" s="62">
        <v>0.1</v>
      </c>
      <c r="D33" s="62">
        <v>0.2</v>
      </c>
      <c r="E33" s="62">
        <v>0.5</v>
      </c>
      <c r="F33" s="62">
        <v>1</v>
      </c>
      <c r="G33" s="62">
        <v>2</v>
      </c>
      <c r="H33" s="62">
        <v>5</v>
      </c>
      <c r="I33" s="62">
        <v>10</v>
      </c>
      <c r="K33" s="56"/>
      <c r="L33" s="55" t="s">
        <v>199</v>
      </c>
      <c r="M33" s="62">
        <v>0.05</v>
      </c>
      <c r="N33" s="62">
        <v>0.1</v>
      </c>
      <c r="O33" s="62">
        <v>0.2</v>
      </c>
      <c r="P33" s="62">
        <v>0.5</v>
      </c>
      <c r="Q33" s="62">
        <v>1</v>
      </c>
      <c r="R33" s="62">
        <v>2</v>
      </c>
      <c r="S33" s="62">
        <v>5</v>
      </c>
      <c r="T33" s="62">
        <v>10</v>
      </c>
      <c r="U33" s="62">
        <v>20</v>
      </c>
      <c r="V33" s="62">
        <v>50</v>
      </c>
      <c r="W33" s="54"/>
      <c r="X33" s="54"/>
      <c r="Y33" s="63"/>
      <c r="Z33" s="63"/>
      <c r="AA33" s="64"/>
      <c r="AB33" s="54"/>
      <c r="AC33" s="54"/>
      <c r="AD33" s="54"/>
      <c r="AE33" s="54"/>
      <c r="AF33" s="54"/>
    </row>
    <row r="34" spans="1:33" ht="12.75" x14ac:dyDescent="0.2">
      <c r="A34" s="55" t="s">
        <v>200</v>
      </c>
      <c r="B34" s="38">
        <v>68</v>
      </c>
      <c r="C34" s="65">
        <v>9</v>
      </c>
      <c r="D34" s="65">
        <v>11</v>
      </c>
      <c r="E34" s="65">
        <v>29</v>
      </c>
      <c r="F34" s="65">
        <v>10</v>
      </c>
      <c r="G34" s="65">
        <v>10</v>
      </c>
      <c r="H34" s="65">
        <v>2</v>
      </c>
      <c r="I34" s="65">
        <v>1</v>
      </c>
      <c r="J34" s="54"/>
      <c r="K34" s="56"/>
      <c r="L34" s="55" t="s">
        <v>200</v>
      </c>
      <c r="M34" s="38">
        <v>77</v>
      </c>
      <c r="N34" s="65">
        <v>5</v>
      </c>
      <c r="O34" s="65"/>
      <c r="P34" s="65">
        <v>32</v>
      </c>
      <c r="Q34" s="65">
        <v>18</v>
      </c>
      <c r="R34" s="65">
        <v>11</v>
      </c>
      <c r="S34" s="65">
        <v>9</v>
      </c>
      <c r="T34" s="65">
        <v>2</v>
      </c>
      <c r="U34" s="65">
        <v>10</v>
      </c>
      <c r="V34" s="65">
        <v>1</v>
      </c>
      <c r="W34" s="65"/>
      <c r="X34" s="54"/>
      <c r="Y34" s="63"/>
      <c r="Z34" s="63"/>
      <c r="AA34" s="64"/>
      <c r="AB34" s="54"/>
      <c r="AC34" s="54"/>
      <c r="AD34" s="54"/>
      <c r="AE34" s="54"/>
      <c r="AF34" s="54"/>
    </row>
    <row r="35" spans="1:33" ht="12.75" x14ac:dyDescent="0.2">
      <c r="A35" s="55" t="s">
        <v>141</v>
      </c>
      <c r="B35" s="65">
        <f t="shared" ref="B35:I35" si="10">B34*B33</f>
        <v>3.4000000000000004</v>
      </c>
      <c r="C35" s="65">
        <f t="shared" si="10"/>
        <v>0.9</v>
      </c>
      <c r="D35" s="65">
        <f t="shared" si="10"/>
        <v>2.2000000000000002</v>
      </c>
      <c r="E35" s="65">
        <f t="shared" si="10"/>
        <v>14.5</v>
      </c>
      <c r="F35" s="65">
        <f t="shared" si="10"/>
        <v>10</v>
      </c>
      <c r="G35" s="65">
        <f t="shared" si="10"/>
        <v>20</v>
      </c>
      <c r="H35" s="65">
        <f t="shared" si="10"/>
        <v>10</v>
      </c>
      <c r="I35" s="65">
        <f t="shared" si="10"/>
        <v>10</v>
      </c>
      <c r="J35" s="54">
        <f>SUM(B35:I35)</f>
        <v>71</v>
      </c>
      <c r="K35" s="56"/>
      <c r="L35" s="55" t="s">
        <v>141</v>
      </c>
      <c r="M35" s="70">
        <f t="shared" ref="M35:N35" si="11">M34*M33</f>
        <v>3.85</v>
      </c>
      <c r="N35" s="70">
        <f t="shared" si="11"/>
        <v>0.5</v>
      </c>
      <c r="O35" s="70">
        <f>O34*O34</f>
        <v>0</v>
      </c>
      <c r="P35" s="70">
        <f t="shared" ref="P35:V35" si="12">P34*P33</f>
        <v>16</v>
      </c>
      <c r="Q35" s="70">
        <f t="shared" si="12"/>
        <v>18</v>
      </c>
      <c r="R35" s="70">
        <f t="shared" si="12"/>
        <v>22</v>
      </c>
      <c r="S35" s="70">
        <f t="shared" si="12"/>
        <v>45</v>
      </c>
      <c r="T35" s="70">
        <f t="shared" si="12"/>
        <v>20</v>
      </c>
      <c r="U35" s="70">
        <f t="shared" si="12"/>
        <v>200</v>
      </c>
      <c r="V35" s="70">
        <f t="shared" si="12"/>
        <v>50</v>
      </c>
      <c r="W35" s="54">
        <f>SUM(M35:V35)</f>
        <v>375.35</v>
      </c>
      <c r="X35" s="55">
        <f>W35-J35</f>
        <v>304.35000000000002</v>
      </c>
      <c r="Y35" s="63">
        <v>87.3</v>
      </c>
      <c r="Z35" s="63">
        <v>22</v>
      </c>
      <c r="AA35" s="66">
        <f>X35+Z35</f>
        <v>326.35000000000002</v>
      </c>
      <c r="AB35" s="55">
        <f>SUM(Y35+Z35)*0.3</f>
        <v>32.79</v>
      </c>
      <c r="AC35" s="55">
        <f>Y35-AB35</f>
        <v>54.51</v>
      </c>
      <c r="AD35" s="55">
        <f>X35-Y35</f>
        <v>217.05</v>
      </c>
      <c r="AE35" s="55">
        <v>40</v>
      </c>
      <c r="AF35" s="55">
        <f>AD35-AE35</f>
        <v>177.05</v>
      </c>
      <c r="AG35" s="61"/>
    </row>
    <row r="36" spans="1:33" ht="12.75" x14ac:dyDescent="0.2">
      <c r="AF36" s="38">
        <v>-100</v>
      </c>
    </row>
    <row r="38" spans="1:33" ht="51" x14ac:dyDescent="0.2">
      <c r="A38" s="52" t="s">
        <v>135</v>
      </c>
      <c r="B38" s="53">
        <v>45604</v>
      </c>
      <c r="C38" s="54"/>
      <c r="D38" s="54"/>
      <c r="E38" s="54"/>
      <c r="F38" s="54"/>
      <c r="G38" s="54"/>
      <c r="H38" s="54"/>
      <c r="I38" s="54"/>
      <c r="J38" s="55" t="s">
        <v>141</v>
      </c>
      <c r="K38" s="56"/>
      <c r="L38" s="52" t="s">
        <v>136</v>
      </c>
      <c r="M38" s="53">
        <v>45604</v>
      </c>
      <c r="N38" s="54"/>
      <c r="O38" s="54"/>
      <c r="P38" s="54"/>
      <c r="Q38" s="54"/>
      <c r="R38" s="54"/>
      <c r="S38" s="54"/>
      <c r="T38" s="54"/>
      <c r="U38" s="54"/>
      <c r="V38" s="54"/>
      <c r="W38" s="55" t="s">
        <v>141</v>
      </c>
      <c r="X38" s="57" t="s">
        <v>192</v>
      </c>
      <c r="Y38" s="58" t="s">
        <v>142</v>
      </c>
      <c r="Z38" s="59" t="s">
        <v>193</v>
      </c>
      <c r="AA38" s="60" t="s">
        <v>194</v>
      </c>
      <c r="AB38" s="57" t="s">
        <v>165</v>
      </c>
      <c r="AC38" s="55" t="s">
        <v>195</v>
      </c>
      <c r="AD38" s="55" t="s">
        <v>196</v>
      </c>
      <c r="AE38" s="57" t="s">
        <v>197</v>
      </c>
      <c r="AF38" s="55" t="s">
        <v>198</v>
      </c>
      <c r="AG38" s="61"/>
    </row>
    <row r="39" spans="1:33" ht="12.75" x14ac:dyDescent="0.2">
      <c r="A39" s="55" t="s">
        <v>199</v>
      </c>
      <c r="B39" s="62">
        <v>0.05</v>
      </c>
      <c r="C39" s="62">
        <v>0.1</v>
      </c>
      <c r="D39" s="62">
        <v>0.2</v>
      </c>
      <c r="E39" s="62">
        <v>0.5</v>
      </c>
      <c r="F39" s="62">
        <v>1</v>
      </c>
      <c r="G39" s="62">
        <v>2</v>
      </c>
      <c r="H39" s="62">
        <v>5</v>
      </c>
      <c r="I39" s="62">
        <v>10</v>
      </c>
      <c r="K39" s="56"/>
      <c r="L39" s="55" t="s">
        <v>199</v>
      </c>
      <c r="M39" s="62">
        <v>0.05</v>
      </c>
      <c r="N39" s="62">
        <v>0.1</v>
      </c>
      <c r="O39" s="62">
        <v>0.2</v>
      </c>
      <c r="P39" s="62">
        <v>0.5</v>
      </c>
      <c r="Q39" s="62">
        <v>1</v>
      </c>
      <c r="R39" s="62">
        <v>2</v>
      </c>
      <c r="S39" s="62">
        <v>5</v>
      </c>
      <c r="T39" s="62">
        <v>10</v>
      </c>
      <c r="U39" s="62">
        <v>20</v>
      </c>
      <c r="V39" s="62">
        <v>50</v>
      </c>
      <c r="W39" s="54"/>
      <c r="X39" s="54"/>
      <c r="Y39" s="63"/>
      <c r="Z39" s="63"/>
      <c r="AA39" s="64"/>
      <c r="AB39" s="54"/>
      <c r="AC39" s="54"/>
      <c r="AD39" s="54"/>
      <c r="AE39" s="54"/>
      <c r="AF39" s="54"/>
    </row>
    <row r="40" spans="1:33" ht="12.75" x14ac:dyDescent="0.2">
      <c r="A40" s="55" t="s">
        <v>200</v>
      </c>
      <c r="B40" s="38">
        <v>77</v>
      </c>
      <c r="C40" s="65">
        <v>5</v>
      </c>
      <c r="D40" s="65"/>
      <c r="E40" s="65">
        <v>32</v>
      </c>
      <c r="F40" s="65">
        <v>10</v>
      </c>
      <c r="G40" s="65">
        <v>8</v>
      </c>
      <c r="H40" s="65">
        <v>2</v>
      </c>
      <c r="I40" s="65">
        <v>1</v>
      </c>
      <c r="J40" s="54"/>
      <c r="K40" s="56"/>
      <c r="L40" s="55" t="s">
        <v>200</v>
      </c>
      <c r="M40" s="38">
        <v>72</v>
      </c>
      <c r="N40" s="65">
        <v>15</v>
      </c>
      <c r="O40" s="65">
        <v>14</v>
      </c>
      <c r="P40" s="65">
        <v>28</v>
      </c>
      <c r="Q40" s="65">
        <v>18</v>
      </c>
      <c r="R40" s="65">
        <v>10</v>
      </c>
      <c r="S40" s="65">
        <v>17</v>
      </c>
      <c r="T40" s="65">
        <v>6</v>
      </c>
      <c r="U40" s="65">
        <v>10</v>
      </c>
      <c r="V40" s="65">
        <v>1</v>
      </c>
      <c r="W40" s="65"/>
      <c r="X40" s="54"/>
      <c r="Y40" s="63"/>
      <c r="Z40" s="63"/>
      <c r="AA40" s="64"/>
      <c r="AB40" s="54"/>
      <c r="AC40" s="54"/>
      <c r="AD40" s="54"/>
      <c r="AE40" s="54"/>
      <c r="AF40" s="54"/>
    </row>
    <row r="41" spans="1:33" ht="12.75" x14ac:dyDescent="0.2">
      <c r="A41" s="55" t="s">
        <v>141</v>
      </c>
      <c r="B41" s="65">
        <f t="shared" ref="B41:I41" si="13">B40*B39</f>
        <v>3.85</v>
      </c>
      <c r="C41" s="65">
        <f t="shared" si="13"/>
        <v>0.5</v>
      </c>
      <c r="D41" s="65">
        <f t="shared" si="13"/>
        <v>0</v>
      </c>
      <c r="E41" s="65">
        <f t="shared" si="13"/>
        <v>16</v>
      </c>
      <c r="F41" s="65">
        <f t="shared" si="13"/>
        <v>10</v>
      </c>
      <c r="G41" s="65">
        <f t="shared" si="13"/>
        <v>16</v>
      </c>
      <c r="H41" s="65">
        <f t="shared" si="13"/>
        <v>10</v>
      </c>
      <c r="I41" s="65">
        <f t="shared" si="13"/>
        <v>10</v>
      </c>
      <c r="J41" s="54">
        <f>SUM(B41:I41)</f>
        <v>66.349999999999994</v>
      </c>
      <c r="K41" s="56"/>
      <c r="L41" s="55" t="s">
        <v>141</v>
      </c>
      <c r="M41" s="70">
        <f t="shared" ref="M41:V41" si="14">M40*M39</f>
        <v>3.6</v>
      </c>
      <c r="N41" s="70">
        <f t="shared" si="14"/>
        <v>1.5</v>
      </c>
      <c r="O41" s="70">
        <f t="shared" si="14"/>
        <v>2.8000000000000003</v>
      </c>
      <c r="P41" s="70">
        <f t="shared" si="14"/>
        <v>14</v>
      </c>
      <c r="Q41" s="70">
        <f t="shared" si="14"/>
        <v>18</v>
      </c>
      <c r="R41" s="70">
        <f t="shared" si="14"/>
        <v>20</v>
      </c>
      <c r="S41" s="70">
        <f t="shared" si="14"/>
        <v>85</v>
      </c>
      <c r="T41" s="70">
        <f t="shared" si="14"/>
        <v>60</v>
      </c>
      <c r="U41" s="70">
        <f t="shared" si="14"/>
        <v>200</v>
      </c>
      <c r="V41" s="70">
        <f t="shared" si="14"/>
        <v>50</v>
      </c>
      <c r="W41" s="54">
        <f>SUM(M41:V41)</f>
        <v>454.9</v>
      </c>
      <c r="X41" s="55">
        <f>W41-J41</f>
        <v>388.54999999999995</v>
      </c>
      <c r="Y41" s="63">
        <v>188.1</v>
      </c>
      <c r="Z41" s="63">
        <v>118.8</v>
      </c>
      <c r="AA41" s="66">
        <f>X41+Z41</f>
        <v>507.34999999999997</v>
      </c>
      <c r="AB41" s="55">
        <f>SUM(Y41+Z41)*0.4</f>
        <v>122.75999999999999</v>
      </c>
      <c r="AC41" s="55">
        <f>Y41-AB41</f>
        <v>65.34</v>
      </c>
      <c r="AD41" s="55">
        <f>X41-Y41</f>
        <v>200.44999999999996</v>
      </c>
      <c r="AE41" s="55">
        <f>AD41*0.1</f>
        <v>20.044999999999998</v>
      </c>
      <c r="AF41" s="55">
        <f>AD41-AE41</f>
        <v>180.40499999999997</v>
      </c>
      <c r="AG41" s="61"/>
    </row>
    <row r="44" spans="1:33" ht="51" x14ac:dyDescent="0.2">
      <c r="A44" s="52" t="s">
        <v>135</v>
      </c>
      <c r="B44" s="53">
        <v>45605</v>
      </c>
      <c r="C44" s="54"/>
      <c r="D44" s="54"/>
      <c r="E44" s="54"/>
      <c r="F44" s="54"/>
      <c r="G44" s="54"/>
      <c r="H44" s="54"/>
      <c r="I44" s="54"/>
      <c r="J44" s="55" t="s">
        <v>141</v>
      </c>
      <c r="K44" s="56"/>
      <c r="L44" s="52" t="s">
        <v>136</v>
      </c>
      <c r="M44" s="53">
        <v>45605</v>
      </c>
      <c r="N44" s="54"/>
      <c r="O44" s="54"/>
      <c r="P44" s="54"/>
      <c r="Q44" s="54"/>
      <c r="R44" s="54"/>
      <c r="S44" s="54"/>
      <c r="T44" s="54"/>
      <c r="U44" s="54"/>
      <c r="V44" s="54"/>
      <c r="W44" s="55" t="s">
        <v>141</v>
      </c>
      <c r="X44" s="57" t="s">
        <v>192</v>
      </c>
      <c r="Y44" s="58" t="s">
        <v>142</v>
      </c>
      <c r="Z44" s="59" t="s">
        <v>193</v>
      </c>
      <c r="AA44" s="60" t="s">
        <v>194</v>
      </c>
      <c r="AB44" s="57" t="s">
        <v>165</v>
      </c>
      <c r="AC44" s="55" t="s">
        <v>195</v>
      </c>
      <c r="AD44" s="55" t="s">
        <v>196</v>
      </c>
      <c r="AE44" s="57" t="s">
        <v>197</v>
      </c>
      <c r="AF44" s="55" t="s">
        <v>198</v>
      </c>
      <c r="AG44" s="61"/>
    </row>
    <row r="45" spans="1:33" ht="12.75" x14ac:dyDescent="0.2">
      <c r="A45" s="55" t="s">
        <v>199</v>
      </c>
      <c r="B45" s="62">
        <v>0.05</v>
      </c>
      <c r="C45" s="62">
        <v>0.1</v>
      </c>
      <c r="D45" s="62">
        <v>0.2</v>
      </c>
      <c r="E45" s="62">
        <v>0.5</v>
      </c>
      <c r="F45" s="62">
        <v>1</v>
      </c>
      <c r="G45" s="62">
        <v>2</v>
      </c>
      <c r="H45" s="62">
        <v>5</v>
      </c>
      <c r="I45" s="62">
        <v>10</v>
      </c>
      <c r="K45" s="56"/>
      <c r="L45" s="55" t="s">
        <v>199</v>
      </c>
      <c r="M45" s="62">
        <v>0.05</v>
      </c>
      <c r="N45" s="62">
        <v>0.1</v>
      </c>
      <c r="O45" s="62">
        <v>0.2</v>
      </c>
      <c r="P45" s="62">
        <v>0.5</v>
      </c>
      <c r="Q45" s="62">
        <v>1</v>
      </c>
      <c r="R45" s="62">
        <v>2</v>
      </c>
      <c r="S45" s="62">
        <v>5</v>
      </c>
      <c r="T45" s="62">
        <v>10</v>
      </c>
      <c r="U45" s="62">
        <v>20</v>
      </c>
      <c r="V45" s="62">
        <v>50</v>
      </c>
      <c r="W45" s="54"/>
      <c r="X45" s="54"/>
      <c r="Y45" s="63"/>
      <c r="Z45" s="63"/>
      <c r="AA45" s="64"/>
      <c r="AB45" s="54"/>
      <c r="AC45" s="54"/>
      <c r="AD45" s="54"/>
      <c r="AE45" s="54"/>
      <c r="AF45" s="54"/>
    </row>
    <row r="46" spans="1:33" ht="12.75" x14ac:dyDescent="0.2">
      <c r="A46" s="55" t="s">
        <v>200</v>
      </c>
      <c r="B46" s="38">
        <v>72</v>
      </c>
      <c r="C46" s="65">
        <v>15</v>
      </c>
      <c r="D46" s="65">
        <v>14</v>
      </c>
      <c r="E46" s="65">
        <v>20</v>
      </c>
      <c r="F46" s="65">
        <v>10</v>
      </c>
      <c r="G46" s="65">
        <v>10</v>
      </c>
      <c r="H46" s="65">
        <v>2</v>
      </c>
      <c r="I46" s="65">
        <v>1</v>
      </c>
      <c r="J46" s="54"/>
      <c r="K46" s="56"/>
      <c r="L46" s="55" t="s">
        <v>200</v>
      </c>
      <c r="M46" s="38">
        <v>80</v>
      </c>
      <c r="N46" s="65">
        <v>21</v>
      </c>
      <c r="O46" s="65">
        <v>8</v>
      </c>
      <c r="P46" s="65">
        <v>14</v>
      </c>
      <c r="Q46" s="65">
        <v>4</v>
      </c>
      <c r="R46" s="65">
        <v>4</v>
      </c>
      <c r="S46" s="65">
        <v>4</v>
      </c>
      <c r="T46" s="65">
        <v>3</v>
      </c>
      <c r="U46" s="65">
        <v>3</v>
      </c>
      <c r="V46" s="65">
        <v>3</v>
      </c>
      <c r="W46" s="65"/>
      <c r="X46" s="54"/>
      <c r="Y46" s="63"/>
      <c r="Z46" s="63"/>
      <c r="AA46" s="64"/>
      <c r="AB46" s="54"/>
      <c r="AC46" s="54"/>
      <c r="AD46" s="54"/>
      <c r="AE46" s="54"/>
      <c r="AF46" s="54"/>
    </row>
    <row r="47" spans="1:33" ht="12.75" x14ac:dyDescent="0.2">
      <c r="A47" s="55" t="s">
        <v>141</v>
      </c>
      <c r="B47" s="65">
        <f t="shared" ref="B47:I47" si="15">B46*B45</f>
        <v>3.6</v>
      </c>
      <c r="C47" s="65">
        <f t="shared" si="15"/>
        <v>1.5</v>
      </c>
      <c r="D47" s="65">
        <f t="shared" si="15"/>
        <v>2.8000000000000003</v>
      </c>
      <c r="E47" s="65">
        <f t="shared" si="15"/>
        <v>10</v>
      </c>
      <c r="F47" s="65">
        <f t="shared" si="15"/>
        <v>10</v>
      </c>
      <c r="G47" s="65">
        <f t="shared" si="15"/>
        <v>20</v>
      </c>
      <c r="H47" s="65">
        <f t="shared" si="15"/>
        <v>10</v>
      </c>
      <c r="I47" s="65">
        <f t="shared" si="15"/>
        <v>10</v>
      </c>
      <c r="J47" s="54">
        <f>SUM(B47:I47)</f>
        <v>67.900000000000006</v>
      </c>
      <c r="K47" s="56"/>
      <c r="L47" s="55" t="s">
        <v>141</v>
      </c>
      <c r="M47" s="70">
        <f t="shared" ref="M47:V47" si="16">M46*M45</f>
        <v>4</v>
      </c>
      <c r="N47" s="70">
        <f t="shared" si="16"/>
        <v>2.1</v>
      </c>
      <c r="O47" s="70">
        <f t="shared" si="16"/>
        <v>1.6</v>
      </c>
      <c r="P47" s="70">
        <f t="shared" si="16"/>
        <v>7</v>
      </c>
      <c r="Q47" s="70">
        <f t="shared" si="16"/>
        <v>4</v>
      </c>
      <c r="R47" s="70">
        <f t="shared" si="16"/>
        <v>8</v>
      </c>
      <c r="S47" s="70">
        <f t="shared" si="16"/>
        <v>20</v>
      </c>
      <c r="T47" s="70">
        <f t="shared" si="16"/>
        <v>30</v>
      </c>
      <c r="U47" s="70">
        <f t="shared" si="16"/>
        <v>60</v>
      </c>
      <c r="V47" s="70">
        <f t="shared" si="16"/>
        <v>150</v>
      </c>
      <c r="W47" s="54">
        <f>SUM(M47:V47)</f>
        <v>286.7</v>
      </c>
      <c r="X47" s="55">
        <f>W47-J47</f>
        <v>218.79999999999998</v>
      </c>
      <c r="Y47" s="63">
        <v>162.4</v>
      </c>
      <c r="Z47" s="63">
        <v>66.3</v>
      </c>
      <c r="AA47" s="66">
        <f>X47+Z47</f>
        <v>285.09999999999997</v>
      </c>
      <c r="AB47" s="55">
        <f>70</f>
        <v>70</v>
      </c>
      <c r="AC47" s="55">
        <f>Y47-AB47</f>
        <v>92.4</v>
      </c>
      <c r="AD47" s="55">
        <f>X47-Y47</f>
        <v>56.399999999999977</v>
      </c>
      <c r="AE47" s="55"/>
      <c r="AF47" s="55">
        <f>AD47-AE47</f>
        <v>56.399999999999977</v>
      </c>
      <c r="AG47" s="61"/>
    </row>
    <row r="50" spans="1:33" ht="51" x14ac:dyDescent="0.2">
      <c r="A50" s="52" t="s">
        <v>135</v>
      </c>
      <c r="B50" s="53">
        <v>45606</v>
      </c>
      <c r="C50" s="54"/>
      <c r="D50" s="54"/>
      <c r="E50" s="54"/>
      <c r="F50" s="54"/>
      <c r="G50" s="54"/>
      <c r="H50" s="54"/>
      <c r="I50" s="54"/>
      <c r="J50" s="55" t="s">
        <v>141</v>
      </c>
      <c r="K50" s="56"/>
      <c r="L50" s="52" t="s">
        <v>136</v>
      </c>
      <c r="M50" s="53">
        <v>45606</v>
      </c>
      <c r="N50" s="54"/>
      <c r="O50" s="54"/>
      <c r="P50" s="54"/>
      <c r="Q50" s="54"/>
      <c r="R50" s="54"/>
      <c r="S50" s="54"/>
      <c r="T50" s="54"/>
      <c r="U50" s="54"/>
      <c r="V50" s="54"/>
      <c r="W50" s="55" t="s">
        <v>141</v>
      </c>
      <c r="X50" s="57" t="s">
        <v>192</v>
      </c>
      <c r="Y50" s="58" t="s">
        <v>142</v>
      </c>
      <c r="Z50" s="59" t="s">
        <v>193</v>
      </c>
      <c r="AA50" s="60" t="s">
        <v>194</v>
      </c>
      <c r="AB50" s="57" t="s">
        <v>165</v>
      </c>
      <c r="AC50" s="55" t="s">
        <v>195</v>
      </c>
      <c r="AD50" s="55" t="s">
        <v>196</v>
      </c>
      <c r="AE50" s="57" t="s">
        <v>197</v>
      </c>
      <c r="AF50" s="55" t="s">
        <v>198</v>
      </c>
      <c r="AG50" s="61"/>
    </row>
    <row r="51" spans="1:33" ht="12.75" x14ac:dyDescent="0.2">
      <c r="A51" s="55" t="s">
        <v>199</v>
      </c>
      <c r="B51" s="62">
        <v>0.05</v>
      </c>
      <c r="C51" s="62">
        <v>0.1</v>
      </c>
      <c r="D51" s="62">
        <v>0.2</v>
      </c>
      <c r="E51" s="62">
        <v>0.5</v>
      </c>
      <c r="F51" s="62">
        <v>1</v>
      </c>
      <c r="G51" s="62">
        <v>2</v>
      </c>
      <c r="H51" s="62">
        <v>5</v>
      </c>
      <c r="I51" s="62">
        <v>10</v>
      </c>
      <c r="K51" s="56"/>
      <c r="L51" s="55" t="s">
        <v>199</v>
      </c>
      <c r="M51" s="62">
        <v>0.05</v>
      </c>
      <c r="N51" s="62">
        <v>0.1</v>
      </c>
      <c r="O51" s="62">
        <v>0.2</v>
      </c>
      <c r="P51" s="62">
        <v>0.5</v>
      </c>
      <c r="Q51" s="62">
        <v>1</v>
      </c>
      <c r="R51" s="62">
        <v>2</v>
      </c>
      <c r="S51" s="62">
        <v>5</v>
      </c>
      <c r="T51" s="62">
        <v>10</v>
      </c>
      <c r="U51" s="62">
        <v>20</v>
      </c>
      <c r="V51" s="62">
        <v>50</v>
      </c>
      <c r="W51" s="54"/>
      <c r="X51" s="54"/>
      <c r="Y51" s="63"/>
      <c r="Z51" s="63"/>
      <c r="AA51" s="64"/>
      <c r="AB51" s="54"/>
      <c r="AC51" s="54"/>
      <c r="AD51" s="54"/>
      <c r="AE51" s="54"/>
      <c r="AF51" s="54"/>
    </row>
    <row r="52" spans="1:33" ht="12.75" x14ac:dyDescent="0.2">
      <c r="A52" s="55" t="s">
        <v>200</v>
      </c>
      <c r="B52" s="38">
        <v>80</v>
      </c>
      <c r="C52" s="65">
        <v>21</v>
      </c>
      <c r="D52" s="65">
        <v>8</v>
      </c>
      <c r="E52" s="65">
        <v>14</v>
      </c>
      <c r="F52" s="65">
        <v>4</v>
      </c>
      <c r="G52" s="65">
        <v>4</v>
      </c>
      <c r="H52" s="65">
        <v>2</v>
      </c>
      <c r="I52" s="65">
        <v>2</v>
      </c>
      <c r="J52" s="54"/>
      <c r="K52" s="56"/>
      <c r="L52" s="55" t="s">
        <v>200</v>
      </c>
      <c r="M52" s="38">
        <v>80</v>
      </c>
      <c r="N52" s="65">
        <v>19</v>
      </c>
      <c r="O52" s="65">
        <v>9</v>
      </c>
      <c r="P52" s="65">
        <v>13</v>
      </c>
      <c r="Q52" s="65">
        <v>7</v>
      </c>
      <c r="R52" s="65">
        <v>8</v>
      </c>
      <c r="S52" s="65">
        <v>11</v>
      </c>
      <c r="T52" s="65">
        <v>4</v>
      </c>
      <c r="U52" s="65">
        <v>2</v>
      </c>
      <c r="V52" s="65">
        <v>1</v>
      </c>
      <c r="W52" s="65"/>
      <c r="X52" s="54"/>
      <c r="Y52" s="63"/>
      <c r="Z52" s="63"/>
      <c r="AA52" s="64"/>
      <c r="AB52" s="54"/>
      <c r="AC52" s="54"/>
      <c r="AD52" s="54"/>
      <c r="AE52" s="54"/>
      <c r="AF52" s="54"/>
    </row>
    <row r="53" spans="1:33" ht="12.75" x14ac:dyDescent="0.2">
      <c r="A53" s="55" t="s">
        <v>141</v>
      </c>
      <c r="B53" s="65">
        <f t="shared" ref="B53:I53" si="17">B52*B51</f>
        <v>4</v>
      </c>
      <c r="C53" s="65">
        <f t="shared" si="17"/>
        <v>2.1</v>
      </c>
      <c r="D53" s="65">
        <f t="shared" si="17"/>
        <v>1.6</v>
      </c>
      <c r="E53" s="65">
        <f t="shared" si="17"/>
        <v>7</v>
      </c>
      <c r="F53" s="65">
        <f t="shared" si="17"/>
        <v>4</v>
      </c>
      <c r="G53" s="65">
        <f t="shared" si="17"/>
        <v>8</v>
      </c>
      <c r="H53" s="65">
        <f t="shared" si="17"/>
        <v>10</v>
      </c>
      <c r="I53" s="65">
        <f t="shared" si="17"/>
        <v>20</v>
      </c>
      <c r="J53" s="54">
        <f>SUM(B53:I53)</f>
        <v>56.7</v>
      </c>
      <c r="K53" s="56"/>
      <c r="L53" s="55" t="s">
        <v>141</v>
      </c>
      <c r="M53" s="70">
        <f t="shared" ref="M53:V53" si="18">M52*M51</f>
        <v>4</v>
      </c>
      <c r="N53" s="70">
        <f t="shared" si="18"/>
        <v>1.9000000000000001</v>
      </c>
      <c r="O53" s="70">
        <f t="shared" si="18"/>
        <v>1.8</v>
      </c>
      <c r="P53" s="70">
        <f t="shared" si="18"/>
        <v>6.5</v>
      </c>
      <c r="Q53" s="70">
        <f t="shared" si="18"/>
        <v>7</v>
      </c>
      <c r="R53" s="70">
        <f t="shared" si="18"/>
        <v>16</v>
      </c>
      <c r="S53" s="70">
        <f t="shared" si="18"/>
        <v>55</v>
      </c>
      <c r="T53" s="70">
        <f t="shared" si="18"/>
        <v>40</v>
      </c>
      <c r="U53" s="70">
        <f t="shared" si="18"/>
        <v>40</v>
      </c>
      <c r="V53" s="70">
        <f t="shared" si="18"/>
        <v>50</v>
      </c>
      <c r="W53" s="54">
        <f>SUM(M53:V53)</f>
        <v>222.2</v>
      </c>
      <c r="X53" s="55">
        <f>W53-J53</f>
        <v>165.5</v>
      </c>
      <c r="Y53" s="63">
        <v>87.7</v>
      </c>
      <c r="Z53" s="63">
        <v>9.8000000000000007</v>
      </c>
      <c r="AA53" s="66">
        <f>X53+Z53</f>
        <v>175.3</v>
      </c>
      <c r="AB53" s="55">
        <v>30</v>
      </c>
      <c r="AC53" s="55">
        <f>Y53-AB53</f>
        <v>57.7</v>
      </c>
      <c r="AD53" s="55">
        <f>X53-Y53</f>
        <v>77.8</v>
      </c>
      <c r="AE53" s="55">
        <v>37</v>
      </c>
      <c r="AF53" s="55">
        <f>AD53-AE53</f>
        <v>40.799999999999997</v>
      </c>
      <c r="AG53" s="61"/>
    </row>
    <row r="54" spans="1:33" ht="12.75" x14ac:dyDescent="0.2">
      <c r="AB54" s="38" t="s">
        <v>216</v>
      </c>
      <c r="AC54" s="38">
        <v>-67</v>
      </c>
      <c r="AF54" s="38">
        <v>-40.799999999999997</v>
      </c>
    </row>
    <row r="56" spans="1:33" ht="51" x14ac:dyDescent="0.2">
      <c r="A56" s="52" t="s">
        <v>135</v>
      </c>
      <c r="B56" s="53">
        <v>45607</v>
      </c>
      <c r="C56" s="54"/>
      <c r="D56" s="54"/>
      <c r="E56" s="54"/>
      <c r="F56" s="54"/>
      <c r="G56" s="54"/>
      <c r="H56" s="54"/>
      <c r="I56" s="54"/>
      <c r="J56" s="55" t="s">
        <v>141</v>
      </c>
      <c r="K56" s="56"/>
      <c r="L56" s="52" t="s">
        <v>136</v>
      </c>
      <c r="M56" s="53">
        <v>45607</v>
      </c>
      <c r="N56" s="54"/>
      <c r="O56" s="54"/>
      <c r="P56" s="54"/>
      <c r="Q56" s="54"/>
      <c r="R56" s="54"/>
      <c r="S56" s="54"/>
      <c r="T56" s="54"/>
      <c r="U56" s="54"/>
      <c r="V56" s="54"/>
      <c r="W56" s="55" t="s">
        <v>141</v>
      </c>
      <c r="X56" s="57" t="s">
        <v>192</v>
      </c>
      <c r="Y56" s="58" t="s">
        <v>142</v>
      </c>
      <c r="Z56" s="59" t="s">
        <v>193</v>
      </c>
      <c r="AA56" s="60" t="s">
        <v>194</v>
      </c>
      <c r="AB56" s="57" t="s">
        <v>165</v>
      </c>
      <c r="AC56" s="55" t="s">
        <v>195</v>
      </c>
      <c r="AD56" s="55" t="s">
        <v>196</v>
      </c>
      <c r="AE56" s="57" t="s">
        <v>197</v>
      </c>
      <c r="AF56" s="55" t="s">
        <v>198</v>
      </c>
      <c r="AG56" s="61"/>
    </row>
    <row r="57" spans="1:33" ht="12.75" x14ac:dyDescent="0.2">
      <c r="A57" s="55" t="s">
        <v>199</v>
      </c>
      <c r="B57" s="62">
        <v>0.05</v>
      </c>
      <c r="C57" s="62">
        <v>0.1</v>
      </c>
      <c r="D57" s="62">
        <v>0.2</v>
      </c>
      <c r="E57" s="62">
        <v>0.5</v>
      </c>
      <c r="F57" s="62">
        <v>1</v>
      </c>
      <c r="G57" s="62">
        <v>2</v>
      </c>
      <c r="H57" s="62">
        <v>5</v>
      </c>
      <c r="I57" s="62">
        <v>10</v>
      </c>
      <c r="K57" s="56"/>
      <c r="L57" s="55" t="s">
        <v>199</v>
      </c>
      <c r="M57" s="62">
        <v>0.05</v>
      </c>
      <c r="N57" s="62">
        <v>0.1</v>
      </c>
      <c r="O57" s="62">
        <v>0.2</v>
      </c>
      <c r="P57" s="62">
        <v>0.5</v>
      </c>
      <c r="Q57" s="62">
        <v>1</v>
      </c>
      <c r="R57" s="62">
        <v>2</v>
      </c>
      <c r="S57" s="62">
        <v>5</v>
      </c>
      <c r="T57" s="62">
        <v>10</v>
      </c>
      <c r="U57" s="62">
        <v>20</v>
      </c>
      <c r="V57" s="62">
        <v>50</v>
      </c>
      <c r="W57" s="54"/>
      <c r="X57" s="54"/>
      <c r="Y57" s="63"/>
      <c r="Z57" s="63"/>
      <c r="AA57" s="64"/>
      <c r="AB57" s="54"/>
      <c r="AC57" s="54"/>
      <c r="AD57" s="54"/>
      <c r="AE57" s="54"/>
      <c r="AF57" s="54"/>
    </row>
    <row r="58" spans="1:33" ht="12.75" x14ac:dyDescent="0.2">
      <c r="A58" s="55" t="s">
        <v>200</v>
      </c>
      <c r="B58" s="38">
        <v>80</v>
      </c>
      <c r="C58" s="65">
        <v>19</v>
      </c>
      <c r="D58" s="65">
        <v>9</v>
      </c>
      <c r="E58" s="65">
        <v>13</v>
      </c>
      <c r="F58" s="65">
        <v>9</v>
      </c>
      <c r="G58" s="65">
        <v>8</v>
      </c>
      <c r="H58" s="65">
        <v>2</v>
      </c>
      <c r="I58" s="65">
        <v>2</v>
      </c>
      <c r="J58" s="54"/>
      <c r="K58" s="56"/>
      <c r="L58" s="55" t="s">
        <v>200</v>
      </c>
      <c r="M58" s="38">
        <v>76</v>
      </c>
      <c r="N58" s="65">
        <v>26</v>
      </c>
      <c r="O58" s="65">
        <v>15</v>
      </c>
      <c r="P58" s="65">
        <v>17</v>
      </c>
      <c r="Q58" s="65">
        <v>13</v>
      </c>
      <c r="R58" s="65">
        <v>12</v>
      </c>
      <c r="S58" s="65">
        <v>6</v>
      </c>
      <c r="T58" s="65">
        <v>11</v>
      </c>
      <c r="U58" s="65">
        <v>3</v>
      </c>
      <c r="V58" s="65">
        <v>1</v>
      </c>
      <c r="W58" s="65"/>
      <c r="X58" s="54"/>
      <c r="Y58" s="63"/>
      <c r="Z58" s="63"/>
      <c r="AA58" s="64"/>
      <c r="AB58" s="54"/>
      <c r="AC58" s="54"/>
      <c r="AD58" s="54"/>
      <c r="AE58" s="54"/>
      <c r="AF58" s="54"/>
    </row>
    <row r="59" spans="1:33" ht="12.75" x14ac:dyDescent="0.2">
      <c r="A59" s="55" t="s">
        <v>141</v>
      </c>
      <c r="B59" s="65">
        <f t="shared" ref="B59:I59" si="19">B58*B57</f>
        <v>4</v>
      </c>
      <c r="C59" s="65">
        <f t="shared" si="19"/>
        <v>1.9000000000000001</v>
      </c>
      <c r="D59" s="65">
        <f t="shared" si="19"/>
        <v>1.8</v>
      </c>
      <c r="E59" s="65">
        <f t="shared" si="19"/>
        <v>6.5</v>
      </c>
      <c r="F59" s="65">
        <f t="shared" si="19"/>
        <v>9</v>
      </c>
      <c r="G59" s="65">
        <f t="shared" si="19"/>
        <v>16</v>
      </c>
      <c r="H59" s="65">
        <f t="shared" si="19"/>
        <v>10</v>
      </c>
      <c r="I59" s="65">
        <f t="shared" si="19"/>
        <v>20</v>
      </c>
      <c r="J59" s="54">
        <f>SUM(B59:I59)</f>
        <v>69.2</v>
      </c>
      <c r="K59" s="56"/>
      <c r="L59" s="55" t="s">
        <v>141</v>
      </c>
      <c r="M59" s="70">
        <f t="shared" ref="M59:V59" si="20">M58*M57</f>
        <v>3.8000000000000003</v>
      </c>
      <c r="N59" s="70">
        <f t="shared" si="20"/>
        <v>2.6</v>
      </c>
      <c r="O59" s="70">
        <f t="shared" si="20"/>
        <v>3</v>
      </c>
      <c r="P59" s="70">
        <f t="shared" si="20"/>
        <v>8.5</v>
      </c>
      <c r="Q59" s="70">
        <f t="shared" si="20"/>
        <v>13</v>
      </c>
      <c r="R59" s="70">
        <f t="shared" si="20"/>
        <v>24</v>
      </c>
      <c r="S59" s="70">
        <f t="shared" si="20"/>
        <v>30</v>
      </c>
      <c r="T59" s="70">
        <f t="shared" si="20"/>
        <v>110</v>
      </c>
      <c r="U59" s="70">
        <f t="shared" si="20"/>
        <v>60</v>
      </c>
      <c r="V59" s="70">
        <f t="shared" si="20"/>
        <v>50</v>
      </c>
      <c r="W59" s="54">
        <f>SUM(M59:V59)</f>
        <v>304.89999999999998</v>
      </c>
      <c r="X59" s="55">
        <f>W59-J59</f>
        <v>235.7</v>
      </c>
      <c r="Y59" s="63">
        <v>90.6</v>
      </c>
      <c r="Z59" s="63">
        <v>48.3</v>
      </c>
      <c r="AA59" s="66">
        <f>X59+Z59</f>
        <v>284</v>
      </c>
      <c r="AB59" s="55">
        <v>90</v>
      </c>
      <c r="AC59" s="55">
        <f>Y59-AB59</f>
        <v>0.59999999999999432</v>
      </c>
      <c r="AD59" s="55">
        <f>X59-Y59</f>
        <v>145.1</v>
      </c>
      <c r="AE59" s="55">
        <v>25</v>
      </c>
      <c r="AF59" s="55">
        <f>AD59-AE59</f>
        <v>120.1</v>
      </c>
      <c r="AG59" s="61"/>
    </row>
    <row r="62" spans="1:33" ht="51" x14ac:dyDescent="0.2">
      <c r="A62" s="52" t="s">
        <v>135</v>
      </c>
      <c r="B62" s="53">
        <v>45608</v>
      </c>
      <c r="C62" s="54"/>
      <c r="D62" s="54"/>
      <c r="E62" s="54"/>
      <c r="F62" s="54"/>
      <c r="G62" s="54"/>
      <c r="H62" s="54"/>
      <c r="I62" s="54"/>
      <c r="J62" s="55" t="s">
        <v>141</v>
      </c>
      <c r="K62" s="56"/>
      <c r="L62" s="52" t="s">
        <v>136</v>
      </c>
      <c r="M62" s="53">
        <v>45608</v>
      </c>
      <c r="N62" s="54"/>
      <c r="O62" s="54"/>
      <c r="P62" s="54"/>
      <c r="Q62" s="54"/>
      <c r="R62" s="54"/>
      <c r="S62" s="54"/>
      <c r="T62" s="54"/>
      <c r="U62" s="54"/>
      <c r="V62" s="54"/>
      <c r="W62" s="55" t="s">
        <v>141</v>
      </c>
      <c r="X62" s="57" t="s">
        <v>192</v>
      </c>
      <c r="Y62" s="58" t="s">
        <v>142</v>
      </c>
      <c r="Z62" s="59" t="s">
        <v>193</v>
      </c>
      <c r="AA62" s="60" t="s">
        <v>194</v>
      </c>
      <c r="AB62" s="57" t="s">
        <v>165</v>
      </c>
      <c r="AC62" s="55" t="s">
        <v>195</v>
      </c>
      <c r="AD62" s="55" t="s">
        <v>196</v>
      </c>
      <c r="AE62" s="57" t="s">
        <v>197</v>
      </c>
      <c r="AF62" s="55" t="s">
        <v>198</v>
      </c>
      <c r="AG62" s="61"/>
    </row>
    <row r="63" spans="1:33" ht="12.75" x14ac:dyDescent="0.2">
      <c r="A63" s="55" t="s">
        <v>199</v>
      </c>
      <c r="B63" s="62">
        <v>0.05</v>
      </c>
      <c r="C63" s="62">
        <v>0.1</v>
      </c>
      <c r="D63" s="62">
        <v>0.2</v>
      </c>
      <c r="E63" s="62">
        <v>0.5</v>
      </c>
      <c r="F63" s="62">
        <v>1</v>
      </c>
      <c r="G63" s="62">
        <v>2</v>
      </c>
      <c r="H63" s="62">
        <v>5</v>
      </c>
      <c r="I63" s="62">
        <v>10</v>
      </c>
      <c r="K63" s="56"/>
      <c r="L63" s="55" t="s">
        <v>199</v>
      </c>
      <c r="M63" s="62">
        <v>0.05</v>
      </c>
      <c r="N63" s="62">
        <v>0.1</v>
      </c>
      <c r="O63" s="62">
        <v>0.2</v>
      </c>
      <c r="P63" s="62">
        <v>0.5</v>
      </c>
      <c r="Q63" s="62">
        <v>1</v>
      </c>
      <c r="R63" s="62">
        <v>2</v>
      </c>
      <c r="S63" s="62">
        <v>5</v>
      </c>
      <c r="T63" s="62">
        <v>10</v>
      </c>
      <c r="U63" s="62">
        <v>20</v>
      </c>
      <c r="V63" s="62">
        <v>50</v>
      </c>
      <c r="W63" s="54"/>
      <c r="X63" s="54"/>
      <c r="Y63" s="63"/>
      <c r="Z63" s="63"/>
      <c r="AA63" s="64"/>
      <c r="AB63" s="54"/>
      <c r="AC63" s="54"/>
      <c r="AD63" s="54"/>
      <c r="AE63" s="54"/>
      <c r="AF63" s="54"/>
    </row>
    <row r="64" spans="1:33" ht="12.75" x14ac:dyDescent="0.2">
      <c r="A64" s="55" t="s">
        <v>200</v>
      </c>
      <c r="B64" s="38">
        <v>76</v>
      </c>
      <c r="C64" s="65">
        <v>26</v>
      </c>
      <c r="D64" s="65">
        <v>15</v>
      </c>
      <c r="E64" s="65">
        <v>17</v>
      </c>
      <c r="F64" s="65">
        <v>10</v>
      </c>
      <c r="G64" s="65">
        <v>5</v>
      </c>
      <c r="H64" s="65">
        <v>2</v>
      </c>
      <c r="I64" s="65">
        <v>1</v>
      </c>
      <c r="J64" s="54"/>
      <c r="K64" s="56"/>
      <c r="L64" s="55" t="s">
        <v>200</v>
      </c>
      <c r="M64" s="38">
        <v>75</v>
      </c>
      <c r="N64" s="65">
        <v>30</v>
      </c>
      <c r="O64" s="65">
        <v>15</v>
      </c>
      <c r="P64" s="65">
        <v>19</v>
      </c>
      <c r="Q64" s="65">
        <v>10</v>
      </c>
      <c r="R64" s="65">
        <v>7</v>
      </c>
      <c r="S64" s="65">
        <v>5</v>
      </c>
      <c r="T64" s="65">
        <v>5</v>
      </c>
      <c r="U64" s="65">
        <v>3</v>
      </c>
      <c r="V64" s="65">
        <v>3</v>
      </c>
      <c r="W64" s="65"/>
      <c r="X64" s="54"/>
      <c r="Y64" s="63"/>
      <c r="Z64" s="63"/>
      <c r="AA64" s="64"/>
      <c r="AB64" s="54"/>
      <c r="AC64" s="54"/>
      <c r="AD64" s="54"/>
      <c r="AE64" s="54"/>
      <c r="AF64" s="54"/>
    </row>
    <row r="65" spans="1:33" ht="12.75" x14ac:dyDescent="0.2">
      <c r="A65" s="55" t="s">
        <v>141</v>
      </c>
      <c r="B65" s="65">
        <f t="shared" ref="B65:I65" si="21">B64*B63</f>
        <v>3.8000000000000003</v>
      </c>
      <c r="C65" s="65">
        <f t="shared" si="21"/>
        <v>2.6</v>
      </c>
      <c r="D65" s="65">
        <f t="shared" si="21"/>
        <v>3</v>
      </c>
      <c r="E65" s="65">
        <f t="shared" si="21"/>
        <v>8.5</v>
      </c>
      <c r="F65" s="65">
        <f t="shared" si="21"/>
        <v>10</v>
      </c>
      <c r="G65" s="65">
        <f t="shared" si="21"/>
        <v>10</v>
      </c>
      <c r="H65" s="65">
        <f t="shared" si="21"/>
        <v>10</v>
      </c>
      <c r="I65" s="65">
        <f t="shared" si="21"/>
        <v>10</v>
      </c>
      <c r="J65" s="54">
        <f>SUM(B65:I65)</f>
        <v>57.9</v>
      </c>
      <c r="K65" s="56"/>
      <c r="L65" s="55" t="s">
        <v>141</v>
      </c>
      <c r="M65" s="70">
        <f t="shared" ref="M65:V65" si="22">M64*M63</f>
        <v>3.75</v>
      </c>
      <c r="N65" s="70">
        <f t="shared" si="22"/>
        <v>3</v>
      </c>
      <c r="O65" s="70">
        <f t="shared" si="22"/>
        <v>3</v>
      </c>
      <c r="P65" s="70">
        <f t="shared" si="22"/>
        <v>9.5</v>
      </c>
      <c r="Q65" s="70">
        <f t="shared" si="22"/>
        <v>10</v>
      </c>
      <c r="R65" s="70">
        <f t="shared" si="22"/>
        <v>14</v>
      </c>
      <c r="S65" s="70">
        <f t="shared" si="22"/>
        <v>25</v>
      </c>
      <c r="T65" s="70">
        <f t="shared" si="22"/>
        <v>50</v>
      </c>
      <c r="U65" s="70">
        <f t="shared" si="22"/>
        <v>60</v>
      </c>
      <c r="V65" s="70">
        <f t="shared" si="22"/>
        <v>150</v>
      </c>
      <c r="W65" s="54">
        <f>SUM(M65:V65)</f>
        <v>328.25</v>
      </c>
      <c r="X65" s="55">
        <f>W65-J65</f>
        <v>270.35000000000002</v>
      </c>
      <c r="Y65" s="63">
        <v>65</v>
      </c>
      <c r="Z65" s="63">
        <v>33.9</v>
      </c>
      <c r="AA65" s="66">
        <f>X65+Z65</f>
        <v>304.25</v>
      </c>
      <c r="AB65" s="55">
        <v>30</v>
      </c>
      <c r="AC65" s="55">
        <f>Y65-AB65</f>
        <v>35</v>
      </c>
      <c r="AD65" s="55">
        <f>X65-Y65</f>
        <v>205.35000000000002</v>
      </c>
      <c r="AE65" s="55">
        <v>90</v>
      </c>
      <c r="AF65" s="55">
        <f>AD65-AE65</f>
        <v>115.35000000000002</v>
      </c>
      <c r="AG65" s="61"/>
    </row>
    <row r="66" spans="1:33" ht="12.75" x14ac:dyDescent="0.2">
      <c r="AF66" s="38">
        <v>-215</v>
      </c>
      <c r="AG66" s="38" t="s">
        <v>217</v>
      </c>
    </row>
    <row r="68" spans="1:33" ht="51" x14ac:dyDescent="0.2">
      <c r="A68" s="52" t="s">
        <v>135</v>
      </c>
      <c r="B68" s="53">
        <v>45609</v>
      </c>
      <c r="C68" s="54"/>
      <c r="D68" s="54"/>
      <c r="E68" s="54"/>
      <c r="F68" s="54"/>
      <c r="G68" s="54"/>
      <c r="H68" s="54"/>
      <c r="I68" s="54"/>
      <c r="J68" s="55" t="s">
        <v>141</v>
      </c>
      <c r="K68" s="56"/>
      <c r="L68" s="52" t="s">
        <v>136</v>
      </c>
      <c r="M68" s="53">
        <v>45609</v>
      </c>
      <c r="N68" s="54"/>
      <c r="O68" s="54"/>
      <c r="P68" s="54"/>
      <c r="Q68" s="54"/>
      <c r="R68" s="54"/>
      <c r="S68" s="54"/>
      <c r="T68" s="54"/>
      <c r="U68" s="54"/>
      <c r="V68" s="54"/>
      <c r="W68" s="55" t="s">
        <v>141</v>
      </c>
      <c r="X68" s="57" t="s">
        <v>192</v>
      </c>
      <c r="Y68" s="58" t="s">
        <v>142</v>
      </c>
      <c r="Z68" s="59" t="s">
        <v>193</v>
      </c>
      <c r="AA68" s="60" t="s">
        <v>194</v>
      </c>
      <c r="AB68" s="57" t="s">
        <v>165</v>
      </c>
      <c r="AC68" s="55" t="s">
        <v>195</v>
      </c>
      <c r="AD68" s="55" t="s">
        <v>196</v>
      </c>
      <c r="AE68" s="57" t="s">
        <v>197</v>
      </c>
      <c r="AF68" s="55" t="s">
        <v>198</v>
      </c>
      <c r="AG68" s="61"/>
    </row>
    <row r="69" spans="1:33" ht="12.75" x14ac:dyDescent="0.2">
      <c r="A69" s="55" t="s">
        <v>199</v>
      </c>
      <c r="B69" s="62">
        <v>0.05</v>
      </c>
      <c r="C69" s="62">
        <v>0.1</v>
      </c>
      <c r="D69" s="62">
        <v>0.2</v>
      </c>
      <c r="E69" s="62">
        <v>0.5</v>
      </c>
      <c r="F69" s="62">
        <v>1</v>
      </c>
      <c r="G69" s="62">
        <v>2</v>
      </c>
      <c r="H69" s="62">
        <v>5</v>
      </c>
      <c r="I69" s="62">
        <v>10</v>
      </c>
      <c r="K69" s="56"/>
      <c r="L69" s="55" t="s">
        <v>199</v>
      </c>
      <c r="M69" s="62">
        <v>0.05</v>
      </c>
      <c r="N69" s="62">
        <v>0.1</v>
      </c>
      <c r="O69" s="62">
        <v>0.2</v>
      </c>
      <c r="P69" s="62">
        <v>0.5</v>
      </c>
      <c r="Q69" s="62">
        <v>1</v>
      </c>
      <c r="R69" s="62">
        <v>2</v>
      </c>
      <c r="S69" s="62">
        <v>5</v>
      </c>
      <c r="T69" s="62">
        <v>10</v>
      </c>
      <c r="U69" s="62">
        <v>20</v>
      </c>
      <c r="V69" s="62">
        <v>50</v>
      </c>
      <c r="W69" s="54"/>
      <c r="X69" s="54"/>
      <c r="Y69" s="63"/>
      <c r="Z69" s="63"/>
      <c r="AA69" s="64"/>
      <c r="AB69" s="54"/>
      <c r="AC69" s="54"/>
      <c r="AD69" s="54"/>
      <c r="AE69" s="54"/>
      <c r="AF69" s="54"/>
    </row>
    <row r="70" spans="1:33" ht="12.75" x14ac:dyDescent="0.2">
      <c r="A70" s="55" t="s">
        <v>200</v>
      </c>
      <c r="B70" s="38">
        <v>75</v>
      </c>
      <c r="C70" s="65">
        <v>30</v>
      </c>
      <c r="D70" s="65">
        <v>15</v>
      </c>
      <c r="E70" s="65">
        <v>15</v>
      </c>
      <c r="F70" s="65">
        <v>5</v>
      </c>
      <c r="G70" s="65">
        <v>4</v>
      </c>
      <c r="H70" s="65">
        <v>2</v>
      </c>
      <c r="I70" s="65">
        <v>2</v>
      </c>
      <c r="J70" s="54"/>
      <c r="K70" s="56"/>
      <c r="L70" s="55" t="s">
        <v>200</v>
      </c>
      <c r="M70" s="38">
        <v>54</v>
      </c>
      <c r="N70" s="65">
        <v>28</v>
      </c>
      <c r="O70" s="65">
        <v>1</v>
      </c>
      <c r="P70" s="65">
        <v>21</v>
      </c>
      <c r="Q70" s="65">
        <v>20</v>
      </c>
      <c r="R70" s="65">
        <v>17</v>
      </c>
      <c r="S70" s="65">
        <v>10</v>
      </c>
      <c r="T70" s="65">
        <v>7</v>
      </c>
      <c r="U70" s="65">
        <v>6</v>
      </c>
      <c r="V70" s="65"/>
      <c r="W70" s="65"/>
      <c r="X70" s="54"/>
      <c r="Y70" s="63"/>
      <c r="Z70" s="63"/>
      <c r="AA70" s="64"/>
      <c r="AB70" s="54"/>
      <c r="AC70" s="54"/>
      <c r="AD70" s="54"/>
      <c r="AE70" s="54"/>
      <c r="AF70" s="54"/>
    </row>
    <row r="71" spans="1:33" ht="12.75" x14ac:dyDescent="0.2">
      <c r="A71" s="55" t="s">
        <v>141</v>
      </c>
      <c r="B71" s="65">
        <f t="shared" ref="B71:I71" si="23">B70*B69</f>
        <v>3.75</v>
      </c>
      <c r="C71" s="65">
        <f t="shared" si="23"/>
        <v>3</v>
      </c>
      <c r="D71" s="65">
        <f t="shared" si="23"/>
        <v>3</v>
      </c>
      <c r="E71" s="65">
        <f t="shared" si="23"/>
        <v>7.5</v>
      </c>
      <c r="F71" s="65">
        <f t="shared" si="23"/>
        <v>5</v>
      </c>
      <c r="G71" s="65">
        <f t="shared" si="23"/>
        <v>8</v>
      </c>
      <c r="H71" s="65">
        <f t="shared" si="23"/>
        <v>10</v>
      </c>
      <c r="I71" s="65">
        <f t="shared" si="23"/>
        <v>20</v>
      </c>
      <c r="J71" s="54">
        <f>SUM(B71:I71)</f>
        <v>60.25</v>
      </c>
      <c r="K71" s="56"/>
      <c r="L71" s="55" t="s">
        <v>141</v>
      </c>
      <c r="M71" s="70">
        <f t="shared" ref="M71:V71" si="24">M70*M69</f>
        <v>2.7</v>
      </c>
      <c r="N71" s="70">
        <f t="shared" si="24"/>
        <v>2.8000000000000003</v>
      </c>
      <c r="O71" s="70">
        <f t="shared" si="24"/>
        <v>0.2</v>
      </c>
      <c r="P71" s="70">
        <f t="shared" si="24"/>
        <v>10.5</v>
      </c>
      <c r="Q71" s="70">
        <f t="shared" si="24"/>
        <v>20</v>
      </c>
      <c r="R71" s="70">
        <f t="shared" si="24"/>
        <v>34</v>
      </c>
      <c r="S71" s="70">
        <f t="shared" si="24"/>
        <v>50</v>
      </c>
      <c r="T71" s="70">
        <f t="shared" si="24"/>
        <v>70</v>
      </c>
      <c r="U71" s="70">
        <f t="shared" si="24"/>
        <v>120</v>
      </c>
      <c r="V71" s="70">
        <f t="shared" si="24"/>
        <v>0</v>
      </c>
      <c r="W71" s="54">
        <f>SUM(M71:V71)</f>
        <v>310.2</v>
      </c>
      <c r="X71" s="55">
        <f>W71-J71</f>
        <v>249.95</v>
      </c>
      <c r="Y71" s="63">
        <v>82.1</v>
      </c>
      <c r="Z71" s="63">
        <v>51.9</v>
      </c>
      <c r="AA71" s="66">
        <f>X71+Z71</f>
        <v>301.84999999999997</v>
      </c>
      <c r="AB71" s="55">
        <f>SUM(Y71+Z71)*0.3</f>
        <v>40.199999999999996</v>
      </c>
      <c r="AC71" s="55">
        <f>Y71-AB71</f>
        <v>41.9</v>
      </c>
      <c r="AD71" s="55">
        <f>X71-Y71</f>
        <v>167.85</v>
      </c>
      <c r="AE71" s="55">
        <f>AD71*0.2</f>
        <v>33.57</v>
      </c>
      <c r="AF71" s="55">
        <f>AD71-AE71</f>
        <v>134.28</v>
      </c>
      <c r="AG71" s="61"/>
    </row>
    <row r="72" spans="1:33" ht="12.75" x14ac:dyDescent="0.2">
      <c r="AF72" s="38">
        <v>-34.28</v>
      </c>
    </row>
    <row r="74" spans="1:33" ht="51" x14ac:dyDescent="0.2">
      <c r="A74" s="52" t="s">
        <v>135</v>
      </c>
      <c r="B74" s="53">
        <v>45610</v>
      </c>
      <c r="C74" s="54"/>
      <c r="D74" s="54"/>
      <c r="E74" s="54"/>
      <c r="F74" s="54"/>
      <c r="G74" s="54"/>
      <c r="H74" s="54"/>
      <c r="I74" s="54"/>
      <c r="J74" s="55" t="s">
        <v>141</v>
      </c>
      <c r="K74" s="56"/>
      <c r="L74" s="52" t="s">
        <v>136</v>
      </c>
      <c r="M74" s="53">
        <v>45610</v>
      </c>
      <c r="N74" s="54"/>
      <c r="O74" s="54"/>
      <c r="P74" s="54"/>
      <c r="Q74" s="54"/>
      <c r="R74" s="54"/>
      <c r="S74" s="54"/>
      <c r="T74" s="54"/>
      <c r="U74" s="54"/>
      <c r="V74" s="54"/>
      <c r="W74" s="55" t="s">
        <v>141</v>
      </c>
      <c r="X74" s="57" t="s">
        <v>192</v>
      </c>
      <c r="Y74" s="58" t="s">
        <v>142</v>
      </c>
      <c r="Z74" s="59" t="s">
        <v>193</v>
      </c>
      <c r="AA74" s="60" t="s">
        <v>194</v>
      </c>
      <c r="AB74" s="57" t="s">
        <v>165</v>
      </c>
      <c r="AC74" s="55" t="s">
        <v>195</v>
      </c>
      <c r="AD74" s="55" t="s">
        <v>196</v>
      </c>
      <c r="AE74" s="57" t="s">
        <v>197</v>
      </c>
      <c r="AF74" s="55" t="s">
        <v>198</v>
      </c>
      <c r="AG74" s="61"/>
    </row>
    <row r="75" spans="1:33" ht="12.75" x14ac:dyDescent="0.2">
      <c r="A75" s="55" t="s">
        <v>199</v>
      </c>
      <c r="B75" s="62">
        <v>0.05</v>
      </c>
      <c r="C75" s="62">
        <v>0.1</v>
      </c>
      <c r="D75" s="62">
        <v>0.2</v>
      </c>
      <c r="E75" s="62">
        <v>0.5</v>
      </c>
      <c r="F75" s="62">
        <v>1</v>
      </c>
      <c r="G75" s="62">
        <v>2</v>
      </c>
      <c r="H75" s="62">
        <v>5</v>
      </c>
      <c r="I75" s="62">
        <v>10</v>
      </c>
      <c r="K75" s="56"/>
      <c r="L75" s="55" t="s">
        <v>199</v>
      </c>
      <c r="M75" s="62">
        <v>0.05</v>
      </c>
      <c r="N75" s="62">
        <v>0.1</v>
      </c>
      <c r="O75" s="62">
        <v>0.2</v>
      </c>
      <c r="P75" s="62">
        <v>0.5</v>
      </c>
      <c r="Q75" s="62">
        <v>1</v>
      </c>
      <c r="R75" s="62">
        <v>2</v>
      </c>
      <c r="S75" s="62">
        <v>5</v>
      </c>
      <c r="T75" s="62">
        <v>10</v>
      </c>
      <c r="U75" s="62">
        <v>20</v>
      </c>
      <c r="V75" s="62">
        <v>50</v>
      </c>
      <c r="W75" s="54"/>
      <c r="X75" s="54"/>
      <c r="Y75" s="63"/>
      <c r="Z75" s="63"/>
      <c r="AA75" s="64"/>
      <c r="AB75" s="54"/>
      <c r="AC75" s="54"/>
      <c r="AD75" s="54"/>
      <c r="AE75" s="54"/>
      <c r="AF75" s="54"/>
    </row>
    <row r="76" spans="1:33" ht="12.75" x14ac:dyDescent="0.2">
      <c r="A76" s="55" t="s">
        <v>200</v>
      </c>
      <c r="B76" s="38">
        <v>54</v>
      </c>
      <c r="C76" s="65">
        <v>28</v>
      </c>
      <c r="D76" s="65">
        <v>12</v>
      </c>
      <c r="E76" s="65">
        <v>21</v>
      </c>
      <c r="F76" s="65">
        <v>8</v>
      </c>
      <c r="G76" s="65">
        <v>10</v>
      </c>
      <c r="H76" s="65">
        <v>2</v>
      </c>
      <c r="I76" s="65">
        <v>1</v>
      </c>
      <c r="J76" s="54"/>
      <c r="K76" s="56"/>
      <c r="L76" s="55" t="s">
        <v>200</v>
      </c>
      <c r="M76" s="38">
        <v>66</v>
      </c>
      <c r="N76" s="65">
        <v>37</v>
      </c>
      <c r="O76" s="65">
        <v>10</v>
      </c>
      <c r="P76" s="65">
        <v>13</v>
      </c>
      <c r="Q76" s="65">
        <v>16</v>
      </c>
      <c r="R76" s="65">
        <v>7</v>
      </c>
      <c r="S76" s="65">
        <v>4</v>
      </c>
      <c r="T76" s="65">
        <v>2</v>
      </c>
      <c r="U76" s="65">
        <v>11</v>
      </c>
      <c r="V76" s="65"/>
      <c r="W76" s="65"/>
      <c r="X76" s="54"/>
      <c r="Y76" s="63"/>
      <c r="Z76" s="63"/>
      <c r="AA76" s="64"/>
      <c r="AB76" s="54"/>
      <c r="AC76" s="54"/>
      <c r="AD76" s="54"/>
      <c r="AE76" s="54"/>
      <c r="AF76" s="54"/>
    </row>
    <row r="77" spans="1:33" ht="12.75" x14ac:dyDescent="0.2">
      <c r="A77" s="55" t="s">
        <v>141</v>
      </c>
      <c r="B77" s="65">
        <f t="shared" ref="B77:I77" si="25">B76*B75</f>
        <v>2.7</v>
      </c>
      <c r="C77" s="65">
        <f t="shared" si="25"/>
        <v>2.8000000000000003</v>
      </c>
      <c r="D77" s="65">
        <f t="shared" si="25"/>
        <v>2.4000000000000004</v>
      </c>
      <c r="E77" s="65">
        <f t="shared" si="25"/>
        <v>10.5</v>
      </c>
      <c r="F77" s="65">
        <f t="shared" si="25"/>
        <v>8</v>
      </c>
      <c r="G77" s="65">
        <f t="shared" si="25"/>
        <v>20</v>
      </c>
      <c r="H77" s="65">
        <f t="shared" si="25"/>
        <v>10</v>
      </c>
      <c r="I77" s="65">
        <f t="shared" si="25"/>
        <v>10</v>
      </c>
      <c r="J77" s="54">
        <f>SUM(B77:I77)</f>
        <v>66.400000000000006</v>
      </c>
      <c r="K77" s="56"/>
      <c r="L77" s="55" t="s">
        <v>141</v>
      </c>
      <c r="M77" s="70">
        <f t="shared" ref="M77:V77" si="26">M76*M75</f>
        <v>3.3000000000000003</v>
      </c>
      <c r="N77" s="70">
        <f t="shared" si="26"/>
        <v>3.7</v>
      </c>
      <c r="O77" s="70">
        <f t="shared" si="26"/>
        <v>2</v>
      </c>
      <c r="P77" s="70">
        <f t="shared" si="26"/>
        <v>6.5</v>
      </c>
      <c r="Q77" s="70">
        <f t="shared" si="26"/>
        <v>16</v>
      </c>
      <c r="R77" s="70">
        <f t="shared" si="26"/>
        <v>14</v>
      </c>
      <c r="S77" s="70">
        <f t="shared" si="26"/>
        <v>20</v>
      </c>
      <c r="T77" s="70">
        <f t="shared" si="26"/>
        <v>20</v>
      </c>
      <c r="U77" s="70">
        <f t="shared" si="26"/>
        <v>220</v>
      </c>
      <c r="V77" s="70">
        <f t="shared" si="26"/>
        <v>0</v>
      </c>
      <c r="W77" s="54">
        <f>SUM(M77:V77)</f>
        <v>305.5</v>
      </c>
      <c r="X77" s="55">
        <f>W77-J77</f>
        <v>239.1</v>
      </c>
      <c r="Y77" s="63">
        <v>116.1</v>
      </c>
      <c r="Z77" s="63">
        <v>63.5</v>
      </c>
      <c r="AA77" s="66">
        <f>X77+Z77</f>
        <v>302.60000000000002</v>
      </c>
      <c r="AB77" s="55">
        <f>SUM(Y77+Z77)*0.2</f>
        <v>35.92</v>
      </c>
      <c r="AC77" s="55">
        <f>Y77-AB77</f>
        <v>80.179999999999993</v>
      </c>
      <c r="AD77" s="55">
        <f>X77-Y77</f>
        <v>123</v>
      </c>
      <c r="AE77" s="55">
        <f>AD77*0.2</f>
        <v>24.6</v>
      </c>
      <c r="AF77" s="55">
        <f>AD77-AE77</f>
        <v>98.4</v>
      </c>
      <c r="AG77" s="61"/>
    </row>
    <row r="78" spans="1:33" ht="12.75" x14ac:dyDescent="0.2">
      <c r="AF78" s="38">
        <v>-98</v>
      </c>
      <c r="AG78" s="38" t="s">
        <v>218</v>
      </c>
    </row>
    <row r="80" spans="1:33" ht="51" x14ac:dyDescent="0.2">
      <c r="A80" s="52" t="s">
        <v>135</v>
      </c>
      <c r="B80" s="53">
        <v>45611</v>
      </c>
      <c r="C80" s="54"/>
      <c r="D80" s="54"/>
      <c r="E80" s="54"/>
      <c r="F80" s="54"/>
      <c r="G80" s="54"/>
      <c r="H80" s="54"/>
      <c r="I80" s="54"/>
      <c r="J80" s="55" t="s">
        <v>141</v>
      </c>
      <c r="K80" s="56"/>
      <c r="L80" s="52" t="s">
        <v>136</v>
      </c>
      <c r="M80" s="53">
        <v>45611</v>
      </c>
      <c r="N80" s="54"/>
      <c r="O80" s="54"/>
      <c r="P80" s="54"/>
      <c r="Q80" s="54"/>
      <c r="R80" s="54"/>
      <c r="S80" s="54"/>
      <c r="T80" s="54"/>
      <c r="U80" s="54"/>
      <c r="V80" s="54"/>
      <c r="W80" s="55" t="s">
        <v>141</v>
      </c>
      <c r="X80" s="57" t="s">
        <v>192</v>
      </c>
      <c r="Y80" s="58" t="s">
        <v>142</v>
      </c>
      <c r="Z80" s="59" t="s">
        <v>193</v>
      </c>
      <c r="AA80" s="60" t="s">
        <v>194</v>
      </c>
      <c r="AB80" s="57" t="s">
        <v>165</v>
      </c>
      <c r="AC80" s="55" t="s">
        <v>195</v>
      </c>
      <c r="AD80" s="55" t="s">
        <v>196</v>
      </c>
      <c r="AE80" s="57" t="s">
        <v>197</v>
      </c>
      <c r="AF80" s="55" t="s">
        <v>198</v>
      </c>
      <c r="AG80" s="61"/>
    </row>
    <row r="81" spans="1:33" ht="12.75" x14ac:dyDescent="0.2">
      <c r="A81" s="55" t="s">
        <v>199</v>
      </c>
      <c r="B81" s="62">
        <v>0.05</v>
      </c>
      <c r="C81" s="62">
        <v>0.1</v>
      </c>
      <c r="D81" s="62">
        <v>0.2</v>
      </c>
      <c r="E81" s="62">
        <v>0.5</v>
      </c>
      <c r="F81" s="62">
        <v>1</v>
      </c>
      <c r="G81" s="62">
        <v>2</v>
      </c>
      <c r="H81" s="62">
        <v>5</v>
      </c>
      <c r="I81" s="62">
        <v>10</v>
      </c>
      <c r="K81" s="56"/>
      <c r="L81" s="55" t="s">
        <v>199</v>
      </c>
      <c r="M81" s="62">
        <v>0.05</v>
      </c>
      <c r="N81" s="62">
        <v>0.1</v>
      </c>
      <c r="O81" s="62">
        <v>0.2</v>
      </c>
      <c r="P81" s="62">
        <v>0.5</v>
      </c>
      <c r="Q81" s="62">
        <v>1</v>
      </c>
      <c r="R81" s="62">
        <v>2</v>
      </c>
      <c r="S81" s="62">
        <v>5</v>
      </c>
      <c r="T81" s="62">
        <v>10</v>
      </c>
      <c r="U81" s="62">
        <v>20</v>
      </c>
      <c r="V81" s="62">
        <v>50</v>
      </c>
      <c r="W81" s="54"/>
      <c r="X81" s="54"/>
      <c r="Y81" s="63"/>
      <c r="Z81" s="63"/>
      <c r="AA81" s="64"/>
      <c r="AB81" s="54"/>
      <c r="AC81" s="54"/>
      <c r="AD81" s="54"/>
      <c r="AE81" s="54"/>
      <c r="AF81" s="54"/>
    </row>
    <row r="82" spans="1:33" ht="12.75" x14ac:dyDescent="0.2">
      <c r="A82" s="55" t="s">
        <v>200</v>
      </c>
      <c r="B82" s="38">
        <v>66</v>
      </c>
      <c r="C82" s="65">
        <v>37</v>
      </c>
      <c r="D82" s="65">
        <v>10</v>
      </c>
      <c r="E82" s="65">
        <v>13</v>
      </c>
      <c r="F82" s="65">
        <v>16</v>
      </c>
      <c r="G82" s="65">
        <v>7</v>
      </c>
      <c r="H82" s="65">
        <v>2</v>
      </c>
      <c r="I82" s="65">
        <v>1</v>
      </c>
      <c r="J82" s="54"/>
      <c r="K82" s="56"/>
      <c r="L82" s="55" t="s">
        <v>200</v>
      </c>
      <c r="M82" s="38">
        <v>65</v>
      </c>
      <c r="N82" s="65">
        <v>21</v>
      </c>
      <c r="O82" s="65">
        <v>18</v>
      </c>
      <c r="P82" s="65">
        <v>16</v>
      </c>
      <c r="Q82" s="65">
        <v>27</v>
      </c>
      <c r="R82" s="65">
        <v>5</v>
      </c>
      <c r="S82" s="65">
        <v>16</v>
      </c>
      <c r="T82" s="65">
        <v>4</v>
      </c>
      <c r="U82" s="65">
        <v>6</v>
      </c>
      <c r="V82" s="65">
        <v>1</v>
      </c>
      <c r="W82" s="65"/>
      <c r="X82" s="54"/>
      <c r="Y82" s="63"/>
      <c r="Z82" s="63"/>
      <c r="AA82" s="64"/>
      <c r="AB82" s="54"/>
      <c r="AC82" s="54"/>
      <c r="AD82" s="54"/>
      <c r="AE82" s="54"/>
      <c r="AF82" s="54"/>
    </row>
    <row r="83" spans="1:33" ht="12.75" x14ac:dyDescent="0.2">
      <c r="A83" s="55" t="s">
        <v>141</v>
      </c>
      <c r="B83" s="65">
        <f t="shared" ref="B83:I83" si="27">B82*B81</f>
        <v>3.3000000000000003</v>
      </c>
      <c r="C83" s="65">
        <f t="shared" si="27"/>
        <v>3.7</v>
      </c>
      <c r="D83" s="65">
        <f t="shared" si="27"/>
        <v>2</v>
      </c>
      <c r="E83" s="65">
        <f t="shared" si="27"/>
        <v>6.5</v>
      </c>
      <c r="F83" s="65">
        <f t="shared" si="27"/>
        <v>16</v>
      </c>
      <c r="G83" s="65">
        <f t="shared" si="27"/>
        <v>14</v>
      </c>
      <c r="H83" s="65">
        <f t="shared" si="27"/>
        <v>10</v>
      </c>
      <c r="I83" s="65">
        <f t="shared" si="27"/>
        <v>10</v>
      </c>
      <c r="J83" s="54">
        <f>SUM(B83:I83)</f>
        <v>65.5</v>
      </c>
      <c r="K83" s="56"/>
      <c r="L83" s="55" t="s">
        <v>141</v>
      </c>
      <c r="M83" s="70">
        <f t="shared" ref="M83:V83" si="28">M82*M81</f>
        <v>3.25</v>
      </c>
      <c r="N83" s="70">
        <f t="shared" si="28"/>
        <v>2.1</v>
      </c>
      <c r="O83" s="70">
        <f t="shared" si="28"/>
        <v>3.6</v>
      </c>
      <c r="P83" s="70">
        <f t="shared" si="28"/>
        <v>8</v>
      </c>
      <c r="Q83" s="70">
        <f t="shared" si="28"/>
        <v>27</v>
      </c>
      <c r="R83" s="70">
        <f t="shared" si="28"/>
        <v>10</v>
      </c>
      <c r="S83" s="70">
        <f t="shared" si="28"/>
        <v>80</v>
      </c>
      <c r="T83" s="70">
        <f t="shared" si="28"/>
        <v>40</v>
      </c>
      <c r="U83" s="70">
        <f t="shared" si="28"/>
        <v>120</v>
      </c>
      <c r="V83" s="70">
        <f t="shared" si="28"/>
        <v>50</v>
      </c>
      <c r="W83" s="54">
        <f>SUM(M83:V83)</f>
        <v>343.95</v>
      </c>
      <c r="X83" s="55">
        <f>W83-J83</f>
        <v>278.45</v>
      </c>
      <c r="Y83" s="63">
        <v>91.6</v>
      </c>
      <c r="Z83" s="63">
        <v>41.3</v>
      </c>
      <c r="AA83" s="66">
        <f>X83+Z83</f>
        <v>319.75</v>
      </c>
      <c r="AB83" s="55">
        <v>50</v>
      </c>
      <c r="AC83" s="55">
        <f>Y83-AB83</f>
        <v>41.599999999999994</v>
      </c>
      <c r="AD83" s="55">
        <f>X83-Y83</f>
        <v>186.85</v>
      </c>
      <c r="AE83" s="55">
        <v>50</v>
      </c>
      <c r="AF83" s="55">
        <f>AD83-AE83</f>
        <v>136.85</v>
      </c>
      <c r="AG83" s="61"/>
    </row>
    <row r="86" spans="1:33" ht="51" x14ac:dyDescent="0.2">
      <c r="A86" s="52" t="s">
        <v>135</v>
      </c>
      <c r="B86" s="53">
        <v>45612</v>
      </c>
      <c r="C86" s="54"/>
      <c r="D86" s="54"/>
      <c r="E86" s="54"/>
      <c r="F86" s="54"/>
      <c r="G86" s="54"/>
      <c r="H86" s="54"/>
      <c r="I86" s="54"/>
      <c r="J86" s="55" t="s">
        <v>141</v>
      </c>
      <c r="K86" s="56"/>
      <c r="L86" s="52" t="s">
        <v>136</v>
      </c>
      <c r="M86" s="53">
        <v>45612</v>
      </c>
      <c r="N86" s="54"/>
      <c r="O86" s="54"/>
      <c r="P86" s="54"/>
      <c r="Q86" s="54"/>
      <c r="R86" s="54"/>
      <c r="S86" s="54"/>
      <c r="T86" s="54"/>
      <c r="U86" s="54"/>
      <c r="V86" s="54"/>
      <c r="W86" s="55" t="s">
        <v>141</v>
      </c>
      <c r="X86" s="57" t="s">
        <v>192</v>
      </c>
      <c r="Y86" s="58" t="s">
        <v>142</v>
      </c>
      <c r="Z86" s="59" t="s">
        <v>193</v>
      </c>
      <c r="AA86" s="60" t="s">
        <v>194</v>
      </c>
      <c r="AB86" s="57" t="s">
        <v>165</v>
      </c>
      <c r="AC86" s="55" t="s">
        <v>195</v>
      </c>
      <c r="AD86" s="55" t="s">
        <v>196</v>
      </c>
      <c r="AE86" s="57" t="s">
        <v>197</v>
      </c>
      <c r="AF86" s="55" t="s">
        <v>198</v>
      </c>
      <c r="AG86" s="61"/>
    </row>
    <row r="87" spans="1:33" ht="12.75" x14ac:dyDescent="0.2">
      <c r="A87" s="55" t="s">
        <v>199</v>
      </c>
      <c r="B87" s="62">
        <v>0.05</v>
      </c>
      <c r="C87" s="62">
        <v>0.1</v>
      </c>
      <c r="D87" s="62">
        <v>0.2</v>
      </c>
      <c r="E87" s="62">
        <v>0.5</v>
      </c>
      <c r="F87" s="62">
        <v>1</v>
      </c>
      <c r="G87" s="62">
        <v>2</v>
      </c>
      <c r="H87" s="62">
        <v>5</v>
      </c>
      <c r="I87" s="62">
        <v>10</v>
      </c>
      <c r="K87" s="56"/>
      <c r="L87" s="55" t="s">
        <v>199</v>
      </c>
      <c r="M87" s="62">
        <v>0.05</v>
      </c>
      <c r="N87" s="62">
        <v>0.1</v>
      </c>
      <c r="O87" s="62">
        <v>0.2</v>
      </c>
      <c r="P87" s="62">
        <v>0.5</v>
      </c>
      <c r="Q87" s="62">
        <v>1</v>
      </c>
      <c r="R87" s="62">
        <v>2</v>
      </c>
      <c r="S87" s="62">
        <v>5</v>
      </c>
      <c r="T87" s="62">
        <v>10</v>
      </c>
      <c r="U87" s="62">
        <v>20</v>
      </c>
      <c r="V87" s="62">
        <v>50</v>
      </c>
      <c r="W87" s="54"/>
      <c r="X87" s="54"/>
      <c r="Y87" s="63"/>
      <c r="Z87" s="63"/>
      <c r="AA87" s="64"/>
      <c r="AB87" s="54"/>
      <c r="AC87" s="54"/>
      <c r="AD87" s="54"/>
      <c r="AE87" s="54"/>
      <c r="AF87" s="54"/>
    </row>
    <row r="88" spans="1:33" ht="12.75" x14ac:dyDescent="0.2">
      <c r="A88" s="55" t="s">
        <v>200</v>
      </c>
      <c r="B88" s="38">
        <v>65</v>
      </c>
      <c r="C88" s="65">
        <v>21</v>
      </c>
      <c r="D88" s="65">
        <v>18</v>
      </c>
      <c r="E88" s="65">
        <v>16</v>
      </c>
      <c r="F88" s="65">
        <v>27</v>
      </c>
      <c r="G88" s="65">
        <v>5</v>
      </c>
      <c r="H88" s="65">
        <v>2</v>
      </c>
      <c r="I88" s="65"/>
      <c r="J88" s="54"/>
      <c r="K88" s="56"/>
      <c r="L88" s="55" t="s">
        <v>200</v>
      </c>
      <c r="M88" s="38">
        <v>62</v>
      </c>
      <c r="N88" s="65">
        <v>28</v>
      </c>
      <c r="O88" s="65">
        <v>12</v>
      </c>
      <c r="P88" s="65">
        <v>15</v>
      </c>
      <c r="Q88" s="65">
        <v>17</v>
      </c>
      <c r="R88" s="65">
        <v>4</v>
      </c>
      <c r="S88" s="65">
        <v>2</v>
      </c>
      <c r="T88" s="65">
        <v>7</v>
      </c>
      <c r="U88" s="65">
        <v>7</v>
      </c>
      <c r="V88" s="65">
        <v>6</v>
      </c>
      <c r="W88" s="65"/>
      <c r="X88" s="54"/>
      <c r="Y88" s="63"/>
      <c r="Z88" s="63"/>
      <c r="AA88" s="64"/>
      <c r="AB88" s="54"/>
      <c r="AC88" s="54"/>
      <c r="AD88" s="54"/>
      <c r="AE88" s="54"/>
      <c r="AF88" s="54"/>
    </row>
    <row r="89" spans="1:33" ht="12.75" x14ac:dyDescent="0.2">
      <c r="A89" s="55" t="s">
        <v>141</v>
      </c>
      <c r="B89" s="65">
        <f t="shared" ref="B89:I89" si="29">B88*B87</f>
        <v>3.25</v>
      </c>
      <c r="C89" s="65">
        <f t="shared" si="29"/>
        <v>2.1</v>
      </c>
      <c r="D89" s="65">
        <f t="shared" si="29"/>
        <v>3.6</v>
      </c>
      <c r="E89" s="65">
        <f t="shared" si="29"/>
        <v>8</v>
      </c>
      <c r="F89" s="65">
        <f t="shared" si="29"/>
        <v>27</v>
      </c>
      <c r="G89" s="65">
        <f t="shared" si="29"/>
        <v>10</v>
      </c>
      <c r="H89" s="65">
        <f t="shared" si="29"/>
        <v>10</v>
      </c>
      <c r="I89" s="65">
        <f t="shared" si="29"/>
        <v>0</v>
      </c>
      <c r="J89" s="54">
        <f>SUM(B89:I89)</f>
        <v>63.95</v>
      </c>
      <c r="K89" s="56"/>
      <c r="L89" s="55" t="s">
        <v>141</v>
      </c>
      <c r="M89" s="70">
        <f t="shared" ref="M89:V89" si="30">M88*M87</f>
        <v>3.1</v>
      </c>
      <c r="N89" s="70">
        <f t="shared" si="30"/>
        <v>2.8000000000000003</v>
      </c>
      <c r="O89" s="70">
        <f t="shared" si="30"/>
        <v>2.4000000000000004</v>
      </c>
      <c r="P89" s="70">
        <f t="shared" si="30"/>
        <v>7.5</v>
      </c>
      <c r="Q89" s="70">
        <f t="shared" si="30"/>
        <v>17</v>
      </c>
      <c r="R89" s="70">
        <f t="shared" si="30"/>
        <v>8</v>
      </c>
      <c r="S89" s="70">
        <f t="shared" si="30"/>
        <v>10</v>
      </c>
      <c r="T89" s="70">
        <f t="shared" si="30"/>
        <v>70</v>
      </c>
      <c r="U89" s="70">
        <f t="shared" si="30"/>
        <v>140</v>
      </c>
      <c r="V89" s="70">
        <f t="shared" si="30"/>
        <v>300</v>
      </c>
      <c r="W89" s="54">
        <f>SUM(M89:V89)</f>
        <v>560.79999999999995</v>
      </c>
      <c r="X89" s="55">
        <f>W89-J89</f>
        <v>496.84999999999997</v>
      </c>
      <c r="Y89" s="63">
        <v>336.3</v>
      </c>
      <c r="Z89" s="63">
        <v>261</v>
      </c>
      <c r="AA89" s="66">
        <f>X89+Z89</f>
        <v>757.84999999999991</v>
      </c>
      <c r="AB89" s="55">
        <v>200</v>
      </c>
      <c r="AC89" s="55">
        <f>Y89-AB89</f>
        <v>136.30000000000001</v>
      </c>
      <c r="AD89" s="55">
        <f>X89-Y89</f>
        <v>160.54999999999995</v>
      </c>
      <c r="AE89" s="55">
        <v>50</v>
      </c>
      <c r="AF89" s="55">
        <f>AD89-AE89</f>
        <v>110.54999999999995</v>
      </c>
      <c r="AG89" s="61"/>
    </row>
    <row r="90" spans="1:33" ht="12.75" x14ac:dyDescent="0.2">
      <c r="AC90" s="38">
        <v>-20</v>
      </c>
    </row>
    <row r="92" spans="1:33" ht="51" x14ac:dyDescent="0.2">
      <c r="A92" s="52" t="s">
        <v>135</v>
      </c>
      <c r="B92" s="53">
        <v>45613</v>
      </c>
      <c r="C92" s="54"/>
      <c r="D92" s="54"/>
      <c r="E92" s="54"/>
      <c r="F92" s="54"/>
      <c r="G92" s="54"/>
      <c r="H92" s="54"/>
      <c r="I92" s="54"/>
      <c r="J92" s="55" t="s">
        <v>141</v>
      </c>
      <c r="K92" s="56"/>
      <c r="L92" s="52" t="s">
        <v>136</v>
      </c>
      <c r="M92" s="53">
        <v>45613</v>
      </c>
      <c r="N92" s="54"/>
      <c r="O92" s="54"/>
      <c r="P92" s="54"/>
      <c r="Q92" s="54"/>
      <c r="R92" s="54"/>
      <c r="S92" s="54"/>
      <c r="T92" s="54"/>
      <c r="U92" s="54"/>
      <c r="V92" s="54"/>
      <c r="W92" s="55" t="s">
        <v>141</v>
      </c>
      <c r="X92" s="57" t="s">
        <v>192</v>
      </c>
      <c r="Y92" s="58" t="s">
        <v>142</v>
      </c>
      <c r="Z92" s="59" t="s">
        <v>193</v>
      </c>
      <c r="AA92" s="60" t="s">
        <v>194</v>
      </c>
      <c r="AB92" s="57" t="s">
        <v>165</v>
      </c>
      <c r="AC92" s="55" t="s">
        <v>195</v>
      </c>
      <c r="AD92" s="55" t="s">
        <v>196</v>
      </c>
      <c r="AE92" s="57" t="s">
        <v>197</v>
      </c>
      <c r="AF92" s="55" t="s">
        <v>198</v>
      </c>
      <c r="AG92" s="61"/>
    </row>
    <row r="93" spans="1:33" ht="12.75" x14ac:dyDescent="0.2">
      <c r="A93" s="55" t="s">
        <v>199</v>
      </c>
      <c r="B93" s="62">
        <v>0.05</v>
      </c>
      <c r="C93" s="62">
        <v>0.1</v>
      </c>
      <c r="D93" s="62">
        <v>0.2</v>
      </c>
      <c r="E93" s="62">
        <v>0.5</v>
      </c>
      <c r="F93" s="62">
        <v>1</v>
      </c>
      <c r="G93" s="62">
        <v>2</v>
      </c>
      <c r="H93" s="62">
        <v>5</v>
      </c>
      <c r="I93" s="62">
        <v>10</v>
      </c>
      <c r="K93" s="56"/>
      <c r="L93" s="55" t="s">
        <v>199</v>
      </c>
      <c r="M93" s="62">
        <v>0.05</v>
      </c>
      <c r="N93" s="62">
        <v>0.1</v>
      </c>
      <c r="O93" s="62">
        <v>0.2</v>
      </c>
      <c r="P93" s="62">
        <v>0.5</v>
      </c>
      <c r="Q93" s="62">
        <v>1</v>
      </c>
      <c r="R93" s="62">
        <v>2</v>
      </c>
      <c r="S93" s="62">
        <v>5</v>
      </c>
      <c r="T93" s="62">
        <v>10</v>
      </c>
      <c r="U93" s="62">
        <v>20</v>
      </c>
      <c r="V93" s="62">
        <v>50</v>
      </c>
      <c r="W93" s="54"/>
      <c r="X93" s="54"/>
      <c r="Y93" s="63"/>
      <c r="Z93" s="63"/>
      <c r="AA93" s="64"/>
      <c r="AB93" s="54"/>
      <c r="AC93" s="54"/>
      <c r="AD93" s="54"/>
      <c r="AE93" s="54"/>
      <c r="AF93" s="54"/>
    </row>
    <row r="94" spans="1:33" ht="12.75" x14ac:dyDescent="0.2">
      <c r="A94" s="55" t="s">
        <v>200</v>
      </c>
      <c r="B94" s="38">
        <v>62</v>
      </c>
      <c r="C94" s="65">
        <v>28</v>
      </c>
      <c r="D94" s="65">
        <v>12</v>
      </c>
      <c r="E94" s="65">
        <v>15</v>
      </c>
      <c r="F94" s="65">
        <v>16</v>
      </c>
      <c r="G94" s="65">
        <v>4</v>
      </c>
      <c r="H94" s="65">
        <v>2</v>
      </c>
      <c r="I94" s="65">
        <v>1</v>
      </c>
      <c r="J94" s="54"/>
      <c r="K94" s="56"/>
      <c r="L94" s="55" t="s">
        <v>200</v>
      </c>
      <c r="M94" s="38">
        <v>65</v>
      </c>
      <c r="N94" s="65">
        <v>21</v>
      </c>
      <c r="O94" s="65">
        <v>11</v>
      </c>
      <c r="P94" s="65">
        <v>15</v>
      </c>
      <c r="Q94" s="65">
        <v>5</v>
      </c>
      <c r="R94" s="65">
        <v>4</v>
      </c>
      <c r="S94" s="65">
        <v>7</v>
      </c>
      <c r="T94" s="65">
        <v>2</v>
      </c>
      <c r="U94" s="65">
        <v>5</v>
      </c>
      <c r="V94" s="65">
        <v>1</v>
      </c>
      <c r="W94" s="65"/>
      <c r="X94" s="54"/>
      <c r="Y94" s="63"/>
      <c r="Z94" s="63"/>
      <c r="AA94" s="64"/>
      <c r="AB94" s="54"/>
      <c r="AC94" s="54"/>
      <c r="AD94" s="54"/>
      <c r="AE94" s="54"/>
      <c r="AF94" s="54"/>
    </row>
    <row r="95" spans="1:33" ht="12.75" x14ac:dyDescent="0.2">
      <c r="A95" s="55" t="s">
        <v>141</v>
      </c>
      <c r="B95" s="65">
        <f t="shared" ref="B95:I95" si="31">B94*B93</f>
        <v>3.1</v>
      </c>
      <c r="C95" s="65">
        <f t="shared" si="31"/>
        <v>2.8000000000000003</v>
      </c>
      <c r="D95" s="65">
        <f t="shared" si="31"/>
        <v>2.4000000000000004</v>
      </c>
      <c r="E95" s="65">
        <f t="shared" si="31"/>
        <v>7.5</v>
      </c>
      <c r="F95" s="65">
        <f t="shared" si="31"/>
        <v>16</v>
      </c>
      <c r="G95" s="65">
        <f t="shared" si="31"/>
        <v>8</v>
      </c>
      <c r="H95" s="65">
        <f t="shared" si="31"/>
        <v>10</v>
      </c>
      <c r="I95" s="65">
        <f t="shared" si="31"/>
        <v>10</v>
      </c>
      <c r="J95" s="54">
        <f>SUM(B95:I95)</f>
        <v>59.8</v>
      </c>
      <c r="K95" s="56"/>
      <c r="L95" s="55" t="s">
        <v>141</v>
      </c>
      <c r="M95" s="70">
        <f t="shared" ref="M95:V95" si="32">M94*M93</f>
        <v>3.25</v>
      </c>
      <c r="N95" s="70">
        <f t="shared" si="32"/>
        <v>2.1</v>
      </c>
      <c r="O95" s="70">
        <f t="shared" si="32"/>
        <v>2.2000000000000002</v>
      </c>
      <c r="P95" s="70">
        <f t="shared" si="32"/>
        <v>7.5</v>
      </c>
      <c r="Q95" s="70">
        <f t="shared" si="32"/>
        <v>5</v>
      </c>
      <c r="R95" s="70">
        <f t="shared" si="32"/>
        <v>8</v>
      </c>
      <c r="S95" s="70">
        <f t="shared" si="32"/>
        <v>35</v>
      </c>
      <c r="T95" s="70">
        <f t="shared" si="32"/>
        <v>20</v>
      </c>
      <c r="U95" s="70">
        <f t="shared" si="32"/>
        <v>100</v>
      </c>
      <c r="V95" s="70">
        <f t="shared" si="32"/>
        <v>50</v>
      </c>
      <c r="W95" s="54">
        <f>SUM(M95:V95)</f>
        <v>233.05</v>
      </c>
      <c r="X95" s="55">
        <f>W95-J95</f>
        <v>173.25</v>
      </c>
      <c r="Y95" s="63">
        <v>66.7</v>
      </c>
      <c r="Z95" s="63">
        <v>27.8</v>
      </c>
      <c r="AA95" s="66">
        <f>X95+Z95</f>
        <v>201.05</v>
      </c>
      <c r="AB95" s="55">
        <v>20</v>
      </c>
      <c r="AC95" s="55">
        <v>45</v>
      </c>
      <c r="AD95" s="55">
        <f>X95-Y95</f>
        <v>106.55</v>
      </c>
      <c r="AE95" s="55">
        <v>10</v>
      </c>
      <c r="AF95" s="55">
        <f>AD95-AE95</f>
        <v>96.55</v>
      </c>
      <c r="AG95" s="61"/>
    </row>
    <row r="98" spans="1:33" ht="51" x14ac:dyDescent="0.2">
      <c r="A98" s="52" t="s">
        <v>135</v>
      </c>
      <c r="B98" s="53">
        <v>45614</v>
      </c>
      <c r="C98" s="54"/>
      <c r="D98" s="54"/>
      <c r="E98" s="54"/>
      <c r="F98" s="54"/>
      <c r="G98" s="54"/>
      <c r="H98" s="54"/>
      <c r="I98" s="54"/>
      <c r="J98" s="55" t="s">
        <v>141</v>
      </c>
      <c r="K98" s="56"/>
      <c r="L98" s="52" t="s">
        <v>136</v>
      </c>
      <c r="M98" s="53">
        <v>45614</v>
      </c>
      <c r="N98" s="54"/>
      <c r="O98" s="54"/>
      <c r="P98" s="54"/>
      <c r="Q98" s="54"/>
      <c r="R98" s="54"/>
      <c r="S98" s="54"/>
      <c r="T98" s="54"/>
      <c r="U98" s="54"/>
      <c r="V98" s="54"/>
      <c r="W98" s="55" t="s">
        <v>141</v>
      </c>
      <c r="X98" s="57" t="s">
        <v>192</v>
      </c>
      <c r="Y98" s="58" t="s">
        <v>142</v>
      </c>
      <c r="Z98" s="59" t="s">
        <v>193</v>
      </c>
      <c r="AA98" s="60" t="s">
        <v>194</v>
      </c>
      <c r="AB98" s="57" t="s">
        <v>165</v>
      </c>
      <c r="AC98" s="55" t="s">
        <v>195</v>
      </c>
      <c r="AD98" s="55" t="s">
        <v>196</v>
      </c>
      <c r="AE98" s="57" t="s">
        <v>197</v>
      </c>
      <c r="AF98" s="55" t="s">
        <v>198</v>
      </c>
      <c r="AG98" s="61"/>
    </row>
    <row r="99" spans="1:33" ht="12.75" x14ac:dyDescent="0.2">
      <c r="A99" s="55" t="s">
        <v>199</v>
      </c>
      <c r="B99" s="62">
        <v>0.05</v>
      </c>
      <c r="C99" s="62">
        <v>0.1</v>
      </c>
      <c r="D99" s="62">
        <v>0.2</v>
      </c>
      <c r="E99" s="62">
        <v>0.5</v>
      </c>
      <c r="F99" s="62">
        <v>1</v>
      </c>
      <c r="G99" s="62">
        <v>2</v>
      </c>
      <c r="H99" s="62">
        <v>5</v>
      </c>
      <c r="I99" s="62">
        <v>10</v>
      </c>
      <c r="K99" s="56"/>
      <c r="L99" s="55" t="s">
        <v>199</v>
      </c>
      <c r="M99" s="62">
        <v>0.05</v>
      </c>
      <c r="N99" s="62">
        <v>0.1</v>
      </c>
      <c r="O99" s="62">
        <v>0.2</v>
      </c>
      <c r="P99" s="62">
        <v>0.5</v>
      </c>
      <c r="Q99" s="62">
        <v>1</v>
      </c>
      <c r="R99" s="62">
        <v>2</v>
      </c>
      <c r="S99" s="62">
        <v>5</v>
      </c>
      <c r="T99" s="62">
        <v>10</v>
      </c>
      <c r="U99" s="62">
        <v>20</v>
      </c>
      <c r="V99" s="62">
        <v>50</v>
      </c>
      <c r="W99" s="54"/>
      <c r="X99" s="54"/>
      <c r="Y99" s="63"/>
      <c r="Z99" s="63"/>
      <c r="AA99" s="64"/>
      <c r="AB99" s="54"/>
      <c r="AC99" s="54"/>
      <c r="AD99" s="54"/>
      <c r="AE99" s="54"/>
      <c r="AF99" s="54"/>
    </row>
    <row r="100" spans="1:33" ht="12.75" x14ac:dyDescent="0.2">
      <c r="A100" s="55" t="s">
        <v>200</v>
      </c>
      <c r="B100" s="38">
        <v>65</v>
      </c>
      <c r="C100" s="65">
        <v>21</v>
      </c>
      <c r="D100" s="65">
        <v>14</v>
      </c>
      <c r="E100" s="65">
        <v>15</v>
      </c>
      <c r="F100" s="65">
        <v>10</v>
      </c>
      <c r="G100" s="65">
        <v>7</v>
      </c>
      <c r="H100" s="65">
        <v>2</v>
      </c>
      <c r="I100" s="65">
        <v>1</v>
      </c>
      <c r="J100" s="54"/>
      <c r="K100" s="56"/>
      <c r="L100" s="55" t="s">
        <v>200</v>
      </c>
      <c r="M100" s="38">
        <v>75</v>
      </c>
      <c r="N100" s="65">
        <v>15</v>
      </c>
      <c r="O100" s="65">
        <v>27</v>
      </c>
      <c r="P100" s="65">
        <v>10</v>
      </c>
      <c r="Q100" s="65">
        <v>18</v>
      </c>
      <c r="R100" s="65">
        <v>20</v>
      </c>
      <c r="S100" s="65">
        <v>12</v>
      </c>
      <c r="T100" s="65">
        <v>4</v>
      </c>
      <c r="U100" s="65">
        <v>7</v>
      </c>
      <c r="V100" s="65">
        <v>2</v>
      </c>
      <c r="W100" s="65"/>
      <c r="X100" s="54"/>
      <c r="Y100" s="63"/>
      <c r="Z100" s="63"/>
      <c r="AA100" s="64"/>
      <c r="AB100" s="54"/>
      <c r="AC100" s="54"/>
      <c r="AD100" s="54"/>
      <c r="AE100" s="54"/>
      <c r="AF100" s="54"/>
    </row>
    <row r="101" spans="1:33" ht="12.75" x14ac:dyDescent="0.2">
      <c r="A101" s="55" t="s">
        <v>141</v>
      </c>
      <c r="B101" s="65">
        <f t="shared" ref="B101:I101" si="33">B100*B99</f>
        <v>3.25</v>
      </c>
      <c r="C101" s="65">
        <f t="shared" si="33"/>
        <v>2.1</v>
      </c>
      <c r="D101" s="65">
        <f t="shared" si="33"/>
        <v>2.8000000000000003</v>
      </c>
      <c r="E101" s="65">
        <f t="shared" si="33"/>
        <v>7.5</v>
      </c>
      <c r="F101" s="65">
        <f t="shared" si="33"/>
        <v>10</v>
      </c>
      <c r="G101" s="65">
        <f t="shared" si="33"/>
        <v>14</v>
      </c>
      <c r="H101" s="65">
        <f t="shared" si="33"/>
        <v>10</v>
      </c>
      <c r="I101" s="65">
        <f t="shared" si="33"/>
        <v>10</v>
      </c>
      <c r="J101" s="54">
        <f>SUM(B101:I101)</f>
        <v>59.65</v>
      </c>
      <c r="K101" s="56"/>
      <c r="L101" s="55" t="s">
        <v>141</v>
      </c>
      <c r="M101" s="70">
        <f t="shared" ref="M101:V101" si="34">M100*M99</f>
        <v>3.75</v>
      </c>
      <c r="N101" s="70">
        <f t="shared" si="34"/>
        <v>1.5</v>
      </c>
      <c r="O101" s="70">
        <f t="shared" si="34"/>
        <v>5.4</v>
      </c>
      <c r="P101" s="70">
        <f t="shared" si="34"/>
        <v>5</v>
      </c>
      <c r="Q101" s="70">
        <f t="shared" si="34"/>
        <v>18</v>
      </c>
      <c r="R101" s="70">
        <f t="shared" si="34"/>
        <v>40</v>
      </c>
      <c r="S101" s="70">
        <f t="shared" si="34"/>
        <v>60</v>
      </c>
      <c r="T101" s="70">
        <f t="shared" si="34"/>
        <v>40</v>
      </c>
      <c r="U101" s="70">
        <f t="shared" si="34"/>
        <v>140</v>
      </c>
      <c r="V101" s="70">
        <f t="shared" si="34"/>
        <v>100</v>
      </c>
      <c r="W101" s="54">
        <f>SUM(M101:V101)</f>
        <v>413.65</v>
      </c>
      <c r="X101" s="55">
        <f>W101-J101</f>
        <v>354</v>
      </c>
      <c r="Y101" s="63">
        <v>131.19999999999999</v>
      </c>
      <c r="Z101" s="63">
        <v>71.8</v>
      </c>
      <c r="AA101" s="66">
        <f>X101+Z101</f>
        <v>425.8</v>
      </c>
      <c r="AB101" s="55">
        <v>70</v>
      </c>
      <c r="AC101" s="55">
        <f>Y101-AB101</f>
        <v>61.199999999999989</v>
      </c>
      <c r="AD101" s="55">
        <f>X101-Y101</f>
        <v>222.8</v>
      </c>
      <c r="AE101" s="55">
        <v>60</v>
      </c>
      <c r="AF101" s="55">
        <f>AD101-AE101</f>
        <v>162.80000000000001</v>
      </c>
      <c r="AG101" s="61">
        <v>20</v>
      </c>
    </row>
    <row r="104" spans="1:33" ht="51" x14ac:dyDescent="0.2">
      <c r="A104" s="52" t="s">
        <v>135</v>
      </c>
      <c r="B104" s="53">
        <v>45615</v>
      </c>
      <c r="C104" s="54"/>
      <c r="D104" s="54"/>
      <c r="E104" s="54"/>
      <c r="F104" s="54"/>
      <c r="G104" s="54"/>
      <c r="H104" s="54"/>
      <c r="I104" s="54"/>
      <c r="J104" s="55" t="s">
        <v>141</v>
      </c>
      <c r="K104" s="56"/>
      <c r="L104" s="52" t="s">
        <v>136</v>
      </c>
      <c r="M104" s="53">
        <v>45615</v>
      </c>
      <c r="N104" s="54"/>
      <c r="O104" s="54"/>
      <c r="P104" s="54"/>
      <c r="Q104" s="54"/>
      <c r="R104" s="54"/>
      <c r="S104" s="54"/>
      <c r="T104" s="54"/>
      <c r="U104" s="54"/>
      <c r="V104" s="54"/>
      <c r="W104" s="55" t="s">
        <v>141</v>
      </c>
      <c r="X104" s="57" t="s">
        <v>192</v>
      </c>
      <c r="Y104" s="58" t="s">
        <v>142</v>
      </c>
      <c r="Z104" s="59" t="s">
        <v>193</v>
      </c>
      <c r="AA104" s="60" t="s">
        <v>194</v>
      </c>
      <c r="AB104" s="57" t="s">
        <v>165</v>
      </c>
      <c r="AC104" s="55" t="s">
        <v>195</v>
      </c>
      <c r="AD104" s="55" t="s">
        <v>196</v>
      </c>
      <c r="AE104" s="57" t="s">
        <v>197</v>
      </c>
      <c r="AF104" s="55" t="s">
        <v>198</v>
      </c>
      <c r="AG104" s="61"/>
    </row>
    <row r="105" spans="1:33" ht="12.75" x14ac:dyDescent="0.2">
      <c r="A105" s="55" t="s">
        <v>199</v>
      </c>
      <c r="B105" s="62">
        <v>0.05</v>
      </c>
      <c r="C105" s="62">
        <v>0.1</v>
      </c>
      <c r="D105" s="62">
        <v>0.2</v>
      </c>
      <c r="E105" s="62">
        <v>0.5</v>
      </c>
      <c r="F105" s="62">
        <v>1</v>
      </c>
      <c r="G105" s="62">
        <v>2</v>
      </c>
      <c r="H105" s="62">
        <v>5</v>
      </c>
      <c r="I105" s="62">
        <v>10</v>
      </c>
      <c r="K105" s="56"/>
      <c r="L105" s="55" t="s">
        <v>199</v>
      </c>
      <c r="M105" s="62">
        <v>0.05</v>
      </c>
      <c r="N105" s="62">
        <v>0.1</v>
      </c>
      <c r="O105" s="62">
        <v>0.2</v>
      </c>
      <c r="P105" s="62">
        <v>0.5</v>
      </c>
      <c r="Q105" s="62">
        <v>1</v>
      </c>
      <c r="R105" s="62">
        <v>2</v>
      </c>
      <c r="S105" s="62">
        <v>5</v>
      </c>
      <c r="T105" s="62">
        <v>10</v>
      </c>
      <c r="U105" s="62">
        <v>20</v>
      </c>
      <c r="V105" s="62">
        <v>50</v>
      </c>
      <c r="W105" s="54"/>
      <c r="X105" s="54"/>
      <c r="Y105" s="63"/>
      <c r="Z105" s="63"/>
      <c r="AA105" s="64"/>
      <c r="AB105" s="54"/>
      <c r="AC105" s="54"/>
      <c r="AD105" s="54"/>
      <c r="AE105" s="54"/>
      <c r="AF105" s="54"/>
    </row>
    <row r="106" spans="1:33" ht="12.75" x14ac:dyDescent="0.2">
      <c r="A106" s="55" t="s">
        <v>200</v>
      </c>
      <c r="B106" s="38">
        <v>75</v>
      </c>
      <c r="C106" s="65">
        <v>15</v>
      </c>
      <c r="D106" s="65">
        <v>27</v>
      </c>
      <c r="E106" s="65">
        <v>10</v>
      </c>
      <c r="F106" s="65">
        <v>10</v>
      </c>
      <c r="G106" s="65">
        <v>7</v>
      </c>
      <c r="H106" s="65">
        <v>2</v>
      </c>
      <c r="I106" s="65">
        <v>1</v>
      </c>
      <c r="J106" s="54"/>
      <c r="K106" s="56"/>
      <c r="L106" s="55" t="s">
        <v>200</v>
      </c>
      <c r="M106" s="38">
        <v>75</v>
      </c>
      <c r="N106" s="65">
        <v>18</v>
      </c>
      <c r="O106" s="65">
        <v>20</v>
      </c>
      <c r="P106" s="65">
        <v>19</v>
      </c>
      <c r="Q106" s="65">
        <v>15</v>
      </c>
      <c r="R106" s="65">
        <v>15</v>
      </c>
      <c r="S106" s="65">
        <v>6</v>
      </c>
      <c r="T106" s="65">
        <v>3</v>
      </c>
      <c r="U106" s="65">
        <v>4</v>
      </c>
      <c r="V106" s="65">
        <v>1</v>
      </c>
      <c r="W106" s="65"/>
      <c r="X106" s="54"/>
      <c r="Y106" s="63"/>
      <c r="Z106" s="63"/>
      <c r="AA106" s="64"/>
      <c r="AB106" s="54"/>
      <c r="AC106" s="54"/>
      <c r="AD106" s="54"/>
      <c r="AE106" s="54"/>
      <c r="AF106" s="54"/>
    </row>
    <row r="107" spans="1:33" ht="12.75" x14ac:dyDescent="0.2">
      <c r="A107" s="55" t="s">
        <v>141</v>
      </c>
      <c r="B107" s="65">
        <f t="shared" ref="B107:I107" si="35">B106*B105</f>
        <v>3.75</v>
      </c>
      <c r="C107" s="65">
        <f t="shared" si="35"/>
        <v>1.5</v>
      </c>
      <c r="D107" s="65">
        <f t="shared" si="35"/>
        <v>5.4</v>
      </c>
      <c r="E107" s="65">
        <f t="shared" si="35"/>
        <v>5</v>
      </c>
      <c r="F107" s="65">
        <f t="shared" si="35"/>
        <v>10</v>
      </c>
      <c r="G107" s="65">
        <f t="shared" si="35"/>
        <v>14</v>
      </c>
      <c r="H107" s="65">
        <f t="shared" si="35"/>
        <v>10</v>
      </c>
      <c r="I107" s="65">
        <f t="shared" si="35"/>
        <v>10</v>
      </c>
      <c r="J107" s="54">
        <f>SUM(B107:I107)</f>
        <v>59.65</v>
      </c>
      <c r="K107" s="56"/>
      <c r="L107" s="55" t="s">
        <v>141</v>
      </c>
      <c r="M107" s="70">
        <f t="shared" ref="M107:V107" si="36">M106*M105</f>
        <v>3.75</v>
      </c>
      <c r="N107" s="70">
        <f t="shared" si="36"/>
        <v>1.8</v>
      </c>
      <c r="O107" s="70">
        <f t="shared" si="36"/>
        <v>4</v>
      </c>
      <c r="P107" s="70">
        <f t="shared" si="36"/>
        <v>9.5</v>
      </c>
      <c r="Q107" s="70">
        <f t="shared" si="36"/>
        <v>15</v>
      </c>
      <c r="R107" s="70">
        <f t="shared" si="36"/>
        <v>30</v>
      </c>
      <c r="S107" s="70">
        <f t="shared" si="36"/>
        <v>30</v>
      </c>
      <c r="T107" s="70">
        <f t="shared" si="36"/>
        <v>30</v>
      </c>
      <c r="U107" s="70">
        <f t="shared" si="36"/>
        <v>80</v>
      </c>
      <c r="V107" s="70">
        <f t="shared" si="36"/>
        <v>50</v>
      </c>
      <c r="W107" s="54">
        <f>SUM(M107:V107)</f>
        <v>254.05</v>
      </c>
      <c r="X107" s="55">
        <f>W107-J107</f>
        <v>194.4</v>
      </c>
      <c r="Y107" s="63">
        <v>76.400000000000006</v>
      </c>
      <c r="Z107" s="63">
        <v>43.9</v>
      </c>
      <c r="AA107" s="66">
        <f>X107+Z107</f>
        <v>238.3</v>
      </c>
      <c r="AB107" s="55">
        <v>40</v>
      </c>
      <c r="AC107" s="55">
        <f>Y107-AB107</f>
        <v>36.400000000000006</v>
      </c>
      <c r="AD107" s="55">
        <f>X107-Y107</f>
        <v>118</v>
      </c>
      <c r="AE107" s="55">
        <v>40</v>
      </c>
      <c r="AF107" s="55">
        <f>AD107-AE107</f>
        <v>78</v>
      </c>
      <c r="AG107" s="61"/>
    </row>
    <row r="110" spans="1:33" ht="51" x14ac:dyDescent="0.2">
      <c r="A110" s="52" t="s">
        <v>135</v>
      </c>
      <c r="B110" s="53">
        <v>45616</v>
      </c>
      <c r="C110" s="54"/>
      <c r="D110" s="54"/>
      <c r="E110" s="54"/>
      <c r="F110" s="54"/>
      <c r="G110" s="54"/>
      <c r="H110" s="54"/>
      <c r="I110" s="54"/>
      <c r="J110" s="55" t="s">
        <v>141</v>
      </c>
      <c r="K110" s="56"/>
      <c r="L110" s="52" t="s">
        <v>136</v>
      </c>
      <c r="M110" s="53">
        <v>45616</v>
      </c>
      <c r="N110" s="54"/>
      <c r="O110" s="54"/>
      <c r="P110" s="54"/>
      <c r="Q110" s="54"/>
      <c r="R110" s="54"/>
      <c r="S110" s="54"/>
      <c r="T110" s="54"/>
      <c r="U110" s="54"/>
      <c r="V110" s="54"/>
      <c r="W110" s="55" t="s">
        <v>141</v>
      </c>
      <c r="X110" s="57" t="s">
        <v>192</v>
      </c>
      <c r="Y110" s="58" t="s">
        <v>142</v>
      </c>
      <c r="Z110" s="59" t="s">
        <v>193</v>
      </c>
      <c r="AA110" s="60" t="s">
        <v>194</v>
      </c>
      <c r="AB110" s="57" t="s">
        <v>165</v>
      </c>
      <c r="AC110" s="55" t="s">
        <v>195</v>
      </c>
      <c r="AD110" s="55" t="s">
        <v>196</v>
      </c>
      <c r="AE110" s="57" t="s">
        <v>197</v>
      </c>
      <c r="AF110" s="55" t="s">
        <v>198</v>
      </c>
      <c r="AG110" s="61"/>
    </row>
    <row r="111" spans="1:33" ht="12.75" x14ac:dyDescent="0.2">
      <c r="A111" s="55" t="s">
        <v>199</v>
      </c>
      <c r="B111" s="62">
        <v>0.05</v>
      </c>
      <c r="C111" s="62">
        <v>0.1</v>
      </c>
      <c r="D111" s="62">
        <v>0.2</v>
      </c>
      <c r="E111" s="62">
        <v>0.5</v>
      </c>
      <c r="F111" s="62">
        <v>1</v>
      </c>
      <c r="G111" s="62">
        <v>2</v>
      </c>
      <c r="H111" s="62">
        <v>5</v>
      </c>
      <c r="I111" s="62">
        <v>10</v>
      </c>
      <c r="K111" s="56"/>
      <c r="L111" s="55" t="s">
        <v>199</v>
      </c>
      <c r="M111" s="62">
        <v>0.05</v>
      </c>
      <c r="N111" s="62">
        <v>0.1</v>
      </c>
      <c r="O111" s="62">
        <v>0.2</v>
      </c>
      <c r="P111" s="62">
        <v>0.5</v>
      </c>
      <c r="Q111" s="62">
        <v>1</v>
      </c>
      <c r="R111" s="62">
        <v>2</v>
      </c>
      <c r="S111" s="62">
        <v>5</v>
      </c>
      <c r="T111" s="62">
        <v>10</v>
      </c>
      <c r="U111" s="62">
        <v>20</v>
      </c>
      <c r="V111" s="62">
        <v>50</v>
      </c>
      <c r="W111" s="54"/>
      <c r="X111" s="54"/>
      <c r="Y111" s="63"/>
      <c r="Z111" s="63"/>
      <c r="AA111" s="64"/>
      <c r="AB111" s="54"/>
      <c r="AC111" s="54"/>
      <c r="AD111" s="54"/>
      <c r="AE111" s="54"/>
      <c r="AF111" s="54"/>
    </row>
    <row r="112" spans="1:33" ht="12.75" x14ac:dyDescent="0.2">
      <c r="A112" s="55" t="s">
        <v>200</v>
      </c>
      <c r="B112" s="38">
        <v>75</v>
      </c>
      <c r="C112" s="65">
        <v>18</v>
      </c>
      <c r="D112" s="65">
        <v>20</v>
      </c>
      <c r="E112" s="65">
        <v>10</v>
      </c>
      <c r="F112" s="65">
        <v>10</v>
      </c>
      <c r="G112" s="65">
        <v>8</v>
      </c>
      <c r="H112" s="65">
        <v>2</v>
      </c>
      <c r="I112" s="65">
        <v>1</v>
      </c>
      <c r="J112" s="54"/>
      <c r="K112" s="56"/>
      <c r="L112" s="55" t="s">
        <v>200</v>
      </c>
      <c r="M112" s="38">
        <v>98</v>
      </c>
      <c r="N112" s="65">
        <v>35</v>
      </c>
      <c r="O112" s="65">
        <v>15</v>
      </c>
      <c r="P112" s="65">
        <v>10</v>
      </c>
      <c r="Q112" s="65">
        <v>11</v>
      </c>
      <c r="R112" s="65">
        <v>10</v>
      </c>
      <c r="S112" s="65">
        <v>3</v>
      </c>
      <c r="T112" s="65">
        <v>4</v>
      </c>
      <c r="U112" s="65">
        <v>4</v>
      </c>
      <c r="V112" s="65">
        <v>2</v>
      </c>
      <c r="W112" s="65"/>
      <c r="X112" s="54"/>
      <c r="Y112" s="63"/>
      <c r="Z112" s="63"/>
      <c r="AA112" s="64"/>
      <c r="AB112" s="54"/>
      <c r="AC112" s="54"/>
      <c r="AD112" s="54"/>
      <c r="AE112" s="54"/>
      <c r="AF112" s="54"/>
    </row>
    <row r="113" spans="1:33" ht="12.75" x14ac:dyDescent="0.2">
      <c r="A113" s="55" t="s">
        <v>141</v>
      </c>
      <c r="B113" s="65">
        <f t="shared" ref="B113:I113" si="37">B112*B111</f>
        <v>3.75</v>
      </c>
      <c r="C113" s="65">
        <f t="shared" si="37"/>
        <v>1.8</v>
      </c>
      <c r="D113" s="65">
        <f t="shared" si="37"/>
        <v>4</v>
      </c>
      <c r="E113" s="65">
        <f t="shared" si="37"/>
        <v>5</v>
      </c>
      <c r="F113" s="65">
        <f t="shared" si="37"/>
        <v>10</v>
      </c>
      <c r="G113" s="65">
        <f t="shared" si="37"/>
        <v>16</v>
      </c>
      <c r="H113" s="65">
        <f t="shared" si="37"/>
        <v>10</v>
      </c>
      <c r="I113" s="65">
        <f t="shared" si="37"/>
        <v>10</v>
      </c>
      <c r="J113" s="54">
        <f>SUM(B113:I113)</f>
        <v>60.55</v>
      </c>
      <c r="K113" s="56"/>
      <c r="L113" s="55" t="s">
        <v>141</v>
      </c>
      <c r="M113" s="70">
        <f t="shared" ref="M113:V113" si="38">M112*M111</f>
        <v>4.9000000000000004</v>
      </c>
      <c r="N113" s="70">
        <f t="shared" si="38"/>
        <v>3.5</v>
      </c>
      <c r="O113" s="70">
        <f t="shared" si="38"/>
        <v>3</v>
      </c>
      <c r="P113" s="70">
        <f t="shared" si="38"/>
        <v>5</v>
      </c>
      <c r="Q113" s="70">
        <f t="shared" si="38"/>
        <v>11</v>
      </c>
      <c r="R113" s="70">
        <f t="shared" si="38"/>
        <v>20</v>
      </c>
      <c r="S113" s="70">
        <f t="shared" si="38"/>
        <v>15</v>
      </c>
      <c r="T113" s="70">
        <f t="shared" si="38"/>
        <v>40</v>
      </c>
      <c r="U113" s="70">
        <f t="shared" si="38"/>
        <v>80</v>
      </c>
      <c r="V113" s="70">
        <f t="shared" si="38"/>
        <v>100</v>
      </c>
      <c r="W113" s="54">
        <f>SUM(M113:V113)</f>
        <v>282.39999999999998</v>
      </c>
      <c r="X113" s="55">
        <f>W113-J113</f>
        <v>221.84999999999997</v>
      </c>
      <c r="Y113" s="63">
        <v>89.4</v>
      </c>
      <c r="Z113" s="63">
        <v>109.3</v>
      </c>
      <c r="AA113" s="66">
        <f>X113+Z113</f>
        <v>331.15</v>
      </c>
      <c r="AB113" s="55">
        <f>SUM(Y113+Z113)*0.2</f>
        <v>39.74</v>
      </c>
      <c r="AC113" s="55">
        <f>Y113-AB113</f>
        <v>49.660000000000004</v>
      </c>
      <c r="AD113" s="55">
        <f>X113-Y113</f>
        <v>132.44999999999996</v>
      </c>
      <c r="AE113" s="55">
        <f>AD113*0.2</f>
        <v>26.489999999999995</v>
      </c>
      <c r="AF113" s="55">
        <f>AD113-AE113</f>
        <v>105.95999999999997</v>
      </c>
      <c r="AG113" s="61"/>
    </row>
    <row r="116" spans="1:33" ht="51" x14ac:dyDescent="0.2">
      <c r="A116" s="52" t="s">
        <v>135</v>
      </c>
      <c r="B116" s="53">
        <v>45617</v>
      </c>
      <c r="C116" s="54"/>
      <c r="D116" s="54"/>
      <c r="E116" s="54"/>
      <c r="F116" s="54"/>
      <c r="G116" s="54"/>
      <c r="H116" s="54"/>
      <c r="I116" s="54"/>
      <c r="J116" s="55" t="s">
        <v>141</v>
      </c>
      <c r="K116" s="56"/>
      <c r="L116" s="52" t="s">
        <v>136</v>
      </c>
      <c r="M116" s="53">
        <v>45617</v>
      </c>
      <c r="N116" s="54"/>
      <c r="O116" s="54"/>
      <c r="P116" s="54"/>
      <c r="Q116" s="54"/>
      <c r="R116" s="54"/>
      <c r="S116" s="54"/>
      <c r="T116" s="54"/>
      <c r="U116" s="54"/>
      <c r="V116" s="54"/>
      <c r="W116" s="55" t="s">
        <v>141</v>
      </c>
      <c r="X116" s="57" t="s">
        <v>192</v>
      </c>
      <c r="Y116" s="58" t="s">
        <v>142</v>
      </c>
      <c r="Z116" s="59" t="s">
        <v>193</v>
      </c>
      <c r="AA116" s="60" t="s">
        <v>194</v>
      </c>
      <c r="AB116" s="57" t="s">
        <v>165</v>
      </c>
      <c r="AC116" s="55" t="s">
        <v>195</v>
      </c>
      <c r="AD116" s="55" t="s">
        <v>196</v>
      </c>
      <c r="AE116" s="57" t="s">
        <v>197</v>
      </c>
      <c r="AF116" s="55" t="s">
        <v>198</v>
      </c>
      <c r="AG116" s="61"/>
    </row>
    <row r="117" spans="1:33" ht="12.75" x14ac:dyDescent="0.2">
      <c r="A117" s="55" t="s">
        <v>199</v>
      </c>
      <c r="B117" s="62">
        <v>0.05</v>
      </c>
      <c r="C117" s="62">
        <v>0.1</v>
      </c>
      <c r="D117" s="62">
        <v>0.2</v>
      </c>
      <c r="E117" s="62">
        <v>0.5</v>
      </c>
      <c r="F117" s="62">
        <v>1</v>
      </c>
      <c r="G117" s="62">
        <v>2</v>
      </c>
      <c r="H117" s="62">
        <v>5</v>
      </c>
      <c r="I117" s="62">
        <v>10</v>
      </c>
      <c r="K117" s="56"/>
      <c r="L117" s="55" t="s">
        <v>199</v>
      </c>
      <c r="M117" s="62">
        <v>0.05</v>
      </c>
      <c r="N117" s="62">
        <v>0.1</v>
      </c>
      <c r="O117" s="62">
        <v>0.2</v>
      </c>
      <c r="P117" s="62">
        <v>0.5</v>
      </c>
      <c r="Q117" s="62">
        <v>1</v>
      </c>
      <c r="R117" s="62">
        <v>2</v>
      </c>
      <c r="S117" s="62">
        <v>5</v>
      </c>
      <c r="T117" s="62">
        <v>10</v>
      </c>
      <c r="U117" s="62">
        <v>20</v>
      </c>
      <c r="V117" s="62">
        <v>50</v>
      </c>
      <c r="W117" s="54"/>
      <c r="X117" s="54"/>
      <c r="Y117" s="63"/>
      <c r="Z117" s="63"/>
      <c r="AA117" s="64"/>
      <c r="AB117" s="54"/>
      <c r="AC117" s="54"/>
      <c r="AD117" s="54"/>
      <c r="AE117" s="54"/>
      <c r="AF117" s="54"/>
    </row>
    <row r="118" spans="1:33" ht="12.75" x14ac:dyDescent="0.2">
      <c r="A118" s="55" t="s">
        <v>200</v>
      </c>
      <c r="B118" s="38">
        <v>98</v>
      </c>
      <c r="C118" s="65">
        <v>35</v>
      </c>
      <c r="D118" s="65">
        <v>15</v>
      </c>
      <c r="E118" s="65">
        <v>10</v>
      </c>
      <c r="F118" s="65">
        <v>11</v>
      </c>
      <c r="G118" s="65">
        <v>6</v>
      </c>
      <c r="H118" s="65">
        <v>2</v>
      </c>
      <c r="I118" s="65">
        <v>1</v>
      </c>
      <c r="J118" s="54"/>
      <c r="K118" s="56"/>
      <c r="L118" s="55" t="s">
        <v>200</v>
      </c>
      <c r="M118" s="38">
        <v>25</v>
      </c>
      <c r="N118" s="65">
        <v>28</v>
      </c>
      <c r="O118" s="65">
        <v>9</v>
      </c>
      <c r="P118" s="65">
        <v>8</v>
      </c>
      <c r="Q118" s="65">
        <v>7</v>
      </c>
      <c r="R118" s="65">
        <v>5</v>
      </c>
      <c r="S118" s="65">
        <v>9</v>
      </c>
      <c r="T118" s="65">
        <v>7</v>
      </c>
      <c r="U118" s="65">
        <v>3</v>
      </c>
      <c r="V118" s="65">
        <v>2</v>
      </c>
      <c r="W118" s="65"/>
      <c r="X118" s="54"/>
      <c r="Y118" s="63"/>
      <c r="Z118" s="63"/>
      <c r="AA118" s="64"/>
      <c r="AB118" s="54"/>
      <c r="AC118" s="54"/>
      <c r="AD118" s="54"/>
      <c r="AE118" s="54"/>
      <c r="AF118" s="54"/>
    </row>
    <row r="119" spans="1:33" ht="12.75" x14ac:dyDescent="0.2">
      <c r="A119" s="55" t="s">
        <v>141</v>
      </c>
      <c r="B119" s="65">
        <f t="shared" ref="B119:I119" si="39">B118*B117</f>
        <v>4.9000000000000004</v>
      </c>
      <c r="C119" s="65">
        <f t="shared" si="39"/>
        <v>3.5</v>
      </c>
      <c r="D119" s="65">
        <f t="shared" si="39"/>
        <v>3</v>
      </c>
      <c r="E119" s="65">
        <f t="shared" si="39"/>
        <v>5</v>
      </c>
      <c r="F119" s="65">
        <f t="shared" si="39"/>
        <v>11</v>
      </c>
      <c r="G119" s="65">
        <f t="shared" si="39"/>
        <v>12</v>
      </c>
      <c r="H119" s="65">
        <f t="shared" si="39"/>
        <v>10</v>
      </c>
      <c r="I119" s="65">
        <f t="shared" si="39"/>
        <v>10</v>
      </c>
      <c r="J119" s="54">
        <f>SUM(B119:I119)</f>
        <v>59.4</v>
      </c>
      <c r="K119" s="56"/>
      <c r="L119" s="55" t="s">
        <v>141</v>
      </c>
      <c r="M119" s="70">
        <f t="shared" ref="M119:V119" si="40">M118*M117</f>
        <v>1.25</v>
      </c>
      <c r="N119" s="70">
        <f t="shared" si="40"/>
        <v>2.8000000000000003</v>
      </c>
      <c r="O119" s="70">
        <f t="shared" si="40"/>
        <v>1.8</v>
      </c>
      <c r="P119" s="70">
        <f t="shared" si="40"/>
        <v>4</v>
      </c>
      <c r="Q119" s="70">
        <f t="shared" si="40"/>
        <v>7</v>
      </c>
      <c r="R119" s="70">
        <f t="shared" si="40"/>
        <v>10</v>
      </c>
      <c r="S119" s="70">
        <f t="shared" si="40"/>
        <v>45</v>
      </c>
      <c r="T119" s="70">
        <f t="shared" si="40"/>
        <v>70</v>
      </c>
      <c r="U119" s="70">
        <f t="shared" si="40"/>
        <v>60</v>
      </c>
      <c r="V119" s="70">
        <f t="shared" si="40"/>
        <v>100</v>
      </c>
      <c r="W119" s="54">
        <f>SUM(M119:V119)</f>
        <v>301.85000000000002</v>
      </c>
      <c r="X119" s="55">
        <f>W119-J119</f>
        <v>242.45000000000002</v>
      </c>
      <c r="Y119" s="63">
        <v>111.5</v>
      </c>
      <c r="Z119" s="63">
        <v>60.5</v>
      </c>
      <c r="AA119" s="66">
        <f>X119+Z119</f>
        <v>302.95000000000005</v>
      </c>
      <c r="AB119" s="55">
        <f>50</f>
        <v>50</v>
      </c>
      <c r="AC119" s="55">
        <f>Y119-AB119</f>
        <v>61.5</v>
      </c>
      <c r="AD119" s="55">
        <f>X119-Y119</f>
        <v>130.95000000000002</v>
      </c>
      <c r="AE119" s="55">
        <f>AD119*0.2</f>
        <v>26.190000000000005</v>
      </c>
      <c r="AF119" s="55">
        <f>AD119-AE119</f>
        <v>104.76000000000002</v>
      </c>
      <c r="AG119" s="61"/>
    </row>
    <row r="120" spans="1:33" ht="12.75" x14ac:dyDescent="0.2">
      <c r="AC120" s="38">
        <v>-10</v>
      </c>
      <c r="AF120" s="38">
        <v>-100</v>
      </c>
      <c r="AG120" s="38" t="s">
        <v>219</v>
      </c>
    </row>
    <row r="122" spans="1:33" ht="51" x14ac:dyDescent="0.2">
      <c r="A122" s="52" t="s">
        <v>135</v>
      </c>
      <c r="B122" s="53">
        <v>45618</v>
      </c>
      <c r="C122" s="54"/>
      <c r="D122" s="54"/>
      <c r="E122" s="54"/>
      <c r="F122" s="54"/>
      <c r="G122" s="54"/>
      <c r="H122" s="54"/>
      <c r="I122" s="54"/>
      <c r="J122" s="55" t="s">
        <v>141</v>
      </c>
      <c r="K122" s="56"/>
      <c r="L122" s="52" t="s">
        <v>136</v>
      </c>
      <c r="M122" s="53">
        <v>45618</v>
      </c>
      <c r="N122" s="54"/>
      <c r="O122" s="54"/>
      <c r="P122" s="54"/>
      <c r="Q122" s="54"/>
      <c r="R122" s="54"/>
      <c r="S122" s="54"/>
      <c r="T122" s="54"/>
      <c r="U122" s="54"/>
      <c r="V122" s="54"/>
      <c r="W122" s="55" t="s">
        <v>141</v>
      </c>
      <c r="X122" s="57" t="s">
        <v>192</v>
      </c>
      <c r="Y122" s="58" t="s">
        <v>142</v>
      </c>
      <c r="Z122" s="59" t="s">
        <v>193</v>
      </c>
      <c r="AA122" s="60" t="s">
        <v>194</v>
      </c>
      <c r="AB122" s="57" t="s">
        <v>165</v>
      </c>
      <c r="AC122" s="55" t="s">
        <v>195</v>
      </c>
      <c r="AD122" s="55" t="s">
        <v>196</v>
      </c>
      <c r="AE122" s="57" t="s">
        <v>197</v>
      </c>
      <c r="AF122" s="55" t="s">
        <v>198</v>
      </c>
      <c r="AG122" s="61"/>
    </row>
    <row r="123" spans="1:33" ht="12.75" x14ac:dyDescent="0.2">
      <c r="A123" s="55" t="s">
        <v>199</v>
      </c>
      <c r="B123" s="62">
        <v>0.05</v>
      </c>
      <c r="C123" s="62">
        <v>0.1</v>
      </c>
      <c r="D123" s="62">
        <v>0.2</v>
      </c>
      <c r="E123" s="62">
        <v>0.5</v>
      </c>
      <c r="F123" s="62">
        <v>1</v>
      </c>
      <c r="G123" s="62">
        <v>2</v>
      </c>
      <c r="H123" s="62">
        <v>5</v>
      </c>
      <c r="I123" s="62">
        <v>10</v>
      </c>
      <c r="K123" s="56"/>
      <c r="L123" s="55" t="s">
        <v>199</v>
      </c>
      <c r="M123" s="62">
        <v>0.05</v>
      </c>
      <c r="N123" s="62">
        <v>0.1</v>
      </c>
      <c r="O123" s="62">
        <v>0.2</v>
      </c>
      <c r="P123" s="62">
        <v>0.5</v>
      </c>
      <c r="Q123" s="62">
        <v>1</v>
      </c>
      <c r="R123" s="62">
        <v>2</v>
      </c>
      <c r="S123" s="62">
        <v>5</v>
      </c>
      <c r="T123" s="62">
        <v>10</v>
      </c>
      <c r="U123" s="62">
        <v>20</v>
      </c>
      <c r="V123" s="62">
        <v>50</v>
      </c>
      <c r="W123" s="54"/>
      <c r="X123" s="54"/>
      <c r="Y123" s="63"/>
      <c r="Z123" s="63"/>
      <c r="AA123" s="64"/>
      <c r="AB123" s="54"/>
      <c r="AC123" s="54"/>
      <c r="AD123" s="54"/>
      <c r="AE123" s="54"/>
      <c r="AF123" s="54"/>
    </row>
    <row r="124" spans="1:33" ht="12.75" x14ac:dyDescent="0.2">
      <c r="A124" s="55" t="s">
        <v>200</v>
      </c>
      <c r="B124" s="38">
        <v>25</v>
      </c>
      <c r="C124" s="65">
        <v>28</v>
      </c>
      <c r="D124" s="65">
        <v>9</v>
      </c>
      <c r="E124" s="65">
        <v>8</v>
      </c>
      <c r="F124" s="65">
        <v>7</v>
      </c>
      <c r="G124" s="65">
        <v>5</v>
      </c>
      <c r="H124" s="65">
        <v>2</v>
      </c>
      <c r="I124" s="65">
        <v>2</v>
      </c>
      <c r="J124" s="54"/>
      <c r="K124" s="56"/>
      <c r="L124" s="55" t="s">
        <v>200</v>
      </c>
      <c r="M124" s="38">
        <v>33</v>
      </c>
      <c r="N124" s="65">
        <v>27</v>
      </c>
      <c r="O124" s="65">
        <v>18</v>
      </c>
      <c r="P124" s="65">
        <v>11</v>
      </c>
      <c r="Q124" s="65">
        <v>14</v>
      </c>
      <c r="R124" s="65">
        <v>14</v>
      </c>
      <c r="S124" s="65">
        <v>10</v>
      </c>
      <c r="T124" s="65">
        <v>1</v>
      </c>
      <c r="U124" s="65">
        <v>9</v>
      </c>
      <c r="V124" s="65">
        <v>2</v>
      </c>
      <c r="W124" s="65"/>
      <c r="X124" s="54"/>
      <c r="Y124" s="63"/>
      <c r="Z124" s="63"/>
      <c r="AA124" s="64"/>
      <c r="AB124" s="54"/>
      <c r="AC124" s="54"/>
      <c r="AD124" s="54"/>
      <c r="AE124" s="54"/>
      <c r="AF124" s="54"/>
    </row>
    <row r="125" spans="1:33" ht="12.75" x14ac:dyDescent="0.2">
      <c r="A125" s="55" t="s">
        <v>141</v>
      </c>
      <c r="B125" s="65">
        <f t="shared" ref="B125:I125" si="41">B124*B123</f>
        <v>1.25</v>
      </c>
      <c r="C125" s="65">
        <f t="shared" si="41"/>
        <v>2.8000000000000003</v>
      </c>
      <c r="D125" s="65">
        <f t="shared" si="41"/>
        <v>1.8</v>
      </c>
      <c r="E125" s="65">
        <f t="shared" si="41"/>
        <v>4</v>
      </c>
      <c r="F125" s="65">
        <f t="shared" si="41"/>
        <v>7</v>
      </c>
      <c r="G125" s="65">
        <f t="shared" si="41"/>
        <v>10</v>
      </c>
      <c r="H125" s="65">
        <f t="shared" si="41"/>
        <v>10</v>
      </c>
      <c r="I125" s="65">
        <f t="shared" si="41"/>
        <v>20</v>
      </c>
      <c r="J125" s="54">
        <f>SUM(B125:I125)</f>
        <v>56.85</v>
      </c>
      <c r="K125" s="56"/>
      <c r="L125" s="55" t="s">
        <v>141</v>
      </c>
      <c r="M125" s="70">
        <f t="shared" ref="M125:V125" si="42">M124*M123</f>
        <v>1.6500000000000001</v>
      </c>
      <c r="N125" s="70">
        <f t="shared" si="42"/>
        <v>2.7</v>
      </c>
      <c r="O125" s="70">
        <f t="shared" si="42"/>
        <v>3.6</v>
      </c>
      <c r="P125" s="70">
        <f t="shared" si="42"/>
        <v>5.5</v>
      </c>
      <c r="Q125" s="70">
        <f t="shared" si="42"/>
        <v>14</v>
      </c>
      <c r="R125" s="70">
        <f t="shared" si="42"/>
        <v>28</v>
      </c>
      <c r="S125" s="70">
        <f t="shared" si="42"/>
        <v>50</v>
      </c>
      <c r="T125" s="70">
        <f t="shared" si="42"/>
        <v>10</v>
      </c>
      <c r="U125" s="70">
        <f t="shared" si="42"/>
        <v>180</v>
      </c>
      <c r="V125" s="70">
        <f t="shared" si="42"/>
        <v>100</v>
      </c>
      <c r="W125" s="54">
        <f>SUM(M125:V125)</f>
        <v>395.45</v>
      </c>
      <c r="X125" s="55">
        <f>W125-J125</f>
        <v>338.59999999999997</v>
      </c>
      <c r="Y125" s="63">
        <v>131.6</v>
      </c>
      <c r="Z125" s="63">
        <v>31.6</v>
      </c>
      <c r="AA125" s="66">
        <f>X125+Z125</f>
        <v>370.2</v>
      </c>
      <c r="AB125" s="55">
        <v>50</v>
      </c>
      <c r="AC125" s="55">
        <f>Y125-AB125</f>
        <v>81.599999999999994</v>
      </c>
      <c r="AD125" s="55">
        <f>X125-Y125</f>
        <v>206.99999999999997</v>
      </c>
      <c r="AE125" s="55">
        <f>AD125*0.2</f>
        <v>41.4</v>
      </c>
      <c r="AF125" s="55">
        <f>AD125-AE125</f>
        <v>165.59999999999997</v>
      </c>
      <c r="AG125" s="61"/>
    </row>
    <row r="126" spans="1:33" ht="12.75" x14ac:dyDescent="0.2">
      <c r="AF126" s="38">
        <v>-40</v>
      </c>
      <c r="AG126" s="38" t="s">
        <v>220</v>
      </c>
    </row>
    <row r="128" spans="1:33" ht="51" x14ac:dyDescent="0.2">
      <c r="A128" s="52" t="s">
        <v>135</v>
      </c>
      <c r="B128" s="53">
        <v>45619</v>
      </c>
      <c r="C128" s="54"/>
      <c r="D128" s="54"/>
      <c r="E128" s="54"/>
      <c r="F128" s="54"/>
      <c r="G128" s="54"/>
      <c r="H128" s="54"/>
      <c r="I128" s="54"/>
      <c r="J128" s="55" t="s">
        <v>141</v>
      </c>
      <c r="K128" s="56"/>
      <c r="L128" s="52" t="s">
        <v>136</v>
      </c>
      <c r="M128" s="53">
        <v>45619</v>
      </c>
      <c r="N128" s="54"/>
      <c r="O128" s="54"/>
      <c r="P128" s="54"/>
      <c r="Q128" s="54"/>
      <c r="R128" s="54"/>
      <c r="S128" s="54"/>
      <c r="T128" s="54"/>
      <c r="U128" s="54"/>
      <c r="V128" s="54"/>
      <c r="W128" s="55" t="s">
        <v>141</v>
      </c>
      <c r="X128" s="57" t="s">
        <v>192</v>
      </c>
      <c r="Y128" s="58" t="s">
        <v>142</v>
      </c>
      <c r="Z128" s="59" t="s">
        <v>193</v>
      </c>
      <c r="AA128" s="60" t="s">
        <v>194</v>
      </c>
      <c r="AB128" s="57" t="s">
        <v>165</v>
      </c>
      <c r="AC128" s="55" t="s">
        <v>195</v>
      </c>
      <c r="AD128" s="55" t="s">
        <v>196</v>
      </c>
      <c r="AE128" s="57" t="s">
        <v>197</v>
      </c>
      <c r="AF128" s="55" t="s">
        <v>198</v>
      </c>
      <c r="AG128" s="61"/>
    </row>
    <row r="129" spans="1:33" ht="12.75" x14ac:dyDescent="0.2">
      <c r="A129" s="55" t="s">
        <v>199</v>
      </c>
      <c r="B129" s="62">
        <v>0.05</v>
      </c>
      <c r="C129" s="62">
        <v>0.1</v>
      </c>
      <c r="D129" s="62">
        <v>0.2</v>
      </c>
      <c r="E129" s="62">
        <v>0.5</v>
      </c>
      <c r="F129" s="62">
        <v>1</v>
      </c>
      <c r="G129" s="62">
        <v>2</v>
      </c>
      <c r="H129" s="62">
        <v>5</v>
      </c>
      <c r="I129" s="62">
        <v>10</v>
      </c>
      <c r="K129" s="56"/>
      <c r="L129" s="55" t="s">
        <v>199</v>
      </c>
      <c r="M129" s="62">
        <v>0.05</v>
      </c>
      <c r="N129" s="62">
        <v>0.1</v>
      </c>
      <c r="O129" s="62">
        <v>0.2</v>
      </c>
      <c r="P129" s="62">
        <v>0.5</v>
      </c>
      <c r="Q129" s="62">
        <v>1</v>
      </c>
      <c r="R129" s="62">
        <v>2</v>
      </c>
      <c r="S129" s="62">
        <v>5</v>
      </c>
      <c r="T129" s="62">
        <v>10</v>
      </c>
      <c r="U129" s="62">
        <v>20</v>
      </c>
      <c r="V129" s="62">
        <v>50</v>
      </c>
      <c r="W129" s="54"/>
      <c r="X129" s="54"/>
      <c r="Y129" s="63"/>
      <c r="Z129" s="63"/>
      <c r="AA129" s="64"/>
      <c r="AB129" s="54"/>
      <c r="AC129" s="54"/>
      <c r="AD129" s="54"/>
      <c r="AE129" s="54"/>
      <c r="AF129" s="54"/>
    </row>
    <row r="130" spans="1:33" ht="12.75" x14ac:dyDescent="0.2">
      <c r="A130" s="55" t="s">
        <v>200</v>
      </c>
      <c r="B130" s="38">
        <v>33</v>
      </c>
      <c r="C130" s="65">
        <v>27</v>
      </c>
      <c r="D130" s="65">
        <v>18</v>
      </c>
      <c r="E130" s="65">
        <v>11</v>
      </c>
      <c r="F130" s="65">
        <v>14</v>
      </c>
      <c r="G130" s="65">
        <v>7</v>
      </c>
      <c r="H130" s="65">
        <v>2</v>
      </c>
      <c r="I130" s="65">
        <v>1</v>
      </c>
      <c r="J130" s="54"/>
      <c r="K130" s="56"/>
      <c r="L130" s="55" t="s">
        <v>200</v>
      </c>
      <c r="M130" s="38">
        <v>47</v>
      </c>
      <c r="N130" s="65">
        <v>20</v>
      </c>
      <c r="O130" s="65">
        <v>8</v>
      </c>
      <c r="P130" s="65">
        <v>3</v>
      </c>
      <c r="Q130" s="65">
        <v>13</v>
      </c>
      <c r="R130" s="65">
        <v>7</v>
      </c>
      <c r="S130" s="65">
        <v>6</v>
      </c>
      <c r="T130" s="65">
        <v>5</v>
      </c>
      <c r="U130" s="65">
        <v>3</v>
      </c>
      <c r="V130" s="65">
        <v>4</v>
      </c>
      <c r="W130" s="65"/>
      <c r="X130" s="54"/>
      <c r="Y130" s="63"/>
      <c r="Z130" s="63"/>
      <c r="AA130" s="64"/>
      <c r="AB130" s="54"/>
      <c r="AC130" s="54"/>
      <c r="AD130" s="54"/>
      <c r="AE130" s="54"/>
      <c r="AF130" s="54"/>
    </row>
    <row r="131" spans="1:33" ht="12.75" x14ac:dyDescent="0.2">
      <c r="A131" s="55" t="s">
        <v>141</v>
      </c>
      <c r="B131" s="65">
        <f t="shared" ref="B131:I131" si="43">B130*B129</f>
        <v>1.6500000000000001</v>
      </c>
      <c r="C131" s="65">
        <f t="shared" si="43"/>
        <v>2.7</v>
      </c>
      <c r="D131" s="65">
        <f t="shared" si="43"/>
        <v>3.6</v>
      </c>
      <c r="E131" s="65">
        <f t="shared" si="43"/>
        <v>5.5</v>
      </c>
      <c r="F131" s="65">
        <f t="shared" si="43"/>
        <v>14</v>
      </c>
      <c r="G131" s="65">
        <f t="shared" si="43"/>
        <v>14</v>
      </c>
      <c r="H131" s="65">
        <f t="shared" si="43"/>
        <v>10</v>
      </c>
      <c r="I131" s="65">
        <f t="shared" si="43"/>
        <v>10</v>
      </c>
      <c r="J131" s="54">
        <f>SUM(B131:I131)</f>
        <v>61.45</v>
      </c>
      <c r="K131" s="56"/>
      <c r="L131" s="55" t="s">
        <v>141</v>
      </c>
      <c r="M131" s="70">
        <f t="shared" ref="M131:V131" si="44">M130*M129</f>
        <v>2.35</v>
      </c>
      <c r="N131" s="70">
        <f t="shared" si="44"/>
        <v>2</v>
      </c>
      <c r="O131" s="70">
        <f t="shared" si="44"/>
        <v>1.6</v>
      </c>
      <c r="P131" s="70">
        <f t="shared" si="44"/>
        <v>1.5</v>
      </c>
      <c r="Q131" s="70">
        <f t="shared" si="44"/>
        <v>13</v>
      </c>
      <c r="R131" s="70">
        <f t="shared" si="44"/>
        <v>14</v>
      </c>
      <c r="S131" s="70">
        <f t="shared" si="44"/>
        <v>30</v>
      </c>
      <c r="T131" s="70">
        <f t="shared" si="44"/>
        <v>50</v>
      </c>
      <c r="U131" s="70">
        <f t="shared" si="44"/>
        <v>60</v>
      </c>
      <c r="V131" s="70">
        <f t="shared" si="44"/>
        <v>200</v>
      </c>
      <c r="W131" s="54">
        <f>SUM(M131:V131)</f>
        <v>374.45</v>
      </c>
      <c r="X131" s="55">
        <f>W131-J131</f>
        <v>313</v>
      </c>
      <c r="Y131" s="63">
        <v>129.6</v>
      </c>
      <c r="Z131" s="63">
        <v>27.8</v>
      </c>
      <c r="AA131" s="66">
        <f>X131+Z131</f>
        <v>340.8</v>
      </c>
      <c r="AB131" s="55">
        <v>50</v>
      </c>
      <c r="AC131" s="55">
        <f>Y131-AB131</f>
        <v>79.599999999999994</v>
      </c>
      <c r="AD131" s="55">
        <f>X131-Y131</f>
        <v>183.4</v>
      </c>
      <c r="AE131" s="55">
        <v>50</v>
      </c>
      <c r="AF131" s="55">
        <f>AD131-AE131</f>
        <v>133.4</v>
      </c>
      <c r="AG131" s="61"/>
    </row>
    <row r="134" spans="1:33" ht="51" x14ac:dyDescent="0.2">
      <c r="A134" s="52" t="s">
        <v>135</v>
      </c>
      <c r="B134" s="53">
        <v>45620</v>
      </c>
      <c r="C134" s="54"/>
      <c r="D134" s="54"/>
      <c r="E134" s="54"/>
      <c r="F134" s="54"/>
      <c r="G134" s="54"/>
      <c r="H134" s="54"/>
      <c r="I134" s="54"/>
      <c r="J134" s="55" t="s">
        <v>141</v>
      </c>
      <c r="K134" s="56"/>
      <c r="L134" s="52" t="s">
        <v>136</v>
      </c>
      <c r="M134" s="53">
        <v>45620</v>
      </c>
      <c r="N134" s="54"/>
      <c r="O134" s="54"/>
      <c r="P134" s="54"/>
      <c r="Q134" s="54"/>
      <c r="R134" s="54"/>
      <c r="S134" s="54"/>
      <c r="T134" s="54"/>
      <c r="U134" s="54"/>
      <c r="V134" s="54"/>
      <c r="W134" s="55" t="s">
        <v>141</v>
      </c>
      <c r="X134" s="57" t="s">
        <v>192</v>
      </c>
      <c r="Y134" s="58" t="s">
        <v>142</v>
      </c>
      <c r="Z134" s="59" t="s">
        <v>193</v>
      </c>
      <c r="AA134" s="60" t="s">
        <v>194</v>
      </c>
      <c r="AB134" s="57" t="s">
        <v>165</v>
      </c>
      <c r="AC134" s="55" t="s">
        <v>195</v>
      </c>
      <c r="AD134" s="55" t="s">
        <v>196</v>
      </c>
      <c r="AE134" s="57" t="s">
        <v>197</v>
      </c>
      <c r="AF134" s="55" t="s">
        <v>198</v>
      </c>
      <c r="AG134" s="61"/>
    </row>
    <row r="135" spans="1:33" ht="12.75" x14ac:dyDescent="0.2">
      <c r="A135" s="55" t="s">
        <v>199</v>
      </c>
      <c r="B135" s="62">
        <v>0.05</v>
      </c>
      <c r="C135" s="62">
        <v>0.1</v>
      </c>
      <c r="D135" s="62">
        <v>0.2</v>
      </c>
      <c r="E135" s="62">
        <v>0.5</v>
      </c>
      <c r="F135" s="62">
        <v>1</v>
      </c>
      <c r="G135" s="62">
        <v>2</v>
      </c>
      <c r="H135" s="62">
        <v>5</v>
      </c>
      <c r="I135" s="62">
        <v>10</v>
      </c>
      <c r="K135" s="56"/>
      <c r="L135" s="55" t="s">
        <v>199</v>
      </c>
      <c r="M135" s="62">
        <v>0.05</v>
      </c>
      <c r="N135" s="62">
        <v>0.1</v>
      </c>
      <c r="O135" s="62">
        <v>0.2</v>
      </c>
      <c r="P135" s="62">
        <v>0.5</v>
      </c>
      <c r="Q135" s="62">
        <v>1</v>
      </c>
      <c r="R135" s="62">
        <v>2</v>
      </c>
      <c r="S135" s="62">
        <v>5</v>
      </c>
      <c r="T135" s="62">
        <v>10</v>
      </c>
      <c r="U135" s="62">
        <v>20</v>
      </c>
      <c r="V135" s="62">
        <v>50</v>
      </c>
      <c r="W135" s="54"/>
      <c r="X135" s="54"/>
      <c r="Y135" s="63"/>
      <c r="Z135" s="63"/>
      <c r="AA135" s="64"/>
      <c r="AB135" s="54"/>
      <c r="AC135" s="54"/>
      <c r="AD135" s="54"/>
      <c r="AE135" s="54"/>
      <c r="AF135" s="54"/>
    </row>
    <row r="136" spans="1:33" ht="12.75" x14ac:dyDescent="0.2">
      <c r="A136" s="55" t="s">
        <v>200</v>
      </c>
      <c r="B136" s="38">
        <v>47</v>
      </c>
      <c r="C136" s="65">
        <v>20</v>
      </c>
      <c r="D136" s="65">
        <v>8</v>
      </c>
      <c r="E136" s="65">
        <v>3</v>
      </c>
      <c r="F136" s="65">
        <v>10</v>
      </c>
      <c r="G136" s="65">
        <v>7</v>
      </c>
      <c r="H136" s="65">
        <v>2</v>
      </c>
      <c r="I136" s="65">
        <v>1</v>
      </c>
      <c r="J136" s="54"/>
      <c r="K136" s="56"/>
      <c r="L136" s="55" t="s">
        <v>200</v>
      </c>
      <c r="M136" s="38">
        <v>49</v>
      </c>
      <c r="N136" s="65">
        <v>34</v>
      </c>
      <c r="O136" s="65">
        <v>2</v>
      </c>
      <c r="P136" s="65">
        <v>1</v>
      </c>
      <c r="Q136" s="65">
        <v>13</v>
      </c>
      <c r="R136" s="65">
        <v>5</v>
      </c>
      <c r="S136" s="65">
        <v>2</v>
      </c>
      <c r="T136" s="65">
        <v>6</v>
      </c>
      <c r="U136" s="65">
        <v>2</v>
      </c>
      <c r="V136" s="65">
        <v>2</v>
      </c>
      <c r="W136" s="65"/>
      <c r="X136" s="54"/>
      <c r="Y136" s="63"/>
      <c r="Z136" s="63"/>
      <c r="AA136" s="64"/>
      <c r="AB136" s="54"/>
      <c r="AC136" s="54"/>
      <c r="AD136" s="54"/>
      <c r="AE136" s="54"/>
      <c r="AF136" s="54"/>
    </row>
    <row r="137" spans="1:33" ht="12.75" x14ac:dyDescent="0.2">
      <c r="A137" s="55" t="s">
        <v>141</v>
      </c>
      <c r="B137" s="65">
        <f t="shared" ref="B137:I137" si="45">B136*B135</f>
        <v>2.35</v>
      </c>
      <c r="C137" s="65">
        <f t="shared" si="45"/>
        <v>2</v>
      </c>
      <c r="D137" s="65">
        <f t="shared" si="45"/>
        <v>1.6</v>
      </c>
      <c r="E137" s="65">
        <f t="shared" si="45"/>
        <v>1.5</v>
      </c>
      <c r="F137" s="65">
        <f t="shared" si="45"/>
        <v>10</v>
      </c>
      <c r="G137" s="65">
        <f t="shared" si="45"/>
        <v>14</v>
      </c>
      <c r="H137" s="65">
        <f t="shared" si="45"/>
        <v>10</v>
      </c>
      <c r="I137" s="65">
        <f t="shared" si="45"/>
        <v>10</v>
      </c>
      <c r="J137" s="54">
        <f>SUM(B137:I137)</f>
        <v>51.45</v>
      </c>
      <c r="K137" s="56"/>
      <c r="L137" s="55" t="s">
        <v>141</v>
      </c>
      <c r="M137" s="70">
        <f t="shared" ref="M137:V137" si="46">M136*M135</f>
        <v>2.4500000000000002</v>
      </c>
      <c r="N137" s="70">
        <f t="shared" si="46"/>
        <v>3.4000000000000004</v>
      </c>
      <c r="O137" s="70">
        <f t="shared" si="46"/>
        <v>0.4</v>
      </c>
      <c r="P137" s="70">
        <f t="shared" si="46"/>
        <v>0.5</v>
      </c>
      <c r="Q137" s="70">
        <f t="shared" si="46"/>
        <v>13</v>
      </c>
      <c r="R137" s="70">
        <f t="shared" si="46"/>
        <v>10</v>
      </c>
      <c r="S137" s="70">
        <f t="shared" si="46"/>
        <v>10</v>
      </c>
      <c r="T137" s="70">
        <f t="shared" si="46"/>
        <v>60</v>
      </c>
      <c r="U137" s="70">
        <f t="shared" si="46"/>
        <v>40</v>
      </c>
      <c r="V137" s="70">
        <f t="shared" si="46"/>
        <v>100</v>
      </c>
      <c r="W137" s="54">
        <f>SUM(M137:V137)</f>
        <v>239.75</v>
      </c>
      <c r="X137" s="55">
        <f>W137-J137</f>
        <v>188.3</v>
      </c>
      <c r="Y137" s="63">
        <v>93.9</v>
      </c>
      <c r="Z137" s="63">
        <v>18</v>
      </c>
      <c r="AA137" s="66">
        <f>X137+Z137</f>
        <v>206.3</v>
      </c>
      <c r="AB137" s="55">
        <v>30</v>
      </c>
      <c r="AC137" s="55">
        <f>Y137-AB137</f>
        <v>63.900000000000006</v>
      </c>
      <c r="AD137" s="55">
        <f>X137-Y137</f>
        <v>94.4</v>
      </c>
      <c r="AE137" s="55">
        <v>34</v>
      </c>
      <c r="AF137" s="55">
        <f>AD137-AE137</f>
        <v>60.400000000000006</v>
      </c>
      <c r="AG137" s="61"/>
    </row>
    <row r="138" spans="1:33" ht="12.75" x14ac:dyDescent="0.2">
      <c r="AC138" s="38">
        <v>-10</v>
      </c>
    </row>
    <row r="140" spans="1:33" ht="51" x14ac:dyDescent="0.2">
      <c r="A140" s="52" t="s">
        <v>135</v>
      </c>
      <c r="B140" s="53">
        <v>45621</v>
      </c>
      <c r="C140" s="54"/>
      <c r="D140" s="54"/>
      <c r="E140" s="54"/>
      <c r="F140" s="54"/>
      <c r="G140" s="54"/>
      <c r="H140" s="54"/>
      <c r="I140" s="54"/>
      <c r="J140" s="55" t="s">
        <v>141</v>
      </c>
      <c r="K140" s="56"/>
      <c r="L140" s="52" t="s">
        <v>136</v>
      </c>
      <c r="M140" s="53">
        <v>45621</v>
      </c>
      <c r="N140" s="54"/>
      <c r="O140" s="54"/>
      <c r="P140" s="54"/>
      <c r="Q140" s="54"/>
      <c r="R140" s="54"/>
      <c r="S140" s="54"/>
      <c r="T140" s="54"/>
      <c r="U140" s="54"/>
      <c r="V140" s="54"/>
      <c r="W140" s="55" t="s">
        <v>141</v>
      </c>
      <c r="X140" s="57" t="s">
        <v>192</v>
      </c>
      <c r="Y140" s="58" t="s">
        <v>142</v>
      </c>
      <c r="Z140" s="59" t="s">
        <v>193</v>
      </c>
      <c r="AA140" s="60" t="s">
        <v>194</v>
      </c>
      <c r="AB140" s="57" t="s">
        <v>165</v>
      </c>
      <c r="AC140" s="55" t="s">
        <v>195</v>
      </c>
      <c r="AD140" s="55" t="s">
        <v>196</v>
      </c>
      <c r="AE140" s="57" t="s">
        <v>197</v>
      </c>
      <c r="AF140" s="55" t="s">
        <v>198</v>
      </c>
      <c r="AG140" s="61"/>
    </row>
    <row r="141" spans="1:33" ht="12.75" x14ac:dyDescent="0.2">
      <c r="A141" s="55" t="s">
        <v>199</v>
      </c>
      <c r="B141" s="62">
        <v>0.05</v>
      </c>
      <c r="C141" s="62">
        <v>0.1</v>
      </c>
      <c r="D141" s="62">
        <v>0.2</v>
      </c>
      <c r="E141" s="62">
        <v>0.5</v>
      </c>
      <c r="F141" s="62">
        <v>1</v>
      </c>
      <c r="G141" s="62">
        <v>2</v>
      </c>
      <c r="H141" s="62">
        <v>5</v>
      </c>
      <c r="I141" s="62">
        <v>10</v>
      </c>
      <c r="K141" s="56"/>
      <c r="L141" s="55" t="s">
        <v>199</v>
      </c>
      <c r="M141" s="62">
        <v>0.05</v>
      </c>
      <c r="N141" s="62">
        <v>0.1</v>
      </c>
      <c r="O141" s="62">
        <v>0.2</v>
      </c>
      <c r="P141" s="62">
        <v>0.5</v>
      </c>
      <c r="Q141" s="62">
        <v>1</v>
      </c>
      <c r="R141" s="62">
        <v>2</v>
      </c>
      <c r="S141" s="62">
        <v>5</v>
      </c>
      <c r="T141" s="62">
        <v>10</v>
      </c>
      <c r="U141" s="62">
        <v>20</v>
      </c>
      <c r="V141" s="62">
        <v>50</v>
      </c>
      <c r="W141" s="54"/>
      <c r="X141" s="54"/>
      <c r="Y141" s="63"/>
      <c r="Z141" s="63"/>
      <c r="AA141" s="64"/>
      <c r="AB141" s="54"/>
      <c r="AC141" s="54"/>
      <c r="AD141" s="54"/>
      <c r="AE141" s="54"/>
      <c r="AF141" s="54"/>
    </row>
    <row r="142" spans="1:33" ht="12.75" x14ac:dyDescent="0.2">
      <c r="A142" s="55" t="s">
        <v>200</v>
      </c>
      <c r="B142" s="38">
        <v>49</v>
      </c>
      <c r="C142" s="65">
        <v>34</v>
      </c>
      <c r="D142" s="65">
        <v>2</v>
      </c>
      <c r="E142" s="65">
        <v>7</v>
      </c>
      <c r="F142" s="65">
        <v>10</v>
      </c>
      <c r="G142" s="65">
        <v>5</v>
      </c>
      <c r="H142" s="65">
        <v>2</v>
      </c>
      <c r="I142" s="65">
        <v>2</v>
      </c>
      <c r="J142" s="54"/>
      <c r="K142" s="56"/>
      <c r="L142" s="55" t="s">
        <v>200</v>
      </c>
      <c r="M142" s="38">
        <v>55</v>
      </c>
      <c r="N142" s="65">
        <v>27</v>
      </c>
      <c r="O142" s="65">
        <v>36</v>
      </c>
      <c r="P142" s="65">
        <v>6</v>
      </c>
      <c r="Q142" s="65">
        <v>11</v>
      </c>
      <c r="R142" s="65">
        <v>9</v>
      </c>
      <c r="S142" s="65">
        <v>5</v>
      </c>
      <c r="T142" s="65">
        <v>6</v>
      </c>
      <c r="U142" s="65">
        <v>4</v>
      </c>
      <c r="V142" s="65">
        <v>1</v>
      </c>
      <c r="W142" s="65"/>
      <c r="X142" s="54"/>
      <c r="Y142" s="63"/>
      <c r="Z142" s="63"/>
      <c r="AA142" s="64"/>
      <c r="AB142" s="54"/>
      <c r="AC142" s="54"/>
      <c r="AD142" s="54"/>
      <c r="AE142" s="54"/>
      <c r="AF142" s="54"/>
    </row>
    <row r="143" spans="1:33" ht="12.75" x14ac:dyDescent="0.2">
      <c r="A143" s="55" t="s">
        <v>141</v>
      </c>
      <c r="B143" s="65">
        <f t="shared" ref="B143:I143" si="47">B142*B141</f>
        <v>2.4500000000000002</v>
      </c>
      <c r="C143" s="65">
        <f t="shared" si="47"/>
        <v>3.4000000000000004</v>
      </c>
      <c r="D143" s="65">
        <f t="shared" si="47"/>
        <v>0.4</v>
      </c>
      <c r="E143" s="65">
        <f t="shared" si="47"/>
        <v>3.5</v>
      </c>
      <c r="F143" s="65">
        <f t="shared" si="47"/>
        <v>10</v>
      </c>
      <c r="G143" s="65">
        <f t="shared" si="47"/>
        <v>10</v>
      </c>
      <c r="H143" s="65">
        <f t="shared" si="47"/>
        <v>10</v>
      </c>
      <c r="I143" s="65">
        <f t="shared" si="47"/>
        <v>20</v>
      </c>
      <c r="J143" s="54">
        <f>SUM(B143:I143)</f>
        <v>59.75</v>
      </c>
      <c r="K143" s="56"/>
      <c r="L143" s="55" t="s">
        <v>141</v>
      </c>
      <c r="M143" s="70">
        <f t="shared" ref="M143:V143" si="48">M142*M141</f>
        <v>2.75</v>
      </c>
      <c r="N143" s="70">
        <f t="shared" si="48"/>
        <v>2.7</v>
      </c>
      <c r="O143" s="70">
        <f t="shared" si="48"/>
        <v>7.2</v>
      </c>
      <c r="P143" s="70">
        <f t="shared" si="48"/>
        <v>3</v>
      </c>
      <c r="Q143" s="70">
        <f t="shared" si="48"/>
        <v>11</v>
      </c>
      <c r="R143" s="70">
        <f t="shared" si="48"/>
        <v>18</v>
      </c>
      <c r="S143" s="70">
        <f t="shared" si="48"/>
        <v>25</v>
      </c>
      <c r="T143" s="70">
        <f t="shared" si="48"/>
        <v>60</v>
      </c>
      <c r="U143" s="70">
        <f t="shared" si="48"/>
        <v>80</v>
      </c>
      <c r="V143" s="70">
        <f t="shared" si="48"/>
        <v>50</v>
      </c>
      <c r="W143" s="54">
        <f>SUM(M143:V143)</f>
        <v>259.64999999999998</v>
      </c>
      <c r="X143" s="55">
        <f>W143-J143</f>
        <v>199.89999999999998</v>
      </c>
      <c r="Y143" s="63">
        <v>67</v>
      </c>
      <c r="Z143" s="63">
        <v>52</v>
      </c>
      <c r="AA143" s="66">
        <f>X143+Z143</f>
        <v>251.89999999999998</v>
      </c>
      <c r="AB143" s="55">
        <v>40</v>
      </c>
      <c r="AC143" s="55">
        <f>Y143-AB143</f>
        <v>27</v>
      </c>
      <c r="AD143" s="55">
        <f>X143-Y143</f>
        <v>132.89999999999998</v>
      </c>
      <c r="AE143" s="55">
        <f>AD143*0.2</f>
        <v>26.58</v>
      </c>
      <c r="AF143" s="55">
        <f>AD143-AE143</f>
        <v>106.31999999999998</v>
      </c>
      <c r="AG143" s="61"/>
    </row>
    <row r="144" spans="1:33" ht="12.75" x14ac:dyDescent="0.2">
      <c r="AC144" s="38">
        <v>-17</v>
      </c>
    </row>
    <row r="146" spans="1:33" ht="51" x14ac:dyDescent="0.2">
      <c r="A146" s="52" t="s">
        <v>135</v>
      </c>
      <c r="B146" s="53">
        <v>45622</v>
      </c>
      <c r="C146" s="54"/>
      <c r="D146" s="54"/>
      <c r="E146" s="54"/>
      <c r="F146" s="54"/>
      <c r="G146" s="54"/>
      <c r="H146" s="54"/>
      <c r="I146" s="54"/>
      <c r="J146" s="55" t="s">
        <v>141</v>
      </c>
      <c r="K146" s="56"/>
      <c r="L146" s="52" t="s">
        <v>136</v>
      </c>
      <c r="M146" s="53">
        <v>45622</v>
      </c>
      <c r="N146" s="54"/>
      <c r="O146" s="54"/>
      <c r="P146" s="54"/>
      <c r="Q146" s="54"/>
      <c r="R146" s="54"/>
      <c r="S146" s="54"/>
      <c r="T146" s="54"/>
      <c r="U146" s="54"/>
      <c r="V146" s="54"/>
      <c r="W146" s="55" t="s">
        <v>141</v>
      </c>
      <c r="X146" s="57" t="s">
        <v>192</v>
      </c>
      <c r="Y146" s="58" t="s">
        <v>142</v>
      </c>
      <c r="Z146" s="59" t="s">
        <v>193</v>
      </c>
      <c r="AA146" s="60" t="s">
        <v>194</v>
      </c>
      <c r="AB146" s="57" t="s">
        <v>165</v>
      </c>
      <c r="AC146" s="55" t="s">
        <v>195</v>
      </c>
      <c r="AD146" s="55" t="s">
        <v>196</v>
      </c>
      <c r="AE146" s="57" t="s">
        <v>197</v>
      </c>
      <c r="AF146" s="55" t="s">
        <v>198</v>
      </c>
      <c r="AG146" s="61"/>
    </row>
    <row r="147" spans="1:33" ht="12.75" x14ac:dyDescent="0.2">
      <c r="A147" s="55" t="s">
        <v>199</v>
      </c>
      <c r="B147" s="62">
        <v>0.05</v>
      </c>
      <c r="C147" s="62">
        <v>0.1</v>
      </c>
      <c r="D147" s="62">
        <v>0.2</v>
      </c>
      <c r="E147" s="62">
        <v>0.5</v>
      </c>
      <c r="F147" s="62">
        <v>1</v>
      </c>
      <c r="G147" s="62">
        <v>2</v>
      </c>
      <c r="H147" s="62">
        <v>5</v>
      </c>
      <c r="I147" s="62">
        <v>10</v>
      </c>
      <c r="K147" s="56"/>
      <c r="L147" s="55" t="s">
        <v>199</v>
      </c>
      <c r="M147" s="62">
        <v>0.05</v>
      </c>
      <c r="N147" s="62">
        <v>0.1</v>
      </c>
      <c r="O147" s="62">
        <v>0.2</v>
      </c>
      <c r="P147" s="62">
        <v>0.5</v>
      </c>
      <c r="Q147" s="62">
        <v>1</v>
      </c>
      <c r="R147" s="62">
        <v>2</v>
      </c>
      <c r="S147" s="62">
        <v>5</v>
      </c>
      <c r="T147" s="62">
        <v>10</v>
      </c>
      <c r="U147" s="62">
        <v>20</v>
      </c>
      <c r="V147" s="62">
        <v>50</v>
      </c>
      <c r="W147" s="54"/>
      <c r="X147" s="54"/>
      <c r="Y147" s="63"/>
      <c r="Z147" s="63"/>
      <c r="AA147" s="64"/>
      <c r="AB147" s="54"/>
      <c r="AC147" s="54"/>
      <c r="AD147" s="54"/>
      <c r="AE147" s="54"/>
      <c r="AF147" s="54"/>
    </row>
    <row r="148" spans="1:33" ht="12.75" x14ac:dyDescent="0.2">
      <c r="A148" s="55" t="s">
        <v>200</v>
      </c>
      <c r="B148" s="38">
        <v>55</v>
      </c>
      <c r="C148" s="65">
        <v>27</v>
      </c>
      <c r="D148" s="65">
        <v>36</v>
      </c>
      <c r="E148" s="65">
        <v>6</v>
      </c>
      <c r="F148" s="65">
        <v>11</v>
      </c>
      <c r="G148" s="65">
        <v>6</v>
      </c>
      <c r="H148" s="65">
        <v>2</v>
      </c>
      <c r="I148" s="65">
        <v>1</v>
      </c>
      <c r="J148" s="54"/>
      <c r="K148" s="56"/>
      <c r="L148" s="55" t="s">
        <v>200</v>
      </c>
      <c r="M148" s="38">
        <v>60</v>
      </c>
      <c r="N148" s="65">
        <v>32</v>
      </c>
      <c r="O148" s="65">
        <v>17</v>
      </c>
      <c r="P148" s="65">
        <v>2</v>
      </c>
      <c r="Q148" s="65">
        <v>19</v>
      </c>
      <c r="R148" s="65">
        <v>3</v>
      </c>
      <c r="S148" s="65">
        <v>1</v>
      </c>
      <c r="T148" s="65">
        <v>5</v>
      </c>
      <c r="U148" s="65">
        <v>5</v>
      </c>
      <c r="V148" s="65">
        <v>2</v>
      </c>
      <c r="W148" s="65"/>
      <c r="X148" s="54"/>
      <c r="Y148" s="63"/>
      <c r="Z148" s="63"/>
      <c r="AA148" s="64"/>
      <c r="AB148" s="54"/>
      <c r="AC148" s="54"/>
      <c r="AD148" s="54"/>
      <c r="AE148" s="54"/>
      <c r="AF148" s="54"/>
    </row>
    <row r="149" spans="1:33" ht="12.75" x14ac:dyDescent="0.2">
      <c r="A149" s="55" t="s">
        <v>141</v>
      </c>
      <c r="B149" s="65">
        <f t="shared" ref="B149:I149" si="49">B148*B147</f>
        <v>2.75</v>
      </c>
      <c r="C149" s="65">
        <f t="shared" si="49"/>
        <v>2.7</v>
      </c>
      <c r="D149" s="65">
        <f t="shared" si="49"/>
        <v>7.2</v>
      </c>
      <c r="E149" s="65">
        <f t="shared" si="49"/>
        <v>3</v>
      </c>
      <c r="F149" s="65">
        <f t="shared" si="49"/>
        <v>11</v>
      </c>
      <c r="G149" s="65">
        <f t="shared" si="49"/>
        <v>12</v>
      </c>
      <c r="H149" s="65">
        <f t="shared" si="49"/>
        <v>10</v>
      </c>
      <c r="I149" s="65">
        <f t="shared" si="49"/>
        <v>10</v>
      </c>
      <c r="J149" s="54">
        <f>SUM(B149:I149)</f>
        <v>58.65</v>
      </c>
      <c r="K149" s="56"/>
      <c r="L149" s="55" t="s">
        <v>141</v>
      </c>
      <c r="M149" s="70">
        <f t="shared" ref="M149:V149" si="50">M148*M147</f>
        <v>3</v>
      </c>
      <c r="N149" s="70">
        <f t="shared" si="50"/>
        <v>3.2</v>
      </c>
      <c r="O149" s="70">
        <f t="shared" si="50"/>
        <v>3.4000000000000004</v>
      </c>
      <c r="P149" s="70">
        <f t="shared" si="50"/>
        <v>1</v>
      </c>
      <c r="Q149" s="70">
        <f t="shared" si="50"/>
        <v>19</v>
      </c>
      <c r="R149" s="70">
        <f t="shared" si="50"/>
        <v>6</v>
      </c>
      <c r="S149" s="70">
        <f t="shared" si="50"/>
        <v>5</v>
      </c>
      <c r="T149" s="70">
        <f t="shared" si="50"/>
        <v>50</v>
      </c>
      <c r="U149" s="70">
        <f t="shared" si="50"/>
        <v>100</v>
      </c>
      <c r="V149" s="70">
        <f t="shared" si="50"/>
        <v>100</v>
      </c>
      <c r="W149" s="54">
        <f>SUM(M149:V149)</f>
        <v>290.60000000000002</v>
      </c>
      <c r="X149" s="55">
        <f>W149-J149</f>
        <v>231.95000000000002</v>
      </c>
      <c r="Y149" s="63">
        <v>69.099999999999994</v>
      </c>
      <c r="Z149" s="63">
        <v>54.9</v>
      </c>
      <c r="AA149" s="66">
        <f>X149+Z149</f>
        <v>286.85000000000002</v>
      </c>
      <c r="AB149" s="55">
        <f>SUM(Y149+Z149)*0.3</f>
        <v>37.199999999999996</v>
      </c>
      <c r="AC149" s="55">
        <f>Y149-AB149</f>
        <v>31.9</v>
      </c>
      <c r="AD149" s="55">
        <f>X149-Y149</f>
        <v>162.85000000000002</v>
      </c>
      <c r="AE149" s="55">
        <v>40</v>
      </c>
      <c r="AF149" s="55">
        <f>AD149-AE149</f>
        <v>122.85000000000002</v>
      </c>
      <c r="AG149" s="61"/>
    </row>
    <row r="150" spans="1:33" ht="12.75" x14ac:dyDescent="0.2">
      <c r="AC150" s="38">
        <v>-32</v>
      </c>
    </row>
    <row r="152" spans="1:33" ht="51" x14ac:dyDescent="0.2">
      <c r="A152" s="52" t="s">
        <v>135</v>
      </c>
      <c r="B152" s="39">
        <v>45623</v>
      </c>
      <c r="C152" s="54"/>
      <c r="D152" s="54"/>
      <c r="E152" s="54"/>
      <c r="F152" s="54"/>
      <c r="G152" s="54"/>
      <c r="H152" s="54"/>
      <c r="I152" s="54"/>
      <c r="J152" s="55" t="s">
        <v>141</v>
      </c>
      <c r="K152" s="56"/>
      <c r="L152" s="52" t="s">
        <v>136</v>
      </c>
      <c r="M152" s="39">
        <v>45623</v>
      </c>
      <c r="N152" s="54"/>
      <c r="O152" s="54"/>
      <c r="P152" s="54"/>
      <c r="Q152" s="54"/>
      <c r="R152" s="54"/>
      <c r="S152" s="54"/>
      <c r="T152" s="54"/>
      <c r="U152" s="54"/>
      <c r="V152" s="54"/>
      <c r="W152" s="55" t="s">
        <v>141</v>
      </c>
      <c r="X152" s="57" t="s">
        <v>192</v>
      </c>
      <c r="Y152" s="58" t="s">
        <v>142</v>
      </c>
      <c r="Z152" s="59" t="s">
        <v>193</v>
      </c>
      <c r="AA152" s="60" t="s">
        <v>194</v>
      </c>
      <c r="AB152" s="57" t="s">
        <v>165</v>
      </c>
      <c r="AC152" s="55" t="s">
        <v>195</v>
      </c>
      <c r="AD152" s="55" t="s">
        <v>196</v>
      </c>
      <c r="AE152" s="57" t="s">
        <v>197</v>
      </c>
      <c r="AF152" s="55" t="s">
        <v>198</v>
      </c>
      <c r="AG152" s="61"/>
    </row>
    <row r="153" spans="1:33" ht="12.75" x14ac:dyDescent="0.2">
      <c r="A153" s="55" t="s">
        <v>199</v>
      </c>
      <c r="B153" s="62">
        <v>0.05</v>
      </c>
      <c r="C153" s="62">
        <v>0.1</v>
      </c>
      <c r="D153" s="62">
        <v>0.2</v>
      </c>
      <c r="E153" s="62">
        <v>0.5</v>
      </c>
      <c r="F153" s="62">
        <v>1</v>
      </c>
      <c r="G153" s="62">
        <v>2</v>
      </c>
      <c r="H153" s="62">
        <v>5</v>
      </c>
      <c r="I153" s="62">
        <v>10</v>
      </c>
      <c r="K153" s="56"/>
      <c r="L153" s="55" t="s">
        <v>199</v>
      </c>
      <c r="M153" s="62">
        <v>0.05</v>
      </c>
      <c r="N153" s="62">
        <v>0.1</v>
      </c>
      <c r="O153" s="62">
        <v>0.2</v>
      </c>
      <c r="P153" s="62">
        <v>0.5</v>
      </c>
      <c r="Q153" s="62">
        <v>1</v>
      </c>
      <c r="R153" s="62">
        <v>2</v>
      </c>
      <c r="S153" s="62">
        <v>5</v>
      </c>
      <c r="T153" s="62">
        <v>10</v>
      </c>
      <c r="U153" s="62">
        <v>20</v>
      </c>
      <c r="V153" s="62">
        <v>50</v>
      </c>
      <c r="W153" s="54"/>
      <c r="X153" s="54"/>
      <c r="Y153" s="63"/>
      <c r="Z153" s="63"/>
      <c r="AA153" s="64"/>
      <c r="AB153" s="54"/>
      <c r="AC153" s="54"/>
      <c r="AD153" s="54"/>
      <c r="AE153" s="54"/>
      <c r="AF153" s="54"/>
    </row>
    <row r="154" spans="1:33" ht="12.75" x14ac:dyDescent="0.2">
      <c r="A154" s="55" t="s">
        <v>200</v>
      </c>
      <c r="B154" s="38">
        <v>60</v>
      </c>
      <c r="C154" s="65">
        <v>32</v>
      </c>
      <c r="D154" s="65">
        <v>17</v>
      </c>
      <c r="E154" s="65">
        <v>4</v>
      </c>
      <c r="F154" s="65">
        <v>10</v>
      </c>
      <c r="G154" s="65">
        <v>5</v>
      </c>
      <c r="H154" s="65">
        <v>2</v>
      </c>
      <c r="I154" s="65">
        <v>1</v>
      </c>
      <c r="J154" s="54"/>
      <c r="K154" s="56"/>
      <c r="L154" s="55" t="s">
        <v>200</v>
      </c>
      <c r="M154" s="38">
        <v>65</v>
      </c>
      <c r="N154" s="65">
        <v>33</v>
      </c>
      <c r="O154" s="65">
        <v>13</v>
      </c>
      <c r="P154" s="65">
        <v>6</v>
      </c>
      <c r="Q154" s="65">
        <v>19</v>
      </c>
      <c r="R154" s="65">
        <v>9</v>
      </c>
      <c r="S154" s="65">
        <v>9</v>
      </c>
      <c r="T154" s="65">
        <v>3</v>
      </c>
      <c r="U154" s="65">
        <v>9</v>
      </c>
      <c r="V154" s="65"/>
      <c r="W154" s="65"/>
      <c r="X154" s="54"/>
      <c r="Y154" s="63"/>
      <c r="Z154" s="63"/>
      <c r="AA154" s="64"/>
      <c r="AB154" s="54"/>
      <c r="AC154" s="54"/>
      <c r="AD154" s="54"/>
      <c r="AE154" s="54"/>
      <c r="AF154" s="54"/>
    </row>
    <row r="155" spans="1:33" ht="12.75" x14ac:dyDescent="0.2">
      <c r="A155" s="55" t="s">
        <v>141</v>
      </c>
      <c r="B155" s="65">
        <f t="shared" ref="B155:I155" si="51">B154*B153</f>
        <v>3</v>
      </c>
      <c r="C155" s="65">
        <f t="shared" si="51"/>
        <v>3.2</v>
      </c>
      <c r="D155" s="65">
        <f t="shared" si="51"/>
        <v>3.4000000000000004</v>
      </c>
      <c r="E155" s="65">
        <f t="shared" si="51"/>
        <v>2</v>
      </c>
      <c r="F155" s="65">
        <f t="shared" si="51"/>
        <v>10</v>
      </c>
      <c r="G155" s="65">
        <f t="shared" si="51"/>
        <v>10</v>
      </c>
      <c r="H155" s="65">
        <f t="shared" si="51"/>
        <v>10</v>
      </c>
      <c r="I155" s="65">
        <f t="shared" si="51"/>
        <v>10</v>
      </c>
      <c r="J155" s="54">
        <f>SUM(B155:I155)</f>
        <v>51.6</v>
      </c>
      <c r="K155" s="56"/>
      <c r="L155" s="55" t="s">
        <v>141</v>
      </c>
      <c r="M155" s="70">
        <f t="shared" ref="M155:V155" si="52">M154*M153</f>
        <v>3.25</v>
      </c>
      <c r="N155" s="70">
        <f t="shared" si="52"/>
        <v>3.3000000000000003</v>
      </c>
      <c r="O155" s="70">
        <f t="shared" si="52"/>
        <v>2.6</v>
      </c>
      <c r="P155" s="70">
        <f t="shared" si="52"/>
        <v>3</v>
      </c>
      <c r="Q155" s="70">
        <f t="shared" si="52"/>
        <v>19</v>
      </c>
      <c r="R155" s="70">
        <f t="shared" si="52"/>
        <v>18</v>
      </c>
      <c r="S155" s="70">
        <f t="shared" si="52"/>
        <v>45</v>
      </c>
      <c r="T155" s="70">
        <f t="shared" si="52"/>
        <v>30</v>
      </c>
      <c r="U155" s="70">
        <f t="shared" si="52"/>
        <v>180</v>
      </c>
      <c r="V155" s="70">
        <f t="shared" si="52"/>
        <v>0</v>
      </c>
      <c r="W155" s="54">
        <f>SUM(M155:V155)</f>
        <v>304.14999999999998</v>
      </c>
      <c r="X155" s="55">
        <f>W155-J155</f>
        <v>252.54999999999998</v>
      </c>
      <c r="Y155" s="63">
        <v>65.3</v>
      </c>
      <c r="Z155" s="63">
        <v>35.6</v>
      </c>
      <c r="AA155" s="66">
        <f>X155+Z155</f>
        <v>288.14999999999998</v>
      </c>
      <c r="AB155" s="55">
        <f>SUM(Y155+Z155)*0.3</f>
        <v>30.27</v>
      </c>
      <c r="AC155" s="55">
        <f>Y155-AB155</f>
        <v>35.03</v>
      </c>
      <c r="AD155" s="55">
        <f>X155-Y155</f>
        <v>187.25</v>
      </c>
      <c r="AE155" s="55">
        <f>AD155*0.2</f>
        <v>37.450000000000003</v>
      </c>
      <c r="AF155" s="55">
        <f>AD155-AE155</f>
        <v>149.80000000000001</v>
      </c>
      <c r="AG155" s="61"/>
    </row>
    <row r="158" spans="1:33" ht="51" x14ac:dyDescent="0.2">
      <c r="A158" s="52" t="s">
        <v>135</v>
      </c>
      <c r="B158" s="39">
        <v>45624</v>
      </c>
      <c r="C158" s="54"/>
      <c r="D158" s="54"/>
      <c r="E158" s="54"/>
      <c r="F158" s="54"/>
      <c r="G158" s="54"/>
      <c r="H158" s="54"/>
      <c r="I158" s="54"/>
      <c r="J158" s="55" t="s">
        <v>141</v>
      </c>
      <c r="K158" s="56"/>
      <c r="L158" s="52" t="s">
        <v>136</v>
      </c>
      <c r="M158" s="39">
        <v>45624</v>
      </c>
      <c r="N158" s="54"/>
      <c r="O158" s="54"/>
      <c r="P158" s="54"/>
      <c r="Q158" s="54"/>
      <c r="R158" s="54"/>
      <c r="S158" s="54"/>
      <c r="T158" s="54"/>
      <c r="U158" s="54"/>
      <c r="V158" s="54"/>
      <c r="W158" s="55" t="s">
        <v>141</v>
      </c>
      <c r="X158" s="57" t="s">
        <v>192</v>
      </c>
      <c r="Y158" s="58" t="s">
        <v>142</v>
      </c>
      <c r="Z158" s="59" t="s">
        <v>193</v>
      </c>
      <c r="AA158" s="60" t="s">
        <v>194</v>
      </c>
      <c r="AB158" s="57" t="s">
        <v>165</v>
      </c>
      <c r="AC158" s="55" t="s">
        <v>195</v>
      </c>
      <c r="AD158" s="55" t="s">
        <v>196</v>
      </c>
      <c r="AE158" s="57" t="s">
        <v>197</v>
      </c>
      <c r="AF158" s="55" t="s">
        <v>198</v>
      </c>
      <c r="AG158" s="61"/>
    </row>
    <row r="159" spans="1:33" ht="12.75" x14ac:dyDescent="0.2">
      <c r="A159" s="55" t="s">
        <v>199</v>
      </c>
      <c r="B159" s="62">
        <v>0.05</v>
      </c>
      <c r="C159" s="62">
        <v>0.1</v>
      </c>
      <c r="D159" s="62">
        <v>0.2</v>
      </c>
      <c r="E159" s="62">
        <v>0.5</v>
      </c>
      <c r="F159" s="62">
        <v>1</v>
      </c>
      <c r="G159" s="62">
        <v>2</v>
      </c>
      <c r="H159" s="62">
        <v>5</v>
      </c>
      <c r="I159" s="62">
        <v>10</v>
      </c>
      <c r="K159" s="56"/>
      <c r="L159" s="55" t="s">
        <v>199</v>
      </c>
      <c r="M159" s="62">
        <v>0.05</v>
      </c>
      <c r="N159" s="62">
        <v>0.1</v>
      </c>
      <c r="O159" s="62">
        <v>0.2</v>
      </c>
      <c r="P159" s="62">
        <v>0.5</v>
      </c>
      <c r="Q159" s="62">
        <v>1</v>
      </c>
      <c r="R159" s="62">
        <v>2</v>
      </c>
      <c r="S159" s="62">
        <v>5</v>
      </c>
      <c r="T159" s="62">
        <v>10</v>
      </c>
      <c r="U159" s="62">
        <v>20</v>
      </c>
      <c r="V159" s="62">
        <v>50</v>
      </c>
      <c r="W159" s="54"/>
      <c r="X159" s="54"/>
      <c r="Y159" s="63"/>
      <c r="Z159" s="63"/>
      <c r="AA159" s="64"/>
      <c r="AB159" s="54"/>
      <c r="AC159" s="54"/>
      <c r="AD159" s="54"/>
      <c r="AE159" s="54"/>
      <c r="AF159" s="54"/>
    </row>
    <row r="160" spans="1:33" ht="12.75" x14ac:dyDescent="0.2">
      <c r="A160" s="55" t="s">
        <v>200</v>
      </c>
      <c r="B160" s="38">
        <v>65</v>
      </c>
      <c r="C160" s="65">
        <v>33</v>
      </c>
      <c r="D160" s="65">
        <v>13</v>
      </c>
      <c r="E160" s="65">
        <v>6</v>
      </c>
      <c r="F160" s="65">
        <v>10</v>
      </c>
      <c r="G160" s="65">
        <v>5</v>
      </c>
      <c r="H160" s="65">
        <v>2</v>
      </c>
      <c r="I160" s="65">
        <v>1</v>
      </c>
      <c r="J160" s="54"/>
      <c r="K160" s="56"/>
      <c r="L160" s="55" t="s">
        <v>200</v>
      </c>
      <c r="M160" s="38">
        <v>68</v>
      </c>
      <c r="N160" s="65">
        <v>27</v>
      </c>
      <c r="O160" s="65">
        <v>8</v>
      </c>
      <c r="P160" s="65"/>
      <c r="Q160" s="65">
        <v>11</v>
      </c>
      <c r="R160" s="65">
        <v>7</v>
      </c>
      <c r="S160" s="65">
        <v>7</v>
      </c>
      <c r="T160" s="65">
        <v>4</v>
      </c>
      <c r="U160" s="65"/>
      <c r="V160" s="65">
        <v>4</v>
      </c>
      <c r="W160" s="65"/>
      <c r="X160" s="54"/>
      <c r="Y160" s="63"/>
      <c r="Z160" s="63"/>
      <c r="AA160" s="64"/>
      <c r="AB160" s="54"/>
      <c r="AC160" s="54"/>
      <c r="AD160" s="54"/>
      <c r="AE160" s="54"/>
      <c r="AF160" s="54"/>
    </row>
    <row r="161" spans="1:33" ht="12.75" x14ac:dyDescent="0.2">
      <c r="A161" s="55" t="s">
        <v>141</v>
      </c>
      <c r="B161" s="65">
        <f t="shared" ref="B161:I161" si="53">B160*B159</f>
        <v>3.25</v>
      </c>
      <c r="C161" s="65">
        <f t="shared" si="53"/>
        <v>3.3000000000000003</v>
      </c>
      <c r="D161" s="65">
        <f t="shared" si="53"/>
        <v>2.6</v>
      </c>
      <c r="E161" s="65">
        <f t="shared" si="53"/>
        <v>3</v>
      </c>
      <c r="F161" s="65">
        <f t="shared" si="53"/>
        <v>10</v>
      </c>
      <c r="G161" s="65">
        <f t="shared" si="53"/>
        <v>10</v>
      </c>
      <c r="H161" s="65">
        <f t="shared" si="53"/>
        <v>10</v>
      </c>
      <c r="I161" s="65">
        <f t="shared" si="53"/>
        <v>10</v>
      </c>
      <c r="J161" s="54">
        <f>SUM(B161:I161)</f>
        <v>52.15</v>
      </c>
      <c r="K161" s="56"/>
      <c r="L161" s="55" t="s">
        <v>141</v>
      </c>
      <c r="M161" s="70">
        <f t="shared" ref="M161:V161" si="54">M160*M159</f>
        <v>3.4000000000000004</v>
      </c>
      <c r="N161" s="70">
        <f t="shared" si="54"/>
        <v>2.7</v>
      </c>
      <c r="O161" s="70">
        <f t="shared" si="54"/>
        <v>1.6</v>
      </c>
      <c r="P161" s="70">
        <f t="shared" si="54"/>
        <v>0</v>
      </c>
      <c r="Q161" s="70">
        <f t="shared" si="54"/>
        <v>11</v>
      </c>
      <c r="R161" s="70">
        <f t="shared" si="54"/>
        <v>14</v>
      </c>
      <c r="S161" s="70">
        <f t="shared" si="54"/>
        <v>35</v>
      </c>
      <c r="T161" s="70">
        <f t="shared" si="54"/>
        <v>40</v>
      </c>
      <c r="U161" s="70">
        <f t="shared" si="54"/>
        <v>0</v>
      </c>
      <c r="V161" s="70">
        <f t="shared" si="54"/>
        <v>200</v>
      </c>
      <c r="W161" s="54">
        <f>SUM(M161:V161)</f>
        <v>307.7</v>
      </c>
      <c r="X161" s="55">
        <f>W161-J161</f>
        <v>255.54999999999998</v>
      </c>
      <c r="Y161" s="63">
        <v>85.3</v>
      </c>
      <c r="Z161" s="63">
        <v>24.5</v>
      </c>
      <c r="AA161" s="66">
        <f>X161+Z161</f>
        <v>280.04999999999995</v>
      </c>
      <c r="AB161" s="55">
        <v>40</v>
      </c>
      <c r="AC161" s="55">
        <f>Y161-AB161</f>
        <v>45.3</v>
      </c>
      <c r="AD161" s="55">
        <f>X161-Y161</f>
        <v>170.25</v>
      </c>
      <c r="AE161" s="55"/>
      <c r="AF161" s="55">
        <f>AD161-AE161</f>
        <v>170.25</v>
      </c>
      <c r="AG161" s="61"/>
    </row>
    <row r="164" spans="1:33" ht="51" x14ac:dyDescent="0.2">
      <c r="A164" s="52" t="s">
        <v>135</v>
      </c>
      <c r="B164" s="39">
        <v>9907171</v>
      </c>
      <c r="C164" s="54"/>
      <c r="D164" s="54"/>
      <c r="E164" s="54"/>
      <c r="F164" s="54"/>
      <c r="G164" s="54"/>
      <c r="H164" s="54"/>
      <c r="I164" s="54"/>
      <c r="J164" s="55" t="s">
        <v>141</v>
      </c>
      <c r="K164" s="56"/>
      <c r="L164" s="52" t="s">
        <v>136</v>
      </c>
      <c r="M164" s="39">
        <v>45625</v>
      </c>
      <c r="N164" s="54"/>
      <c r="O164" s="54"/>
      <c r="P164" s="54"/>
      <c r="Q164" s="54"/>
      <c r="R164" s="54"/>
      <c r="S164" s="54"/>
      <c r="T164" s="54"/>
      <c r="U164" s="54"/>
      <c r="V164" s="54"/>
      <c r="W164" s="55" t="s">
        <v>141</v>
      </c>
      <c r="X164" s="57" t="s">
        <v>192</v>
      </c>
      <c r="Y164" s="58" t="s">
        <v>142</v>
      </c>
      <c r="Z164" s="59" t="s">
        <v>193</v>
      </c>
      <c r="AA164" s="60" t="s">
        <v>194</v>
      </c>
      <c r="AB164" s="57" t="s">
        <v>165</v>
      </c>
      <c r="AC164" s="55" t="s">
        <v>195</v>
      </c>
      <c r="AD164" s="55" t="s">
        <v>196</v>
      </c>
      <c r="AE164" s="57" t="s">
        <v>197</v>
      </c>
      <c r="AF164" s="55" t="s">
        <v>198</v>
      </c>
      <c r="AG164" s="61"/>
    </row>
    <row r="165" spans="1:33" ht="12.75" x14ac:dyDescent="0.2">
      <c r="A165" s="55" t="s">
        <v>199</v>
      </c>
      <c r="B165" s="62">
        <v>0.05</v>
      </c>
      <c r="C165" s="62">
        <v>0.1</v>
      </c>
      <c r="D165" s="62">
        <v>0.2</v>
      </c>
      <c r="E165" s="62">
        <v>0.5</v>
      </c>
      <c r="F165" s="62">
        <v>1</v>
      </c>
      <c r="G165" s="62">
        <v>2</v>
      </c>
      <c r="H165" s="62">
        <v>5</v>
      </c>
      <c r="I165" s="62">
        <v>10</v>
      </c>
      <c r="K165" s="56"/>
      <c r="L165" s="55" t="s">
        <v>199</v>
      </c>
      <c r="M165" s="62">
        <v>0.05</v>
      </c>
      <c r="N165" s="62">
        <v>0.1</v>
      </c>
      <c r="O165" s="62">
        <v>0.2</v>
      </c>
      <c r="P165" s="62">
        <v>0.5</v>
      </c>
      <c r="Q165" s="62">
        <v>1</v>
      </c>
      <c r="R165" s="62">
        <v>2</v>
      </c>
      <c r="S165" s="62">
        <v>5</v>
      </c>
      <c r="T165" s="62">
        <v>10</v>
      </c>
      <c r="U165" s="62">
        <v>20</v>
      </c>
      <c r="V165" s="62">
        <v>50</v>
      </c>
      <c r="W165" s="54"/>
      <c r="X165" s="54"/>
      <c r="Y165" s="63"/>
      <c r="Z165" s="63"/>
      <c r="AA165" s="64"/>
      <c r="AB165" s="54"/>
      <c r="AC165" s="54"/>
      <c r="AD165" s="54"/>
      <c r="AE165" s="54"/>
      <c r="AF165" s="54"/>
    </row>
    <row r="166" spans="1:33" ht="12.75" x14ac:dyDescent="0.2">
      <c r="A166" s="55" t="s">
        <v>200</v>
      </c>
      <c r="B166" s="38">
        <v>68</v>
      </c>
      <c r="C166" s="65">
        <v>27</v>
      </c>
      <c r="D166" s="65">
        <v>8</v>
      </c>
      <c r="E166" s="65"/>
      <c r="F166" s="65">
        <v>11</v>
      </c>
      <c r="G166" s="65">
        <v>7</v>
      </c>
      <c r="H166" s="65">
        <v>2</v>
      </c>
      <c r="I166" s="65">
        <v>1</v>
      </c>
      <c r="J166" s="54"/>
      <c r="K166" s="56"/>
      <c r="L166" s="55" t="s">
        <v>200</v>
      </c>
      <c r="M166" s="38">
        <v>71</v>
      </c>
      <c r="N166" s="65">
        <v>57</v>
      </c>
      <c r="O166" s="65">
        <v>9</v>
      </c>
      <c r="P166" s="65">
        <v>9</v>
      </c>
      <c r="Q166" s="65">
        <v>13</v>
      </c>
      <c r="R166" s="65">
        <v>1</v>
      </c>
      <c r="S166" s="65">
        <v>5</v>
      </c>
      <c r="T166" s="65">
        <v>10</v>
      </c>
      <c r="U166" s="65">
        <v>6</v>
      </c>
      <c r="V166" s="65">
        <v>1</v>
      </c>
      <c r="W166" s="65"/>
      <c r="X166" s="54"/>
      <c r="Y166" s="63"/>
      <c r="Z166" s="63"/>
      <c r="AA166" s="64"/>
      <c r="AB166" s="54"/>
      <c r="AC166" s="54"/>
      <c r="AD166" s="54"/>
      <c r="AE166" s="54"/>
      <c r="AF166" s="54"/>
    </row>
    <row r="167" spans="1:33" ht="12.75" x14ac:dyDescent="0.2">
      <c r="A167" s="55" t="s">
        <v>141</v>
      </c>
      <c r="B167" s="65">
        <f t="shared" ref="B167:I167" si="55">B166*B165</f>
        <v>3.4000000000000004</v>
      </c>
      <c r="C167" s="65">
        <f t="shared" si="55"/>
        <v>2.7</v>
      </c>
      <c r="D167" s="65">
        <f t="shared" si="55"/>
        <v>1.6</v>
      </c>
      <c r="E167" s="65">
        <f t="shared" si="55"/>
        <v>0</v>
      </c>
      <c r="F167" s="65">
        <f t="shared" si="55"/>
        <v>11</v>
      </c>
      <c r="G167" s="65">
        <f t="shared" si="55"/>
        <v>14</v>
      </c>
      <c r="H167" s="65">
        <f t="shared" si="55"/>
        <v>10</v>
      </c>
      <c r="I167" s="65">
        <f t="shared" si="55"/>
        <v>10</v>
      </c>
      <c r="J167" s="54">
        <f>SUM(B167:I167)</f>
        <v>52.7</v>
      </c>
      <c r="K167" s="56"/>
      <c r="L167" s="55" t="s">
        <v>141</v>
      </c>
      <c r="M167" s="70">
        <f t="shared" ref="M167:V167" si="56">M166*M165</f>
        <v>3.5500000000000003</v>
      </c>
      <c r="N167" s="70">
        <f t="shared" si="56"/>
        <v>5.7</v>
      </c>
      <c r="O167" s="70">
        <f t="shared" si="56"/>
        <v>1.8</v>
      </c>
      <c r="P167" s="70">
        <f t="shared" si="56"/>
        <v>4.5</v>
      </c>
      <c r="Q167" s="70">
        <f t="shared" si="56"/>
        <v>13</v>
      </c>
      <c r="R167" s="70">
        <f t="shared" si="56"/>
        <v>2</v>
      </c>
      <c r="S167" s="70">
        <f t="shared" si="56"/>
        <v>25</v>
      </c>
      <c r="T167" s="70">
        <f t="shared" si="56"/>
        <v>100</v>
      </c>
      <c r="U167" s="70">
        <f t="shared" si="56"/>
        <v>120</v>
      </c>
      <c r="V167" s="70">
        <f t="shared" si="56"/>
        <v>50</v>
      </c>
      <c r="W167" s="54">
        <f>SUM(M167:V167)</f>
        <v>325.55</v>
      </c>
      <c r="X167" s="55">
        <f>W167-J167</f>
        <v>272.85000000000002</v>
      </c>
      <c r="Y167" s="63">
        <v>66.3</v>
      </c>
      <c r="Z167" s="63">
        <v>31</v>
      </c>
      <c r="AA167" s="66">
        <f>X167+Z167</f>
        <v>303.85000000000002</v>
      </c>
      <c r="AB167" s="55">
        <v>30</v>
      </c>
      <c r="AC167" s="55">
        <f>Y167-AB167</f>
        <v>36.299999999999997</v>
      </c>
      <c r="AD167" s="55">
        <f>X167-Y167</f>
        <v>206.55</v>
      </c>
      <c r="AE167" s="55">
        <v>17</v>
      </c>
      <c r="AF167" s="55">
        <f>AD167-AE167</f>
        <v>189.55</v>
      </c>
      <c r="AG167" s="61"/>
    </row>
    <row r="170" spans="1:33" ht="51" x14ac:dyDescent="0.2">
      <c r="A170" s="52" t="s">
        <v>135</v>
      </c>
      <c r="B170" s="39">
        <v>45626</v>
      </c>
      <c r="C170" s="54"/>
      <c r="D170" s="54"/>
      <c r="E170" s="54"/>
      <c r="F170" s="54"/>
      <c r="G170" s="54"/>
      <c r="H170" s="54"/>
      <c r="I170" s="54"/>
      <c r="J170" s="55" t="s">
        <v>141</v>
      </c>
      <c r="K170" s="56"/>
      <c r="L170" s="52" t="s">
        <v>136</v>
      </c>
      <c r="M170" s="39">
        <v>45626</v>
      </c>
      <c r="N170" s="54"/>
      <c r="O170" s="54"/>
      <c r="P170" s="54"/>
      <c r="Q170" s="54"/>
      <c r="R170" s="54"/>
      <c r="S170" s="54"/>
      <c r="T170" s="54"/>
      <c r="U170" s="54"/>
      <c r="V170" s="54"/>
      <c r="W170" s="55" t="s">
        <v>141</v>
      </c>
      <c r="X170" s="57" t="s">
        <v>192</v>
      </c>
      <c r="Y170" s="58" t="s">
        <v>142</v>
      </c>
      <c r="Z170" s="59" t="s">
        <v>193</v>
      </c>
      <c r="AA170" s="60" t="s">
        <v>194</v>
      </c>
      <c r="AB170" s="57" t="s">
        <v>165</v>
      </c>
      <c r="AC170" s="55" t="s">
        <v>195</v>
      </c>
      <c r="AD170" s="55" t="s">
        <v>196</v>
      </c>
      <c r="AE170" s="57" t="s">
        <v>197</v>
      </c>
      <c r="AF170" s="55" t="s">
        <v>198</v>
      </c>
      <c r="AG170" s="61"/>
    </row>
    <row r="171" spans="1:33" ht="12.75" x14ac:dyDescent="0.2">
      <c r="A171" s="55" t="s">
        <v>199</v>
      </c>
      <c r="B171" s="62">
        <v>0.05</v>
      </c>
      <c r="C171" s="62">
        <v>0.1</v>
      </c>
      <c r="D171" s="62">
        <v>0.2</v>
      </c>
      <c r="E171" s="62">
        <v>0.5</v>
      </c>
      <c r="F171" s="62">
        <v>1</v>
      </c>
      <c r="G171" s="62">
        <v>2</v>
      </c>
      <c r="H171" s="62">
        <v>5</v>
      </c>
      <c r="I171" s="62">
        <v>10</v>
      </c>
      <c r="K171" s="56"/>
      <c r="L171" s="55" t="s">
        <v>199</v>
      </c>
      <c r="M171" s="62">
        <v>0.05</v>
      </c>
      <c r="N171" s="62">
        <v>0.1</v>
      </c>
      <c r="O171" s="62">
        <v>0.2</v>
      </c>
      <c r="P171" s="62">
        <v>0.5</v>
      </c>
      <c r="Q171" s="62">
        <v>1</v>
      </c>
      <c r="R171" s="62">
        <v>2</v>
      </c>
      <c r="S171" s="62">
        <v>5</v>
      </c>
      <c r="T171" s="62">
        <v>10</v>
      </c>
      <c r="U171" s="62">
        <v>20</v>
      </c>
      <c r="V171" s="62">
        <v>50</v>
      </c>
      <c r="W171" s="54"/>
      <c r="X171" s="54"/>
      <c r="Y171" s="63"/>
      <c r="Z171" s="63"/>
      <c r="AA171" s="64"/>
      <c r="AB171" s="54"/>
      <c r="AC171" s="54"/>
      <c r="AD171" s="54"/>
      <c r="AE171" s="54"/>
      <c r="AF171" s="54"/>
    </row>
    <row r="172" spans="1:33" ht="12.75" x14ac:dyDescent="0.2">
      <c r="A172" s="55" t="s">
        <v>200</v>
      </c>
      <c r="B172" s="38">
        <v>71</v>
      </c>
      <c r="C172" s="65">
        <v>57</v>
      </c>
      <c r="D172" s="65">
        <v>9</v>
      </c>
      <c r="E172" s="65">
        <v>9</v>
      </c>
      <c r="F172" s="65">
        <v>13</v>
      </c>
      <c r="G172" s="65">
        <v>1</v>
      </c>
      <c r="H172" s="65">
        <v>2</v>
      </c>
      <c r="I172" s="65">
        <v>1</v>
      </c>
      <c r="J172" s="54"/>
      <c r="K172" s="56"/>
      <c r="L172" s="55" t="s">
        <v>200</v>
      </c>
      <c r="M172" s="38">
        <v>74</v>
      </c>
      <c r="N172" s="65">
        <v>48</v>
      </c>
      <c r="O172" s="65">
        <v>17</v>
      </c>
      <c r="P172" s="65">
        <v>2</v>
      </c>
      <c r="Q172" s="65">
        <v>4</v>
      </c>
      <c r="R172" s="65">
        <v>2</v>
      </c>
      <c r="S172" s="65">
        <v>4</v>
      </c>
      <c r="T172" s="65">
        <v>9</v>
      </c>
      <c r="U172" s="65">
        <v>7</v>
      </c>
      <c r="V172" s="65">
        <v>1</v>
      </c>
      <c r="W172" s="65"/>
      <c r="X172" s="54"/>
      <c r="Y172" s="63"/>
      <c r="Z172" s="63"/>
      <c r="AA172" s="64"/>
      <c r="AB172" s="54"/>
      <c r="AC172" s="54"/>
      <c r="AD172" s="54"/>
      <c r="AE172" s="54"/>
      <c r="AF172" s="54"/>
    </row>
    <row r="173" spans="1:33" ht="12.75" x14ac:dyDescent="0.2">
      <c r="A173" s="55" t="s">
        <v>141</v>
      </c>
      <c r="B173" s="65">
        <f t="shared" ref="B173:I173" si="57">B172*B171</f>
        <v>3.5500000000000003</v>
      </c>
      <c r="C173" s="65">
        <f t="shared" si="57"/>
        <v>5.7</v>
      </c>
      <c r="D173" s="65">
        <f t="shared" si="57"/>
        <v>1.8</v>
      </c>
      <c r="E173" s="65">
        <f t="shared" si="57"/>
        <v>4.5</v>
      </c>
      <c r="F173" s="65">
        <f t="shared" si="57"/>
        <v>13</v>
      </c>
      <c r="G173" s="65">
        <f t="shared" si="57"/>
        <v>2</v>
      </c>
      <c r="H173" s="65">
        <f t="shared" si="57"/>
        <v>10</v>
      </c>
      <c r="I173" s="65">
        <f t="shared" si="57"/>
        <v>10</v>
      </c>
      <c r="J173" s="54">
        <f>SUM(B173:I173)</f>
        <v>50.55</v>
      </c>
      <c r="K173" s="56"/>
      <c r="L173" s="55" t="s">
        <v>141</v>
      </c>
      <c r="M173" s="70">
        <f t="shared" ref="M173:S173" si="58">M172*M171</f>
        <v>3.7</v>
      </c>
      <c r="N173" s="70">
        <f t="shared" si="58"/>
        <v>4.8000000000000007</v>
      </c>
      <c r="O173" s="70">
        <f t="shared" si="58"/>
        <v>3.4000000000000004</v>
      </c>
      <c r="P173" s="70">
        <f t="shared" si="58"/>
        <v>1</v>
      </c>
      <c r="Q173" s="70">
        <f t="shared" si="58"/>
        <v>4</v>
      </c>
      <c r="R173" s="70">
        <f t="shared" si="58"/>
        <v>4</v>
      </c>
      <c r="S173" s="70">
        <f t="shared" si="58"/>
        <v>20</v>
      </c>
      <c r="T173" s="70">
        <f>T172*T172</f>
        <v>81</v>
      </c>
      <c r="U173" s="70">
        <f t="shared" ref="U173:V173" si="59">U172*U171</f>
        <v>140</v>
      </c>
      <c r="V173" s="70">
        <f t="shared" si="59"/>
        <v>50</v>
      </c>
      <c r="W173" s="54">
        <f>SUM(M173:V173)</f>
        <v>311.89999999999998</v>
      </c>
      <c r="X173" s="55">
        <f>W173-J173</f>
        <v>261.34999999999997</v>
      </c>
      <c r="Y173" s="63">
        <v>52.6</v>
      </c>
      <c r="Z173" s="63">
        <v>50.7</v>
      </c>
      <c r="AA173" s="66">
        <f>X173+Z173</f>
        <v>312.04999999999995</v>
      </c>
      <c r="AB173" s="55">
        <v>30</v>
      </c>
      <c r="AC173" s="55">
        <f>Y173-AB173</f>
        <v>22.6</v>
      </c>
      <c r="AD173" s="55">
        <f>X173-Y173</f>
        <v>208.74999999999997</v>
      </c>
      <c r="AE173" s="55">
        <v>0</v>
      </c>
      <c r="AF173" s="55">
        <f>AD173-AE173</f>
        <v>208.74999999999997</v>
      </c>
      <c r="AG173" s="61"/>
    </row>
    <row r="175" spans="1:33" ht="15.75" customHeight="1" x14ac:dyDescent="0.25">
      <c r="X175" s="68" t="s">
        <v>208</v>
      </c>
      <c r="Y175" s="69">
        <f t="shared" ref="Y175:AF175" si="60">SUM(Y1:Y174)</f>
        <v>3138.4</v>
      </c>
      <c r="Z175" s="69">
        <f t="shared" si="60"/>
        <v>1567.8999999999999</v>
      </c>
      <c r="AA175" s="69">
        <f t="shared" si="60"/>
        <v>9407.9999999999982</v>
      </c>
      <c r="AB175" s="69">
        <f t="shared" si="60"/>
        <v>1549.0250000000001</v>
      </c>
      <c r="AC175" s="69">
        <f t="shared" si="60"/>
        <v>1389.4749999999999</v>
      </c>
      <c r="AD175" s="69">
        <f t="shared" si="60"/>
        <v>4687.7</v>
      </c>
      <c r="AE175" s="69">
        <f t="shared" si="60"/>
        <v>908.77500000000009</v>
      </c>
      <c r="AF175" s="69">
        <f t="shared" si="60"/>
        <v>3146.8450000000003</v>
      </c>
    </row>
    <row r="177" spans="28:32" ht="12.75" x14ac:dyDescent="0.2">
      <c r="AB177" s="38" t="s">
        <v>210</v>
      </c>
      <c r="AC177" s="38">
        <v>-260</v>
      </c>
      <c r="AE177" s="38" t="s">
        <v>156</v>
      </c>
      <c r="AF177" s="38">
        <v>-130</v>
      </c>
    </row>
    <row r="178" spans="28:32" ht="12.75" x14ac:dyDescent="0.2">
      <c r="AB178" s="69"/>
      <c r="AE178" s="38" t="s">
        <v>221</v>
      </c>
      <c r="AF178" s="38">
        <v>-900</v>
      </c>
    </row>
    <row r="179" spans="28:32" ht="12.75" x14ac:dyDescent="0.2">
      <c r="AE179" s="38" t="s">
        <v>211</v>
      </c>
      <c r="AF179" s="38">
        <v>-900</v>
      </c>
    </row>
    <row r="180" spans="28:32" ht="12.75" x14ac:dyDescent="0.2">
      <c r="AE180" s="38" t="s">
        <v>222</v>
      </c>
      <c r="AF180" s="38">
        <v>-700</v>
      </c>
    </row>
    <row r="181" spans="28:32" ht="12.75" x14ac:dyDescent="0.2">
      <c r="AE181" s="38" t="s">
        <v>223</v>
      </c>
      <c r="AF181" s="38">
        <v>-500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G185"/>
  <sheetViews>
    <sheetView workbookViewId="0"/>
  </sheetViews>
  <sheetFormatPr defaultColWidth="12.5703125" defaultRowHeight="15.75" customHeight="1" x14ac:dyDescent="0.2"/>
  <cols>
    <col min="1" max="1" width="8" customWidth="1"/>
    <col min="2" max="2" width="8.7109375" customWidth="1"/>
    <col min="3" max="8" width="4.28515625" customWidth="1"/>
    <col min="9" max="9" width="5.140625" customWidth="1"/>
    <col min="10" max="10" width="5.7109375" customWidth="1"/>
    <col min="11" max="11" width="4.7109375" customWidth="1"/>
    <col min="12" max="12" width="8.28515625" customWidth="1"/>
    <col min="13" max="13" width="9.42578125" customWidth="1"/>
    <col min="14" max="19" width="4.28515625" customWidth="1"/>
    <col min="20" max="22" width="5.140625" customWidth="1"/>
    <col min="23" max="23" width="5.7109375" customWidth="1"/>
    <col min="24" max="24" width="8" customWidth="1"/>
    <col min="25" max="25" width="7.7109375" customWidth="1"/>
    <col min="26" max="26" width="6.7109375" customWidth="1"/>
    <col min="27" max="27" width="8.140625" customWidth="1"/>
    <col min="28" max="28" width="8.28515625" customWidth="1"/>
    <col min="29" max="29" width="5.140625" customWidth="1"/>
    <col min="30" max="30" width="6.28515625" customWidth="1"/>
    <col min="31" max="31" width="8.28515625" customWidth="1"/>
    <col min="32" max="32" width="5.5703125" customWidth="1"/>
  </cols>
  <sheetData>
    <row r="1" spans="1:33" ht="51" x14ac:dyDescent="0.2">
      <c r="A1" s="52" t="s">
        <v>135</v>
      </c>
      <c r="B1" s="53">
        <v>45627</v>
      </c>
      <c r="C1" s="54"/>
      <c r="D1" s="54"/>
      <c r="E1" s="54"/>
      <c r="F1" s="54"/>
      <c r="G1" s="54"/>
      <c r="H1" s="54"/>
      <c r="I1" s="54"/>
      <c r="J1" s="55" t="s">
        <v>141</v>
      </c>
      <c r="K1" s="56"/>
      <c r="L1" s="52" t="s">
        <v>136</v>
      </c>
      <c r="M1" s="53">
        <v>45627</v>
      </c>
      <c r="N1" s="54"/>
      <c r="O1" s="54"/>
      <c r="P1" s="54"/>
      <c r="Q1" s="54"/>
      <c r="R1" s="54"/>
      <c r="S1" s="54"/>
      <c r="T1" s="54"/>
      <c r="U1" s="54"/>
      <c r="V1" s="54"/>
      <c r="W1" s="55" t="s">
        <v>141</v>
      </c>
      <c r="X1" s="57" t="s">
        <v>192</v>
      </c>
      <c r="Y1" s="58" t="s">
        <v>142</v>
      </c>
      <c r="Z1" s="59" t="s">
        <v>193</v>
      </c>
      <c r="AA1" s="60" t="s">
        <v>194</v>
      </c>
      <c r="AB1" s="57" t="s">
        <v>165</v>
      </c>
      <c r="AC1" s="55" t="s">
        <v>195</v>
      </c>
      <c r="AD1" s="55" t="s">
        <v>196</v>
      </c>
      <c r="AE1" s="57" t="s">
        <v>197</v>
      </c>
      <c r="AF1" s="55" t="s">
        <v>198</v>
      </c>
      <c r="AG1" s="61"/>
    </row>
    <row r="2" spans="1:33" ht="12.75" x14ac:dyDescent="0.2">
      <c r="A2" s="55" t="s">
        <v>199</v>
      </c>
      <c r="B2" s="62">
        <v>0.05</v>
      </c>
      <c r="C2" s="62">
        <v>0.1</v>
      </c>
      <c r="D2" s="62">
        <v>0.2</v>
      </c>
      <c r="E2" s="62">
        <v>0.5</v>
      </c>
      <c r="F2" s="62">
        <v>1</v>
      </c>
      <c r="G2" s="62">
        <v>2</v>
      </c>
      <c r="H2" s="62">
        <v>5</v>
      </c>
      <c r="I2" s="62">
        <v>10</v>
      </c>
      <c r="K2" s="56"/>
      <c r="L2" s="55" t="s">
        <v>199</v>
      </c>
      <c r="M2" s="62">
        <v>0.05</v>
      </c>
      <c r="N2" s="62">
        <v>0.1</v>
      </c>
      <c r="O2" s="62">
        <v>0.2</v>
      </c>
      <c r="P2" s="62">
        <v>0.5</v>
      </c>
      <c r="Q2" s="62">
        <v>1</v>
      </c>
      <c r="R2" s="62">
        <v>2</v>
      </c>
      <c r="S2" s="62">
        <v>5</v>
      </c>
      <c r="T2" s="62">
        <v>10</v>
      </c>
      <c r="U2" s="62">
        <v>20</v>
      </c>
      <c r="V2" s="62">
        <v>50</v>
      </c>
      <c r="W2" s="54"/>
      <c r="X2" s="54"/>
      <c r="Y2" s="63"/>
      <c r="Z2" s="63"/>
      <c r="AA2" s="64"/>
      <c r="AB2" s="54"/>
      <c r="AC2" s="54"/>
      <c r="AD2" s="54"/>
      <c r="AE2" s="54"/>
      <c r="AF2" s="54"/>
    </row>
    <row r="3" spans="1:33" ht="12.75" x14ac:dyDescent="0.2">
      <c r="A3" s="55" t="s">
        <v>200</v>
      </c>
      <c r="B3" s="38">
        <v>74</v>
      </c>
      <c r="C3" s="65">
        <v>48</v>
      </c>
      <c r="D3" s="65">
        <v>17</v>
      </c>
      <c r="E3" s="65">
        <v>2</v>
      </c>
      <c r="F3" s="65">
        <v>4</v>
      </c>
      <c r="G3" s="65">
        <v>2</v>
      </c>
      <c r="H3" s="65">
        <v>2</v>
      </c>
      <c r="I3" s="65">
        <v>1</v>
      </c>
      <c r="J3" s="54"/>
      <c r="K3" s="56"/>
      <c r="L3" s="55" t="s">
        <v>200</v>
      </c>
      <c r="M3" s="38">
        <v>74</v>
      </c>
      <c r="N3" s="65">
        <v>38</v>
      </c>
      <c r="O3" s="65">
        <v>8</v>
      </c>
      <c r="P3" s="65">
        <v>4</v>
      </c>
      <c r="Q3" s="65">
        <v>4</v>
      </c>
      <c r="R3" s="65">
        <v>2</v>
      </c>
      <c r="S3" s="65">
        <v>6</v>
      </c>
      <c r="T3" s="65">
        <v>6</v>
      </c>
      <c r="U3" s="65">
        <v>1</v>
      </c>
      <c r="V3" s="65">
        <v>1</v>
      </c>
      <c r="W3" s="65"/>
      <c r="X3" s="54"/>
      <c r="Y3" s="63"/>
      <c r="Z3" s="63"/>
      <c r="AA3" s="64"/>
      <c r="AB3" s="54"/>
      <c r="AC3" s="54"/>
      <c r="AD3" s="54"/>
      <c r="AE3" s="54"/>
      <c r="AF3" s="54"/>
    </row>
    <row r="4" spans="1:33" ht="12.75" x14ac:dyDescent="0.2">
      <c r="A4" s="55" t="s">
        <v>141</v>
      </c>
      <c r="B4" s="65">
        <f t="shared" ref="B4:I4" si="0">B3*B2</f>
        <v>3.7</v>
      </c>
      <c r="C4" s="65">
        <f t="shared" si="0"/>
        <v>4.8000000000000007</v>
      </c>
      <c r="D4" s="65">
        <f t="shared" si="0"/>
        <v>3.4000000000000004</v>
      </c>
      <c r="E4" s="65">
        <f t="shared" si="0"/>
        <v>1</v>
      </c>
      <c r="F4" s="65">
        <f t="shared" si="0"/>
        <v>4</v>
      </c>
      <c r="G4" s="65">
        <f t="shared" si="0"/>
        <v>4</v>
      </c>
      <c r="H4" s="65">
        <f t="shared" si="0"/>
        <v>10</v>
      </c>
      <c r="I4" s="65">
        <f t="shared" si="0"/>
        <v>10</v>
      </c>
      <c r="J4" s="54">
        <f>SUM(B4:I4)</f>
        <v>40.9</v>
      </c>
      <c r="K4" s="56"/>
      <c r="L4" s="55" t="s">
        <v>141</v>
      </c>
      <c r="M4" s="70">
        <f t="shared" ref="M4:V4" si="1">M3*M2</f>
        <v>3.7</v>
      </c>
      <c r="N4" s="70">
        <f t="shared" si="1"/>
        <v>3.8000000000000003</v>
      </c>
      <c r="O4" s="70">
        <f t="shared" si="1"/>
        <v>1.6</v>
      </c>
      <c r="P4" s="70">
        <f t="shared" si="1"/>
        <v>2</v>
      </c>
      <c r="Q4" s="70">
        <f t="shared" si="1"/>
        <v>4</v>
      </c>
      <c r="R4" s="70">
        <f t="shared" si="1"/>
        <v>4</v>
      </c>
      <c r="S4" s="70">
        <f t="shared" si="1"/>
        <v>30</v>
      </c>
      <c r="T4" s="70">
        <f t="shared" si="1"/>
        <v>60</v>
      </c>
      <c r="U4" s="70">
        <f t="shared" si="1"/>
        <v>20</v>
      </c>
      <c r="V4" s="70">
        <f t="shared" si="1"/>
        <v>50</v>
      </c>
      <c r="W4" s="54">
        <f>SUM(M4:V4)</f>
        <v>179.1</v>
      </c>
      <c r="X4" s="55">
        <f>W4-J4</f>
        <v>138.19999999999999</v>
      </c>
      <c r="Y4" s="63">
        <v>71.3</v>
      </c>
      <c r="Z4" s="63">
        <v>20.100000000000001</v>
      </c>
      <c r="AA4" s="66">
        <f>X4+Z4</f>
        <v>158.29999999999998</v>
      </c>
      <c r="AB4" s="55">
        <v>70</v>
      </c>
      <c r="AC4" s="55">
        <v>0</v>
      </c>
      <c r="AD4" s="55">
        <f>X4-Y4</f>
        <v>66.899999999999991</v>
      </c>
      <c r="AE4" s="55">
        <f>AD4*0.2</f>
        <v>13.379999999999999</v>
      </c>
      <c r="AF4" s="55">
        <f>AD4-AE4</f>
        <v>53.519999999999996</v>
      </c>
      <c r="AG4" s="61"/>
    </row>
    <row r="7" spans="1:33" ht="51" x14ac:dyDescent="0.2">
      <c r="A7" s="52" t="s">
        <v>135</v>
      </c>
      <c r="B7" s="53">
        <v>45628</v>
      </c>
      <c r="C7" s="54"/>
      <c r="D7" s="54"/>
      <c r="E7" s="54"/>
      <c r="F7" s="54"/>
      <c r="G7" s="54"/>
      <c r="H7" s="54"/>
      <c r="I7" s="54"/>
      <c r="J7" s="55" t="s">
        <v>141</v>
      </c>
      <c r="K7" s="56"/>
      <c r="L7" s="52" t="s">
        <v>136</v>
      </c>
      <c r="M7" s="53">
        <v>45628</v>
      </c>
      <c r="N7" s="54"/>
      <c r="O7" s="54"/>
      <c r="P7" s="54"/>
      <c r="Q7" s="54"/>
      <c r="R7" s="54"/>
      <c r="S7" s="54"/>
      <c r="T7" s="54"/>
      <c r="U7" s="54"/>
      <c r="V7" s="54"/>
      <c r="W7" s="55" t="s">
        <v>141</v>
      </c>
      <c r="X7" s="57" t="s">
        <v>192</v>
      </c>
      <c r="Y7" s="58" t="s">
        <v>142</v>
      </c>
      <c r="Z7" s="59" t="s">
        <v>193</v>
      </c>
      <c r="AA7" s="60" t="s">
        <v>194</v>
      </c>
      <c r="AB7" s="57" t="s">
        <v>165</v>
      </c>
      <c r="AC7" s="55" t="s">
        <v>195</v>
      </c>
      <c r="AD7" s="55" t="s">
        <v>196</v>
      </c>
      <c r="AE7" s="57" t="s">
        <v>197</v>
      </c>
      <c r="AF7" s="55" t="s">
        <v>198</v>
      </c>
      <c r="AG7" s="61"/>
    </row>
    <row r="8" spans="1:33" ht="12.75" x14ac:dyDescent="0.2">
      <c r="A8" s="55" t="s">
        <v>199</v>
      </c>
      <c r="B8" s="62">
        <v>0.05</v>
      </c>
      <c r="C8" s="62">
        <v>0.1</v>
      </c>
      <c r="D8" s="62">
        <v>0.2</v>
      </c>
      <c r="E8" s="62">
        <v>0.5</v>
      </c>
      <c r="F8" s="62">
        <v>1</v>
      </c>
      <c r="G8" s="62">
        <v>2</v>
      </c>
      <c r="H8" s="62">
        <v>5</v>
      </c>
      <c r="I8" s="62">
        <v>10</v>
      </c>
      <c r="K8" s="56"/>
      <c r="L8" s="55" t="s">
        <v>199</v>
      </c>
      <c r="M8" s="62">
        <v>0.05</v>
      </c>
      <c r="N8" s="62">
        <v>0.1</v>
      </c>
      <c r="O8" s="62">
        <v>0.2</v>
      </c>
      <c r="P8" s="62">
        <v>0.5</v>
      </c>
      <c r="Q8" s="62">
        <v>1</v>
      </c>
      <c r="R8" s="62">
        <v>2</v>
      </c>
      <c r="S8" s="62">
        <v>5</v>
      </c>
      <c r="T8" s="62">
        <v>10</v>
      </c>
      <c r="U8" s="62">
        <v>20</v>
      </c>
      <c r="V8" s="62">
        <v>50</v>
      </c>
      <c r="W8" s="54"/>
      <c r="X8" s="54"/>
      <c r="Z8" s="63"/>
      <c r="AA8" s="64"/>
      <c r="AB8" s="54"/>
      <c r="AC8" s="54"/>
      <c r="AD8" s="54"/>
      <c r="AE8" s="54"/>
      <c r="AF8" s="54"/>
    </row>
    <row r="9" spans="1:33" ht="12.75" x14ac:dyDescent="0.2">
      <c r="A9" s="55" t="s">
        <v>200</v>
      </c>
      <c r="B9" s="38">
        <v>74</v>
      </c>
      <c r="C9" s="65">
        <v>38</v>
      </c>
      <c r="D9" s="65">
        <v>8</v>
      </c>
      <c r="E9" s="65">
        <v>5</v>
      </c>
      <c r="F9" s="65">
        <v>11</v>
      </c>
      <c r="G9" s="65">
        <v>3</v>
      </c>
      <c r="H9" s="65">
        <v>3</v>
      </c>
      <c r="I9" s="65">
        <v>1</v>
      </c>
      <c r="J9" s="54"/>
      <c r="K9" s="56"/>
      <c r="L9" s="55" t="s">
        <v>200</v>
      </c>
      <c r="M9" s="38">
        <v>70</v>
      </c>
      <c r="N9" s="65">
        <v>28</v>
      </c>
      <c r="O9" s="65">
        <v>9</v>
      </c>
      <c r="P9" s="65">
        <v>9</v>
      </c>
      <c r="Q9" s="65">
        <v>2</v>
      </c>
      <c r="R9" s="65">
        <v>10</v>
      </c>
      <c r="S9" s="65">
        <v>17</v>
      </c>
      <c r="T9" s="65">
        <v>5</v>
      </c>
      <c r="U9" s="65">
        <v>3</v>
      </c>
      <c r="V9" s="65">
        <v>1</v>
      </c>
      <c r="W9" s="65"/>
      <c r="X9" s="54"/>
      <c r="Z9" s="63"/>
      <c r="AA9" s="64"/>
      <c r="AB9" s="54"/>
      <c r="AC9" s="54"/>
      <c r="AD9" s="54"/>
      <c r="AE9" s="54"/>
      <c r="AF9" s="54"/>
    </row>
    <row r="10" spans="1:33" ht="12.75" x14ac:dyDescent="0.2">
      <c r="A10" s="55" t="s">
        <v>141</v>
      </c>
      <c r="B10" s="65">
        <f t="shared" ref="B10:I10" si="2">B9*B8</f>
        <v>3.7</v>
      </c>
      <c r="C10" s="65">
        <f t="shared" si="2"/>
        <v>3.8000000000000003</v>
      </c>
      <c r="D10" s="65">
        <f t="shared" si="2"/>
        <v>1.6</v>
      </c>
      <c r="E10" s="65">
        <f t="shared" si="2"/>
        <v>2.5</v>
      </c>
      <c r="F10" s="65">
        <f t="shared" si="2"/>
        <v>11</v>
      </c>
      <c r="G10" s="65">
        <f t="shared" si="2"/>
        <v>6</v>
      </c>
      <c r="H10" s="65">
        <f t="shared" si="2"/>
        <v>15</v>
      </c>
      <c r="I10" s="65">
        <f t="shared" si="2"/>
        <v>10</v>
      </c>
      <c r="J10" s="54">
        <f>SUM(B10:I10)</f>
        <v>53.6</v>
      </c>
      <c r="K10" s="56"/>
      <c r="L10" s="55" t="s">
        <v>141</v>
      </c>
      <c r="M10" s="70">
        <f t="shared" ref="M10:V10" si="3">M9*M8</f>
        <v>3.5</v>
      </c>
      <c r="N10" s="70">
        <f t="shared" si="3"/>
        <v>2.8000000000000003</v>
      </c>
      <c r="O10" s="70">
        <f t="shared" si="3"/>
        <v>1.8</v>
      </c>
      <c r="P10" s="70">
        <f t="shared" si="3"/>
        <v>4.5</v>
      </c>
      <c r="Q10" s="70">
        <f t="shared" si="3"/>
        <v>2</v>
      </c>
      <c r="R10" s="70">
        <f t="shared" si="3"/>
        <v>20</v>
      </c>
      <c r="S10" s="70">
        <f t="shared" si="3"/>
        <v>85</v>
      </c>
      <c r="T10" s="70">
        <f t="shared" si="3"/>
        <v>50</v>
      </c>
      <c r="U10" s="70">
        <f t="shared" si="3"/>
        <v>60</v>
      </c>
      <c r="V10" s="70">
        <f t="shared" si="3"/>
        <v>50</v>
      </c>
      <c r="W10" s="54">
        <f>SUM(M10:V10)</f>
        <v>279.60000000000002</v>
      </c>
      <c r="X10" s="55">
        <f>W10-J10</f>
        <v>226.00000000000003</v>
      </c>
      <c r="Y10" s="63">
        <v>105.2</v>
      </c>
      <c r="Z10" s="63">
        <v>49.1</v>
      </c>
      <c r="AA10" s="66">
        <f>X10+Z10</f>
        <v>275.10000000000002</v>
      </c>
      <c r="AB10" s="55">
        <v>45</v>
      </c>
      <c r="AC10" s="55">
        <f>Y10-AB10</f>
        <v>60.2</v>
      </c>
      <c r="AD10" s="55">
        <f>X10-Y10</f>
        <v>120.80000000000003</v>
      </c>
      <c r="AE10" s="55">
        <v>10</v>
      </c>
      <c r="AF10" s="55">
        <f>AD10-AE10</f>
        <v>110.80000000000003</v>
      </c>
      <c r="AG10" s="61">
        <v>206</v>
      </c>
    </row>
    <row r="13" spans="1:33" ht="51" x14ac:dyDescent="0.2">
      <c r="A13" s="52" t="s">
        <v>135</v>
      </c>
      <c r="B13" s="53">
        <v>45629</v>
      </c>
      <c r="C13" s="54"/>
      <c r="D13" s="54"/>
      <c r="E13" s="54"/>
      <c r="F13" s="54"/>
      <c r="G13" s="54"/>
      <c r="H13" s="54"/>
      <c r="I13" s="54"/>
      <c r="J13" s="55" t="s">
        <v>141</v>
      </c>
      <c r="K13" s="56"/>
      <c r="L13" s="52" t="s">
        <v>136</v>
      </c>
      <c r="M13" s="53">
        <v>45629</v>
      </c>
      <c r="N13" s="54"/>
      <c r="O13" s="54"/>
      <c r="P13" s="54"/>
      <c r="Q13" s="54"/>
      <c r="R13" s="54"/>
      <c r="S13" s="54"/>
      <c r="T13" s="54"/>
      <c r="U13" s="54"/>
      <c r="V13" s="54"/>
      <c r="W13" s="55" t="s">
        <v>141</v>
      </c>
      <c r="X13" s="57" t="s">
        <v>192</v>
      </c>
      <c r="Y13" s="58" t="s">
        <v>142</v>
      </c>
      <c r="Z13" s="59" t="s">
        <v>193</v>
      </c>
      <c r="AA13" s="60" t="s">
        <v>194</v>
      </c>
      <c r="AB13" s="57" t="s">
        <v>165</v>
      </c>
      <c r="AC13" s="55" t="s">
        <v>195</v>
      </c>
      <c r="AD13" s="55" t="s">
        <v>196</v>
      </c>
      <c r="AE13" s="57" t="s">
        <v>197</v>
      </c>
      <c r="AF13" s="55" t="s">
        <v>198</v>
      </c>
      <c r="AG13" s="61"/>
    </row>
    <row r="14" spans="1:33" ht="12.75" x14ac:dyDescent="0.2">
      <c r="A14" s="55" t="s">
        <v>199</v>
      </c>
      <c r="B14" s="62">
        <v>0.05</v>
      </c>
      <c r="C14" s="62">
        <v>0.1</v>
      </c>
      <c r="D14" s="62">
        <v>0.2</v>
      </c>
      <c r="E14" s="62">
        <v>0.5</v>
      </c>
      <c r="F14" s="62">
        <v>1</v>
      </c>
      <c r="G14" s="62">
        <v>2</v>
      </c>
      <c r="H14" s="62">
        <v>5</v>
      </c>
      <c r="I14" s="62">
        <v>10</v>
      </c>
      <c r="K14" s="56"/>
      <c r="L14" s="55" t="s">
        <v>199</v>
      </c>
      <c r="M14" s="62">
        <v>0.05</v>
      </c>
      <c r="N14" s="62">
        <v>0.1</v>
      </c>
      <c r="O14" s="62">
        <v>0.2</v>
      </c>
      <c r="P14" s="62">
        <v>0.5</v>
      </c>
      <c r="Q14" s="62">
        <v>1</v>
      </c>
      <c r="R14" s="62">
        <v>2</v>
      </c>
      <c r="S14" s="62">
        <v>5</v>
      </c>
      <c r="T14" s="62">
        <v>10</v>
      </c>
      <c r="U14" s="62">
        <v>20</v>
      </c>
      <c r="V14" s="62">
        <v>50</v>
      </c>
      <c r="W14" s="54"/>
      <c r="X14" s="54"/>
      <c r="Z14" s="63"/>
      <c r="AA14" s="64"/>
      <c r="AB14" s="54"/>
      <c r="AC14" s="54"/>
      <c r="AD14" s="54"/>
      <c r="AE14" s="54"/>
      <c r="AF14" s="54"/>
    </row>
    <row r="15" spans="1:33" ht="12.75" x14ac:dyDescent="0.2">
      <c r="A15" s="55" t="s">
        <v>200</v>
      </c>
      <c r="B15" s="38">
        <v>70</v>
      </c>
      <c r="C15" s="65">
        <v>28</v>
      </c>
      <c r="D15" s="65">
        <v>9</v>
      </c>
      <c r="E15" s="65">
        <v>9</v>
      </c>
      <c r="F15" s="65">
        <v>2</v>
      </c>
      <c r="G15" s="65">
        <v>10</v>
      </c>
      <c r="H15" s="65">
        <v>2</v>
      </c>
      <c r="I15" s="65">
        <v>1</v>
      </c>
      <c r="J15" s="54"/>
      <c r="K15" s="56"/>
      <c r="L15" s="55" t="s">
        <v>200</v>
      </c>
      <c r="M15" s="38">
        <v>76</v>
      </c>
      <c r="N15" s="65">
        <v>12</v>
      </c>
      <c r="O15" s="65">
        <v>4</v>
      </c>
      <c r="P15" s="65"/>
      <c r="Q15" s="65">
        <v>1</v>
      </c>
      <c r="R15" s="65">
        <v>6</v>
      </c>
      <c r="S15" s="65">
        <v>13</v>
      </c>
      <c r="T15" s="65">
        <v>4</v>
      </c>
      <c r="U15" s="65">
        <v>2</v>
      </c>
      <c r="V15" s="65">
        <v>2</v>
      </c>
      <c r="W15" s="65"/>
      <c r="X15" s="54"/>
      <c r="Z15" s="63"/>
      <c r="AA15" s="64"/>
      <c r="AB15" s="54"/>
      <c r="AC15" s="54"/>
      <c r="AD15" s="54"/>
      <c r="AE15" s="54"/>
      <c r="AF15" s="54"/>
    </row>
    <row r="16" spans="1:33" ht="12.75" x14ac:dyDescent="0.2">
      <c r="A16" s="55" t="s">
        <v>141</v>
      </c>
      <c r="B16" s="65">
        <f t="shared" ref="B16:I16" si="4">B15*B14</f>
        <v>3.5</v>
      </c>
      <c r="C16" s="65">
        <f t="shared" si="4"/>
        <v>2.8000000000000003</v>
      </c>
      <c r="D16" s="65">
        <f t="shared" si="4"/>
        <v>1.8</v>
      </c>
      <c r="E16" s="65">
        <f t="shared" si="4"/>
        <v>4.5</v>
      </c>
      <c r="F16" s="65">
        <f t="shared" si="4"/>
        <v>2</v>
      </c>
      <c r="G16" s="65">
        <f t="shared" si="4"/>
        <v>20</v>
      </c>
      <c r="H16" s="65">
        <f t="shared" si="4"/>
        <v>10</v>
      </c>
      <c r="I16" s="65">
        <f t="shared" si="4"/>
        <v>10</v>
      </c>
      <c r="J16" s="54">
        <f>SUM(B16:I16)</f>
        <v>54.6</v>
      </c>
      <c r="K16" s="56"/>
      <c r="L16" s="55" t="s">
        <v>141</v>
      </c>
      <c r="M16" s="70">
        <f t="shared" ref="M16:V16" si="5">M15*M14</f>
        <v>3.8000000000000003</v>
      </c>
      <c r="N16" s="70">
        <f t="shared" si="5"/>
        <v>1.2000000000000002</v>
      </c>
      <c r="O16" s="70">
        <f t="shared" si="5"/>
        <v>0.8</v>
      </c>
      <c r="P16" s="70">
        <f t="shared" si="5"/>
        <v>0</v>
      </c>
      <c r="Q16" s="70">
        <f t="shared" si="5"/>
        <v>1</v>
      </c>
      <c r="R16" s="70">
        <f t="shared" si="5"/>
        <v>12</v>
      </c>
      <c r="S16" s="70">
        <f t="shared" si="5"/>
        <v>65</v>
      </c>
      <c r="T16" s="70">
        <f t="shared" si="5"/>
        <v>40</v>
      </c>
      <c r="U16" s="70">
        <f t="shared" si="5"/>
        <v>40</v>
      </c>
      <c r="V16" s="70">
        <f t="shared" si="5"/>
        <v>100</v>
      </c>
      <c r="W16" s="54">
        <f>SUM(M16:V16)</f>
        <v>263.8</v>
      </c>
      <c r="X16" s="55">
        <f>W16-J16</f>
        <v>209.20000000000002</v>
      </c>
      <c r="Y16" s="63">
        <v>59.8</v>
      </c>
      <c r="Z16" s="63">
        <v>59.3</v>
      </c>
      <c r="AA16" s="66">
        <f>X16+Z16</f>
        <v>268.5</v>
      </c>
      <c r="AB16" s="55">
        <v>35</v>
      </c>
      <c r="AC16" s="55">
        <v>25</v>
      </c>
      <c r="AD16" s="55">
        <f>X16-Y16</f>
        <v>149.40000000000003</v>
      </c>
      <c r="AE16" s="55">
        <v>50</v>
      </c>
      <c r="AF16" s="55">
        <f>AD16-AE16</f>
        <v>99.400000000000034</v>
      </c>
      <c r="AG16" s="61">
        <v>200</v>
      </c>
    </row>
    <row r="19" spans="1:33" ht="51" x14ac:dyDescent="0.2">
      <c r="A19" s="52" t="s">
        <v>135</v>
      </c>
      <c r="B19" s="53">
        <v>45630</v>
      </c>
      <c r="C19" s="54"/>
      <c r="D19" s="54"/>
      <c r="E19" s="54"/>
      <c r="F19" s="54"/>
      <c r="G19" s="54"/>
      <c r="H19" s="54"/>
      <c r="I19" s="54"/>
      <c r="J19" s="55" t="s">
        <v>141</v>
      </c>
      <c r="K19" s="56"/>
      <c r="L19" s="52" t="s">
        <v>136</v>
      </c>
      <c r="M19" s="53">
        <v>45630</v>
      </c>
      <c r="N19" s="54"/>
      <c r="O19" s="54"/>
      <c r="P19" s="54"/>
      <c r="Q19" s="54"/>
      <c r="R19" s="54"/>
      <c r="S19" s="54"/>
      <c r="T19" s="54"/>
      <c r="U19" s="54"/>
      <c r="V19" s="54"/>
      <c r="W19" s="55" t="s">
        <v>141</v>
      </c>
      <c r="X19" s="57" t="s">
        <v>192</v>
      </c>
      <c r="Y19" s="58" t="s">
        <v>142</v>
      </c>
      <c r="Z19" s="59" t="s">
        <v>193</v>
      </c>
      <c r="AA19" s="60" t="s">
        <v>194</v>
      </c>
      <c r="AB19" s="57" t="s">
        <v>165</v>
      </c>
      <c r="AC19" s="55" t="s">
        <v>195</v>
      </c>
      <c r="AD19" s="55" t="s">
        <v>196</v>
      </c>
      <c r="AE19" s="57" t="s">
        <v>197</v>
      </c>
      <c r="AF19" s="55" t="s">
        <v>198</v>
      </c>
      <c r="AG19" s="61"/>
    </row>
    <row r="20" spans="1:33" ht="12.75" x14ac:dyDescent="0.2">
      <c r="A20" s="55" t="s">
        <v>199</v>
      </c>
      <c r="B20" s="62">
        <v>0.05</v>
      </c>
      <c r="C20" s="62">
        <v>0.1</v>
      </c>
      <c r="D20" s="62">
        <v>0.2</v>
      </c>
      <c r="E20" s="62">
        <v>0.5</v>
      </c>
      <c r="F20" s="62">
        <v>1</v>
      </c>
      <c r="G20" s="62">
        <v>2</v>
      </c>
      <c r="H20" s="62">
        <v>5</v>
      </c>
      <c r="I20" s="62">
        <v>10</v>
      </c>
      <c r="K20" s="56"/>
      <c r="L20" s="55" t="s">
        <v>199</v>
      </c>
      <c r="M20" s="62">
        <v>0.05</v>
      </c>
      <c r="N20" s="62">
        <v>0.1</v>
      </c>
      <c r="O20" s="62">
        <v>0.2</v>
      </c>
      <c r="P20" s="62">
        <v>0.5</v>
      </c>
      <c r="Q20" s="62">
        <v>1</v>
      </c>
      <c r="R20" s="62">
        <v>2</v>
      </c>
      <c r="S20" s="62">
        <v>5</v>
      </c>
      <c r="T20" s="62">
        <v>10</v>
      </c>
      <c r="U20" s="62">
        <v>20</v>
      </c>
      <c r="V20" s="62">
        <v>50</v>
      </c>
      <c r="W20" s="54"/>
      <c r="X20" s="54"/>
      <c r="Z20" s="63"/>
      <c r="AA20" s="64"/>
      <c r="AB20" s="54"/>
      <c r="AC20" s="54"/>
      <c r="AD20" s="54"/>
      <c r="AE20" s="54"/>
      <c r="AF20" s="54"/>
    </row>
    <row r="21" spans="1:33" ht="12.75" x14ac:dyDescent="0.2">
      <c r="A21" s="55" t="s">
        <v>200</v>
      </c>
      <c r="B21" s="38">
        <v>76</v>
      </c>
      <c r="C21" s="65">
        <v>14</v>
      </c>
      <c r="D21" s="65">
        <v>5</v>
      </c>
      <c r="E21" s="65">
        <v>1</v>
      </c>
      <c r="F21" s="65">
        <v>3</v>
      </c>
      <c r="G21" s="65">
        <v>6</v>
      </c>
      <c r="H21" s="65">
        <v>4</v>
      </c>
      <c r="I21" s="65">
        <v>1</v>
      </c>
      <c r="J21" s="54"/>
      <c r="K21" s="56"/>
      <c r="L21" s="55" t="s">
        <v>200</v>
      </c>
      <c r="M21" s="38">
        <v>77</v>
      </c>
      <c r="N21" s="65">
        <v>26</v>
      </c>
      <c r="O21" s="65">
        <v>10</v>
      </c>
      <c r="P21" s="65">
        <v>12</v>
      </c>
      <c r="Q21" s="65">
        <v>17</v>
      </c>
      <c r="R21" s="65">
        <v>15</v>
      </c>
      <c r="S21" s="65">
        <v>5</v>
      </c>
      <c r="T21" s="65">
        <v>2</v>
      </c>
      <c r="U21" s="65">
        <v>2</v>
      </c>
      <c r="V21" s="65">
        <v>3</v>
      </c>
      <c r="W21" s="65"/>
      <c r="X21" s="54"/>
      <c r="Z21" s="63"/>
      <c r="AA21" s="64"/>
      <c r="AB21" s="54"/>
      <c r="AC21" s="54"/>
      <c r="AD21" s="54"/>
      <c r="AE21" s="54"/>
      <c r="AF21" s="54"/>
    </row>
    <row r="22" spans="1:33" ht="12.75" x14ac:dyDescent="0.2">
      <c r="A22" s="55" t="s">
        <v>141</v>
      </c>
      <c r="B22" s="65">
        <f t="shared" ref="B22:I22" si="6">B21*B20</f>
        <v>3.8000000000000003</v>
      </c>
      <c r="C22" s="65">
        <f t="shared" si="6"/>
        <v>1.4000000000000001</v>
      </c>
      <c r="D22" s="65">
        <f t="shared" si="6"/>
        <v>1</v>
      </c>
      <c r="E22" s="65">
        <f t="shared" si="6"/>
        <v>0.5</v>
      </c>
      <c r="F22" s="65">
        <f t="shared" si="6"/>
        <v>3</v>
      </c>
      <c r="G22" s="65">
        <f t="shared" si="6"/>
        <v>12</v>
      </c>
      <c r="H22" s="65">
        <f t="shared" si="6"/>
        <v>20</v>
      </c>
      <c r="I22" s="65">
        <f t="shared" si="6"/>
        <v>10</v>
      </c>
      <c r="J22" s="54">
        <f>SUM(B22:I22)</f>
        <v>51.7</v>
      </c>
      <c r="K22" s="56"/>
      <c r="L22" s="55" t="s">
        <v>141</v>
      </c>
      <c r="M22" s="70">
        <f t="shared" ref="M22:V22" si="7">M21*M20</f>
        <v>3.85</v>
      </c>
      <c r="N22" s="70">
        <f t="shared" si="7"/>
        <v>2.6</v>
      </c>
      <c r="O22" s="70">
        <f t="shared" si="7"/>
        <v>2</v>
      </c>
      <c r="P22" s="70">
        <f t="shared" si="7"/>
        <v>6</v>
      </c>
      <c r="Q22" s="70">
        <f t="shared" si="7"/>
        <v>17</v>
      </c>
      <c r="R22" s="70">
        <f t="shared" si="7"/>
        <v>30</v>
      </c>
      <c r="S22" s="70">
        <f t="shared" si="7"/>
        <v>25</v>
      </c>
      <c r="T22" s="70">
        <f t="shared" si="7"/>
        <v>20</v>
      </c>
      <c r="U22" s="70">
        <f t="shared" si="7"/>
        <v>40</v>
      </c>
      <c r="V22" s="70">
        <f t="shared" si="7"/>
        <v>150</v>
      </c>
      <c r="W22" s="54">
        <f>SUM(M22:V22)</f>
        <v>296.45</v>
      </c>
      <c r="X22" s="55">
        <f>W22-J22</f>
        <v>244.75</v>
      </c>
      <c r="Y22" s="63">
        <v>70.3</v>
      </c>
      <c r="Z22" s="63">
        <v>132.19999999999999</v>
      </c>
      <c r="AA22" s="66">
        <f>X22+Z22</f>
        <v>376.95</v>
      </c>
      <c r="AB22" s="55">
        <v>60</v>
      </c>
      <c r="AC22" s="55">
        <f>Y22-AB22</f>
        <v>10.299999999999997</v>
      </c>
      <c r="AD22" s="55">
        <f>X22-Y22</f>
        <v>174.45</v>
      </c>
      <c r="AE22" s="55">
        <v>25</v>
      </c>
      <c r="AF22" s="55">
        <f>AD22-AE22</f>
        <v>149.44999999999999</v>
      </c>
      <c r="AG22" s="61" t="s">
        <v>224</v>
      </c>
    </row>
    <row r="25" spans="1:33" ht="51" x14ac:dyDescent="0.2">
      <c r="A25" s="52" t="s">
        <v>135</v>
      </c>
      <c r="B25" s="53">
        <v>45631</v>
      </c>
      <c r="C25" s="54"/>
      <c r="D25" s="54"/>
      <c r="E25" s="54"/>
      <c r="F25" s="54"/>
      <c r="G25" s="54"/>
      <c r="H25" s="54"/>
      <c r="I25" s="54"/>
      <c r="J25" s="55" t="s">
        <v>141</v>
      </c>
      <c r="K25" s="56"/>
      <c r="L25" s="52" t="s">
        <v>136</v>
      </c>
      <c r="M25" s="53">
        <v>45631</v>
      </c>
      <c r="N25" s="54"/>
      <c r="O25" s="54"/>
      <c r="P25" s="54"/>
      <c r="Q25" s="54"/>
      <c r="R25" s="54"/>
      <c r="S25" s="54"/>
      <c r="T25" s="54"/>
      <c r="U25" s="54"/>
      <c r="V25" s="54"/>
      <c r="W25" s="55" t="s">
        <v>141</v>
      </c>
      <c r="X25" s="57" t="s">
        <v>192</v>
      </c>
      <c r="Y25" s="58" t="s">
        <v>142</v>
      </c>
      <c r="Z25" s="59" t="s">
        <v>193</v>
      </c>
      <c r="AA25" s="60" t="s">
        <v>194</v>
      </c>
      <c r="AB25" s="57" t="s">
        <v>165</v>
      </c>
      <c r="AC25" s="55" t="s">
        <v>195</v>
      </c>
      <c r="AD25" s="55" t="s">
        <v>196</v>
      </c>
      <c r="AE25" s="57" t="s">
        <v>197</v>
      </c>
      <c r="AF25" s="55" t="s">
        <v>198</v>
      </c>
      <c r="AG25" s="61"/>
    </row>
    <row r="26" spans="1:33" ht="12.75" x14ac:dyDescent="0.2">
      <c r="A26" s="55" t="s">
        <v>199</v>
      </c>
      <c r="B26" s="62">
        <v>0.05</v>
      </c>
      <c r="C26" s="62">
        <v>0.1</v>
      </c>
      <c r="D26" s="62">
        <v>0.2</v>
      </c>
      <c r="E26" s="62">
        <v>0.5</v>
      </c>
      <c r="F26" s="62">
        <v>1</v>
      </c>
      <c r="G26" s="62">
        <v>2</v>
      </c>
      <c r="H26" s="62">
        <v>5</v>
      </c>
      <c r="I26" s="62">
        <v>10</v>
      </c>
      <c r="K26" s="56"/>
      <c r="L26" s="55" t="s">
        <v>199</v>
      </c>
      <c r="M26" s="62">
        <v>0.05</v>
      </c>
      <c r="N26" s="62">
        <v>0.1</v>
      </c>
      <c r="O26" s="62">
        <v>0.2</v>
      </c>
      <c r="P26" s="62">
        <v>0.5</v>
      </c>
      <c r="Q26" s="62">
        <v>1</v>
      </c>
      <c r="R26" s="62">
        <v>2</v>
      </c>
      <c r="S26" s="62">
        <v>5</v>
      </c>
      <c r="T26" s="62">
        <v>10</v>
      </c>
      <c r="U26" s="62">
        <v>20</v>
      </c>
      <c r="V26" s="62">
        <v>50</v>
      </c>
      <c r="W26" s="54"/>
      <c r="X26" s="54"/>
      <c r="Z26" s="63"/>
      <c r="AA26" s="64"/>
      <c r="AB26" s="54"/>
      <c r="AC26" s="54"/>
      <c r="AD26" s="54"/>
      <c r="AE26" s="54"/>
      <c r="AF26" s="54"/>
    </row>
    <row r="27" spans="1:33" ht="12.75" x14ac:dyDescent="0.2">
      <c r="A27" s="55" t="s">
        <v>200</v>
      </c>
      <c r="B27" s="38">
        <v>77</v>
      </c>
      <c r="C27" s="65">
        <v>26</v>
      </c>
      <c r="D27" s="65">
        <v>10</v>
      </c>
      <c r="E27" s="65">
        <v>12</v>
      </c>
      <c r="F27" s="65">
        <v>10</v>
      </c>
      <c r="G27" s="65">
        <v>5</v>
      </c>
      <c r="H27" s="65">
        <v>1</v>
      </c>
      <c r="I27" s="65">
        <v>1</v>
      </c>
      <c r="J27" s="54"/>
      <c r="K27" s="56"/>
      <c r="L27" s="55" t="s">
        <v>200</v>
      </c>
      <c r="M27" s="38">
        <v>78</v>
      </c>
      <c r="N27" s="65">
        <v>29</v>
      </c>
      <c r="O27" s="65">
        <v>9</v>
      </c>
      <c r="P27" s="65">
        <v>6</v>
      </c>
      <c r="Q27" s="65">
        <v>14</v>
      </c>
      <c r="R27" s="65">
        <v>15</v>
      </c>
      <c r="S27" s="65">
        <v>9</v>
      </c>
      <c r="T27" s="65">
        <v>4</v>
      </c>
      <c r="U27" s="65">
        <v>10</v>
      </c>
      <c r="V27" s="65"/>
      <c r="W27" s="65"/>
      <c r="X27" s="54"/>
      <c r="Z27" s="63"/>
      <c r="AA27" s="64"/>
      <c r="AB27" s="54"/>
      <c r="AC27" s="54"/>
      <c r="AD27" s="54"/>
      <c r="AE27" s="54"/>
      <c r="AF27" s="54"/>
    </row>
    <row r="28" spans="1:33" ht="12.75" x14ac:dyDescent="0.2">
      <c r="A28" s="55" t="s">
        <v>141</v>
      </c>
      <c r="B28" s="65">
        <f t="shared" ref="B28:I28" si="8">B27*B26</f>
        <v>3.85</v>
      </c>
      <c r="C28" s="65">
        <f t="shared" si="8"/>
        <v>2.6</v>
      </c>
      <c r="D28" s="65">
        <f t="shared" si="8"/>
        <v>2</v>
      </c>
      <c r="E28" s="65">
        <f t="shared" si="8"/>
        <v>6</v>
      </c>
      <c r="F28" s="65">
        <f t="shared" si="8"/>
        <v>10</v>
      </c>
      <c r="G28" s="65">
        <f t="shared" si="8"/>
        <v>10</v>
      </c>
      <c r="H28" s="65">
        <f t="shared" si="8"/>
        <v>5</v>
      </c>
      <c r="I28" s="65">
        <f t="shared" si="8"/>
        <v>10</v>
      </c>
      <c r="J28" s="54">
        <f>SUM(B28:I28)</f>
        <v>49.45</v>
      </c>
      <c r="K28" s="56"/>
      <c r="L28" s="55" t="s">
        <v>141</v>
      </c>
      <c r="M28" s="70">
        <f t="shared" ref="M28:V28" si="9">M27*M26</f>
        <v>3.9000000000000004</v>
      </c>
      <c r="N28" s="70">
        <f t="shared" si="9"/>
        <v>2.9000000000000004</v>
      </c>
      <c r="O28" s="70">
        <f t="shared" si="9"/>
        <v>1.8</v>
      </c>
      <c r="P28" s="70">
        <f t="shared" si="9"/>
        <v>3</v>
      </c>
      <c r="Q28" s="70">
        <f t="shared" si="9"/>
        <v>14</v>
      </c>
      <c r="R28" s="70">
        <f t="shared" si="9"/>
        <v>30</v>
      </c>
      <c r="S28" s="70">
        <f t="shared" si="9"/>
        <v>45</v>
      </c>
      <c r="T28" s="70">
        <f t="shared" si="9"/>
        <v>40</v>
      </c>
      <c r="U28" s="70">
        <f t="shared" si="9"/>
        <v>200</v>
      </c>
      <c r="V28" s="70">
        <f t="shared" si="9"/>
        <v>0</v>
      </c>
      <c r="W28" s="54">
        <f>SUM(M28:V28)</f>
        <v>340.6</v>
      </c>
      <c r="X28" s="55">
        <f>W28-J28</f>
        <v>291.15000000000003</v>
      </c>
      <c r="Y28" s="63">
        <v>69.900000000000006</v>
      </c>
      <c r="Z28" s="63">
        <v>72.099999999999994</v>
      </c>
      <c r="AA28" s="66">
        <f>X28+Z28</f>
        <v>363.25</v>
      </c>
      <c r="AB28" s="55">
        <v>42</v>
      </c>
      <c r="AC28" s="55">
        <f>Y28-AB28</f>
        <v>27.900000000000006</v>
      </c>
      <c r="AD28" s="55">
        <f>X28-Y28</f>
        <v>221.25000000000003</v>
      </c>
      <c r="AE28" s="55">
        <v>100</v>
      </c>
      <c r="AF28" s="55">
        <f>AD28-AE28</f>
        <v>121.25000000000003</v>
      </c>
      <c r="AG28" s="61">
        <v>263</v>
      </c>
    </row>
    <row r="29" spans="1:33" ht="25.5" x14ac:dyDescent="0.2">
      <c r="AB29" s="38" t="s">
        <v>167</v>
      </c>
      <c r="AC29" s="38" t="s">
        <v>167</v>
      </c>
      <c r="AE29" s="71" t="s">
        <v>225</v>
      </c>
      <c r="AF29" s="38">
        <v>-96</v>
      </c>
      <c r="AG29" s="38" t="s">
        <v>222</v>
      </c>
    </row>
    <row r="31" spans="1:33" ht="51" x14ac:dyDescent="0.2">
      <c r="A31" s="52" t="s">
        <v>135</v>
      </c>
      <c r="B31" s="53">
        <v>45632</v>
      </c>
      <c r="C31" s="54"/>
      <c r="D31" s="54"/>
      <c r="E31" s="54"/>
      <c r="F31" s="54"/>
      <c r="G31" s="54"/>
      <c r="H31" s="54"/>
      <c r="I31" s="54"/>
      <c r="J31" s="55" t="s">
        <v>141</v>
      </c>
      <c r="K31" s="56"/>
      <c r="L31" s="52" t="s">
        <v>136</v>
      </c>
      <c r="M31" s="53">
        <v>45632</v>
      </c>
      <c r="N31" s="54"/>
      <c r="O31" s="54"/>
      <c r="P31" s="54"/>
      <c r="Q31" s="54"/>
      <c r="R31" s="54"/>
      <c r="S31" s="54"/>
      <c r="T31" s="54"/>
      <c r="U31" s="54"/>
      <c r="V31" s="54"/>
      <c r="W31" s="55" t="s">
        <v>141</v>
      </c>
      <c r="X31" s="57" t="s">
        <v>192</v>
      </c>
      <c r="Y31" s="58" t="s">
        <v>142</v>
      </c>
      <c r="Z31" s="59" t="s">
        <v>193</v>
      </c>
      <c r="AA31" s="60" t="s">
        <v>194</v>
      </c>
      <c r="AB31" s="57" t="s">
        <v>165</v>
      </c>
      <c r="AC31" s="55" t="s">
        <v>195</v>
      </c>
      <c r="AD31" s="55" t="s">
        <v>196</v>
      </c>
      <c r="AE31" s="57" t="s">
        <v>197</v>
      </c>
      <c r="AF31" s="55" t="s">
        <v>198</v>
      </c>
      <c r="AG31" s="61"/>
    </row>
    <row r="32" spans="1:33" ht="12.75" x14ac:dyDescent="0.2">
      <c r="A32" s="55" t="s">
        <v>199</v>
      </c>
      <c r="B32" s="62">
        <v>0.05</v>
      </c>
      <c r="C32" s="62">
        <v>0.1</v>
      </c>
      <c r="D32" s="62">
        <v>0.2</v>
      </c>
      <c r="E32" s="62">
        <v>0.5</v>
      </c>
      <c r="F32" s="62">
        <v>1</v>
      </c>
      <c r="G32" s="62">
        <v>2</v>
      </c>
      <c r="H32" s="62">
        <v>5</v>
      </c>
      <c r="I32" s="62">
        <v>10</v>
      </c>
      <c r="K32" s="56"/>
      <c r="L32" s="55" t="s">
        <v>199</v>
      </c>
      <c r="M32" s="62">
        <v>0.05</v>
      </c>
      <c r="N32" s="62">
        <v>0.1</v>
      </c>
      <c r="O32" s="62">
        <v>0.2</v>
      </c>
      <c r="P32" s="62">
        <v>0.5</v>
      </c>
      <c r="Q32" s="62">
        <v>1</v>
      </c>
      <c r="R32" s="62">
        <v>2</v>
      </c>
      <c r="S32" s="62">
        <v>5</v>
      </c>
      <c r="T32" s="62">
        <v>10</v>
      </c>
      <c r="U32" s="62">
        <v>20</v>
      </c>
      <c r="V32" s="62">
        <v>50</v>
      </c>
      <c r="W32" s="54"/>
      <c r="X32" s="54"/>
      <c r="Z32" s="63"/>
      <c r="AA32" s="64"/>
      <c r="AB32" s="54"/>
      <c r="AC32" s="54"/>
      <c r="AD32" s="54"/>
      <c r="AE32" s="54"/>
      <c r="AF32" s="54"/>
    </row>
    <row r="33" spans="1:33" ht="12.75" x14ac:dyDescent="0.2">
      <c r="A33" s="55" t="s">
        <v>200</v>
      </c>
      <c r="B33" s="38">
        <v>78</v>
      </c>
      <c r="C33" s="65">
        <v>29</v>
      </c>
      <c r="D33" s="65">
        <v>9</v>
      </c>
      <c r="E33" s="65">
        <v>6</v>
      </c>
      <c r="F33" s="65">
        <v>10</v>
      </c>
      <c r="G33" s="65">
        <v>5</v>
      </c>
      <c r="H33" s="65">
        <v>2</v>
      </c>
      <c r="I33" s="65">
        <v>1</v>
      </c>
      <c r="J33" s="54"/>
      <c r="K33" s="56"/>
      <c r="L33" s="55" t="s">
        <v>200</v>
      </c>
      <c r="M33" s="38">
        <v>77</v>
      </c>
      <c r="N33" s="65">
        <v>23</v>
      </c>
      <c r="O33" s="65">
        <v>3</v>
      </c>
      <c r="P33" s="65">
        <v>7</v>
      </c>
      <c r="Q33" s="65">
        <v>15</v>
      </c>
      <c r="R33" s="65">
        <v>8</v>
      </c>
      <c r="S33" s="65">
        <v>4</v>
      </c>
      <c r="T33" s="65">
        <v>15</v>
      </c>
      <c r="U33" s="65">
        <v>1</v>
      </c>
      <c r="V33" s="65">
        <v>2</v>
      </c>
      <c r="W33" s="65"/>
      <c r="X33" s="54"/>
      <c r="Z33" s="63"/>
      <c r="AA33" s="64"/>
      <c r="AB33" s="54"/>
      <c r="AC33" s="54"/>
      <c r="AD33" s="54"/>
      <c r="AE33" s="54"/>
      <c r="AF33" s="54"/>
    </row>
    <row r="34" spans="1:33" ht="12.75" x14ac:dyDescent="0.2">
      <c r="A34" s="55" t="s">
        <v>141</v>
      </c>
      <c r="B34" s="65">
        <f t="shared" ref="B34:I34" si="10">B33*B32</f>
        <v>3.9000000000000004</v>
      </c>
      <c r="C34" s="65">
        <f t="shared" si="10"/>
        <v>2.9000000000000004</v>
      </c>
      <c r="D34" s="65">
        <f t="shared" si="10"/>
        <v>1.8</v>
      </c>
      <c r="E34" s="65">
        <f t="shared" si="10"/>
        <v>3</v>
      </c>
      <c r="F34" s="65">
        <f t="shared" si="10"/>
        <v>10</v>
      </c>
      <c r="G34" s="65">
        <f t="shared" si="10"/>
        <v>10</v>
      </c>
      <c r="H34" s="65">
        <f t="shared" si="10"/>
        <v>10</v>
      </c>
      <c r="I34" s="65">
        <f t="shared" si="10"/>
        <v>10</v>
      </c>
      <c r="J34" s="54">
        <f>SUM(B34:I34)</f>
        <v>51.6</v>
      </c>
      <c r="K34" s="56"/>
      <c r="L34" s="55" t="s">
        <v>141</v>
      </c>
      <c r="M34" s="70">
        <f t="shared" ref="M34:V34" si="11">M33*M32</f>
        <v>3.85</v>
      </c>
      <c r="N34" s="70">
        <f t="shared" si="11"/>
        <v>2.3000000000000003</v>
      </c>
      <c r="O34" s="70">
        <f t="shared" si="11"/>
        <v>0.60000000000000009</v>
      </c>
      <c r="P34" s="70">
        <f t="shared" si="11"/>
        <v>3.5</v>
      </c>
      <c r="Q34" s="70">
        <f t="shared" si="11"/>
        <v>15</v>
      </c>
      <c r="R34" s="70">
        <f t="shared" si="11"/>
        <v>16</v>
      </c>
      <c r="S34" s="70">
        <f t="shared" si="11"/>
        <v>20</v>
      </c>
      <c r="T34" s="70">
        <f t="shared" si="11"/>
        <v>150</v>
      </c>
      <c r="U34" s="70">
        <f t="shared" si="11"/>
        <v>20</v>
      </c>
      <c r="V34" s="70">
        <f t="shared" si="11"/>
        <v>100</v>
      </c>
      <c r="W34" s="54">
        <f>SUM(M34:V34)</f>
        <v>331.25</v>
      </c>
      <c r="X34" s="55">
        <f>W34-J34</f>
        <v>279.64999999999998</v>
      </c>
      <c r="Y34" s="63">
        <v>72.3</v>
      </c>
      <c r="Z34" s="63">
        <v>147.69999999999999</v>
      </c>
      <c r="AA34" s="66">
        <f>X34+Z34</f>
        <v>427.34999999999997</v>
      </c>
      <c r="AB34" s="55">
        <f>SUM(Y34+Z34)*0.3</f>
        <v>66</v>
      </c>
      <c r="AC34" s="55">
        <f>Y34-AB34</f>
        <v>6.2999999999999972</v>
      </c>
      <c r="AD34" s="55">
        <f>X34-Y34</f>
        <v>207.34999999999997</v>
      </c>
      <c r="AE34" s="55">
        <v>7</v>
      </c>
      <c r="AF34" s="55">
        <f>AD34-AE34</f>
        <v>200.34999999999997</v>
      </c>
      <c r="AG34" s="61"/>
    </row>
    <row r="37" spans="1:33" ht="51" x14ac:dyDescent="0.2">
      <c r="A37" s="52" t="s">
        <v>135</v>
      </c>
      <c r="B37" s="53">
        <v>45633</v>
      </c>
      <c r="C37" s="54"/>
      <c r="D37" s="54"/>
      <c r="E37" s="54"/>
      <c r="F37" s="54"/>
      <c r="G37" s="54"/>
      <c r="H37" s="54"/>
      <c r="I37" s="54"/>
      <c r="J37" s="55" t="s">
        <v>141</v>
      </c>
      <c r="K37" s="56"/>
      <c r="L37" s="52" t="s">
        <v>136</v>
      </c>
      <c r="M37" s="53">
        <v>45633</v>
      </c>
      <c r="N37" s="54"/>
      <c r="O37" s="54"/>
      <c r="P37" s="54"/>
      <c r="Q37" s="54"/>
      <c r="R37" s="54"/>
      <c r="S37" s="54"/>
      <c r="T37" s="54"/>
      <c r="U37" s="54"/>
      <c r="V37" s="54"/>
      <c r="W37" s="55" t="s">
        <v>141</v>
      </c>
      <c r="X37" s="57" t="s">
        <v>192</v>
      </c>
      <c r="Y37" s="58" t="s">
        <v>142</v>
      </c>
      <c r="Z37" s="59" t="s">
        <v>193</v>
      </c>
      <c r="AA37" s="60" t="s">
        <v>194</v>
      </c>
      <c r="AB37" s="57" t="s">
        <v>165</v>
      </c>
      <c r="AC37" s="55" t="s">
        <v>195</v>
      </c>
      <c r="AD37" s="55" t="s">
        <v>196</v>
      </c>
      <c r="AE37" s="57" t="s">
        <v>197</v>
      </c>
      <c r="AF37" s="55" t="s">
        <v>198</v>
      </c>
      <c r="AG37" s="61"/>
    </row>
    <row r="38" spans="1:33" ht="12.75" x14ac:dyDescent="0.2">
      <c r="A38" s="55" t="s">
        <v>199</v>
      </c>
      <c r="B38" s="62">
        <v>0.05</v>
      </c>
      <c r="C38" s="62">
        <v>0.1</v>
      </c>
      <c r="D38" s="62">
        <v>0.2</v>
      </c>
      <c r="E38" s="62">
        <v>0.5</v>
      </c>
      <c r="F38" s="62">
        <v>1</v>
      </c>
      <c r="G38" s="62">
        <v>2</v>
      </c>
      <c r="H38" s="62">
        <v>5</v>
      </c>
      <c r="I38" s="62">
        <v>10</v>
      </c>
      <c r="K38" s="56"/>
      <c r="L38" s="55" t="s">
        <v>199</v>
      </c>
      <c r="M38" s="62">
        <v>0.05</v>
      </c>
      <c r="N38" s="62">
        <v>0.1</v>
      </c>
      <c r="O38" s="62">
        <v>0.2</v>
      </c>
      <c r="P38" s="62">
        <v>0.5</v>
      </c>
      <c r="Q38" s="62">
        <v>1</v>
      </c>
      <c r="R38" s="62">
        <v>2</v>
      </c>
      <c r="S38" s="62">
        <v>5</v>
      </c>
      <c r="T38" s="62">
        <v>10</v>
      </c>
      <c r="U38" s="62">
        <v>20</v>
      </c>
      <c r="V38" s="62">
        <v>50</v>
      </c>
      <c r="W38" s="54"/>
      <c r="X38" s="54"/>
      <c r="Z38" s="63"/>
      <c r="AA38" s="64"/>
      <c r="AB38" s="54"/>
      <c r="AC38" s="54"/>
      <c r="AD38" s="54"/>
      <c r="AE38" s="54"/>
      <c r="AF38" s="54"/>
    </row>
    <row r="39" spans="1:33" ht="12.75" x14ac:dyDescent="0.2">
      <c r="A39" s="55" t="s">
        <v>200</v>
      </c>
      <c r="B39" s="38">
        <v>77</v>
      </c>
      <c r="C39" s="65">
        <v>23</v>
      </c>
      <c r="D39" s="65">
        <v>3</v>
      </c>
      <c r="E39" s="65">
        <v>7</v>
      </c>
      <c r="F39" s="65">
        <v>10</v>
      </c>
      <c r="G39" s="65">
        <v>5</v>
      </c>
      <c r="H39" s="65">
        <v>2</v>
      </c>
      <c r="I39" s="65">
        <v>1</v>
      </c>
      <c r="J39" s="54"/>
      <c r="K39" s="56"/>
      <c r="L39" s="55" t="s">
        <v>200</v>
      </c>
      <c r="M39" s="38">
        <v>71</v>
      </c>
      <c r="N39" s="65">
        <v>7</v>
      </c>
      <c r="O39" s="65">
        <v>7</v>
      </c>
      <c r="P39" s="65">
        <v>17</v>
      </c>
      <c r="Q39" s="65">
        <v>9</v>
      </c>
      <c r="R39" s="65">
        <v>24</v>
      </c>
      <c r="S39" s="65">
        <v>7</v>
      </c>
      <c r="T39" s="65">
        <v>1</v>
      </c>
      <c r="U39" s="65">
        <v>6</v>
      </c>
      <c r="V39" s="65">
        <v>1</v>
      </c>
      <c r="W39" s="65"/>
      <c r="X39" s="54"/>
      <c r="Z39" s="63"/>
      <c r="AA39" s="64"/>
      <c r="AB39" s="54"/>
      <c r="AC39" s="54"/>
      <c r="AD39" s="54"/>
      <c r="AE39" s="54"/>
      <c r="AF39" s="54"/>
    </row>
    <row r="40" spans="1:33" ht="12.75" x14ac:dyDescent="0.2">
      <c r="A40" s="55" t="s">
        <v>141</v>
      </c>
      <c r="B40" s="65">
        <f t="shared" ref="B40:I40" si="12">B39*B38</f>
        <v>3.85</v>
      </c>
      <c r="C40" s="65">
        <f t="shared" si="12"/>
        <v>2.3000000000000003</v>
      </c>
      <c r="D40" s="65">
        <f t="shared" si="12"/>
        <v>0.60000000000000009</v>
      </c>
      <c r="E40" s="65">
        <f t="shared" si="12"/>
        <v>3.5</v>
      </c>
      <c r="F40" s="65">
        <f t="shared" si="12"/>
        <v>10</v>
      </c>
      <c r="G40" s="65">
        <f t="shared" si="12"/>
        <v>10</v>
      </c>
      <c r="H40" s="65">
        <f t="shared" si="12"/>
        <v>10</v>
      </c>
      <c r="I40" s="65">
        <f t="shared" si="12"/>
        <v>10</v>
      </c>
      <c r="J40" s="54">
        <f>SUM(B40:I40)</f>
        <v>50.25</v>
      </c>
      <c r="K40" s="56"/>
      <c r="L40" s="55" t="s">
        <v>141</v>
      </c>
      <c r="M40" s="70">
        <f t="shared" ref="M40:V40" si="13">M39*M38</f>
        <v>3.5500000000000003</v>
      </c>
      <c r="N40" s="70">
        <f t="shared" si="13"/>
        <v>0.70000000000000007</v>
      </c>
      <c r="O40" s="70">
        <f t="shared" si="13"/>
        <v>1.4000000000000001</v>
      </c>
      <c r="P40" s="70">
        <f t="shared" si="13"/>
        <v>8.5</v>
      </c>
      <c r="Q40" s="70">
        <f t="shared" si="13"/>
        <v>9</v>
      </c>
      <c r="R40" s="70">
        <f t="shared" si="13"/>
        <v>48</v>
      </c>
      <c r="S40" s="70">
        <f t="shared" si="13"/>
        <v>35</v>
      </c>
      <c r="T40" s="70">
        <f t="shared" si="13"/>
        <v>10</v>
      </c>
      <c r="U40" s="70">
        <f t="shared" si="13"/>
        <v>120</v>
      </c>
      <c r="V40" s="70">
        <f t="shared" si="13"/>
        <v>50</v>
      </c>
      <c r="W40" s="54">
        <f>SUM(M40:V40)</f>
        <v>286.14999999999998</v>
      </c>
      <c r="X40" s="55">
        <f>W40-J40</f>
        <v>235.89999999999998</v>
      </c>
      <c r="Y40" s="63">
        <v>26.6</v>
      </c>
      <c r="Z40" s="63">
        <v>41</v>
      </c>
      <c r="AA40" s="66">
        <f>X40+Z40</f>
        <v>276.89999999999998</v>
      </c>
      <c r="AB40" s="55">
        <v>20</v>
      </c>
      <c r="AC40" s="55">
        <f>Y40-AB40</f>
        <v>6.6000000000000014</v>
      </c>
      <c r="AD40" s="55">
        <f>X40-Y40</f>
        <v>209.29999999999998</v>
      </c>
      <c r="AE40" s="55">
        <v>9</v>
      </c>
      <c r="AF40" s="55">
        <f>AD40-AE40</f>
        <v>200.29999999999998</v>
      </c>
      <c r="AG40" s="61" t="s">
        <v>226</v>
      </c>
    </row>
    <row r="43" spans="1:33" ht="51" x14ac:dyDescent="0.2">
      <c r="A43" s="52" t="s">
        <v>135</v>
      </c>
      <c r="B43" s="53">
        <v>45634</v>
      </c>
      <c r="C43" s="54"/>
      <c r="D43" s="54"/>
      <c r="E43" s="54"/>
      <c r="F43" s="54"/>
      <c r="G43" s="54"/>
      <c r="H43" s="54"/>
      <c r="I43" s="54"/>
      <c r="J43" s="55" t="s">
        <v>141</v>
      </c>
      <c r="K43" s="56"/>
      <c r="L43" s="52" t="s">
        <v>136</v>
      </c>
      <c r="M43" s="53">
        <v>45634</v>
      </c>
      <c r="N43" s="54"/>
      <c r="O43" s="54"/>
      <c r="P43" s="54"/>
      <c r="Q43" s="54"/>
      <c r="R43" s="54"/>
      <c r="S43" s="54"/>
      <c r="T43" s="54"/>
      <c r="U43" s="54"/>
      <c r="V43" s="54"/>
      <c r="W43" s="55" t="s">
        <v>141</v>
      </c>
      <c r="X43" s="57" t="s">
        <v>192</v>
      </c>
      <c r="Y43" s="58" t="s">
        <v>142</v>
      </c>
      <c r="Z43" s="59" t="s">
        <v>193</v>
      </c>
      <c r="AA43" s="60" t="s">
        <v>194</v>
      </c>
      <c r="AB43" s="57" t="s">
        <v>165</v>
      </c>
      <c r="AC43" s="55" t="s">
        <v>195</v>
      </c>
      <c r="AD43" s="55" t="s">
        <v>196</v>
      </c>
      <c r="AE43" s="57" t="s">
        <v>197</v>
      </c>
      <c r="AF43" s="55" t="s">
        <v>198</v>
      </c>
      <c r="AG43" s="61"/>
    </row>
    <row r="44" spans="1:33" ht="12.75" x14ac:dyDescent="0.2">
      <c r="A44" s="55" t="s">
        <v>199</v>
      </c>
      <c r="B44" s="62">
        <v>0.05</v>
      </c>
      <c r="C44" s="62">
        <v>0.1</v>
      </c>
      <c r="D44" s="62">
        <v>0.2</v>
      </c>
      <c r="E44" s="62">
        <v>0.5</v>
      </c>
      <c r="F44" s="62">
        <v>1</v>
      </c>
      <c r="G44" s="62">
        <v>2</v>
      </c>
      <c r="H44" s="62">
        <v>5</v>
      </c>
      <c r="I44" s="62">
        <v>10</v>
      </c>
      <c r="K44" s="56"/>
      <c r="L44" s="55" t="s">
        <v>199</v>
      </c>
      <c r="M44" s="62">
        <v>0.05</v>
      </c>
      <c r="N44" s="62">
        <v>0.1</v>
      </c>
      <c r="O44" s="62">
        <v>0.2</v>
      </c>
      <c r="P44" s="62">
        <v>0.5</v>
      </c>
      <c r="Q44" s="62">
        <v>1</v>
      </c>
      <c r="R44" s="62">
        <v>2</v>
      </c>
      <c r="S44" s="62">
        <v>5</v>
      </c>
      <c r="T44" s="62">
        <v>10</v>
      </c>
      <c r="U44" s="62">
        <v>20</v>
      </c>
      <c r="V44" s="62">
        <v>50</v>
      </c>
      <c r="W44" s="54"/>
      <c r="X44" s="54"/>
      <c r="Z44" s="63"/>
      <c r="AA44" s="64"/>
      <c r="AB44" s="54"/>
      <c r="AC44" s="54"/>
      <c r="AD44" s="54"/>
      <c r="AE44" s="54"/>
      <c r="AF44" s="54"/>
    </row>
    <row r="45" spans="1:33" ht="12.75" x14ac:dyDescent="0.2">
      <c r="A45" s="55" t="s">
        <v>200</v>
      </c>
      <c r="B45" s="38">
        <v>71</v>
      </c>
      <c r="C45" s="65">
        <v>7</v>
      </c>
      <c r="D45" s="65">
        <v>7</v>
      </c>
      <c r="E45" s="65">
        <v>17</v>
      </c>
      <c r="F45" s="65">
        <v>9</v>
      </c>
      <c r="G45" s="65">
        <v>4</v>
      </c>
      <c r="H45" s="65">
        <v>2</v>
      </c>
      <c r="I45" s="65">
        <v>1</v>
      </c>
      <c r="J45" s="54"/>
      <c r="K45" s="56"/>
      <c r="L45" s="55" t="s">
        <v>200</v>
      </c>
      <c r="M45" s="38">
        <v>71</v>
      </c>
      <c r="N45" s="65">
        <v>23</v>
      </c>
      <c r="O45" s="65">
        <v>19</v>
      </c>
      <c r="P45" s="65">
        <v>22</v>
      </c>
      <c r="Q45" s="65">
        <v>15</v>
      </c>
      <c r="R45" s="65">
        <v>11</v>
      </c>
      <c r="S45" s="65"/>
      <c r="T45" s="65">
        <v>4</v>
      </c>
      <c r="U45" s="65">
        <v>3</v>
      </c>
      <c r="V45" s="65"/>
      <c r="W45" s="65"/>
      <c r="X45" s="54"/>
      <c r="Z45" s="63"/>
      <c r="AA45" s="64"/>
      <c r="AB45" s="54"/>
      <c r="AC45" s="54"/>
      <c r="AD45" s="54"/>
      <c r="AE45" s="54"/>
      <c r="AF45" s="54"/>
    </row>
    <row r="46" spans="1:33" ht="12.75" x14ac:dyDescent="0.2">
      <c r="A46" s="55" t="s">
        <v>141</v>
      </c>
      <c r="B46" s="65">
        <f t="shared" ref="B46:I46" si="14">B45*B44</f>
        <v>3.5500000000000003</v>
      </c>
      <c r="C46" s="65">
        <f t="shared" si="14"/>
        <v>0.70000000000000007</v>
      </c>
      <c r="D46" s="65">
        <f t="shared" si="14"/>
        <v>1.4000000000000001</v>
      </c>
      <c r="E46" s="65">
        <f t="shared" si="14"/>
        <v>8.5</v>
      </c>
      <c r="F46" s="65">
        <f t="shared" si="14"/>
        <v>9</v>
      </c>
      <c r="G46" s="65">
        <f t="shared" si="14"/>
        <v>8</v>
      </c>
      <c r="H46" s="65">
        <f t="shared" si="14"/>
        <v>10</v>
      </c>
      <c r="I46" s="65">
        <f t="shared" si="14"/>
        <v>10</v>
      </c>
      <c r="J46" s="54">
        <f>SUM(B46:I46)</f>
        <v>51.15</v>
      </c>
      <c r="K46" s="56"/>
      <c r="L46" s="55" t="s">
        <v>141</v>
      </c>
      <c r="M46" s="70">
        <f t="shared" ref="M46:V46" si="15">M45*M44</f>
        <v>3.5500000000000003</v>
      </c>
      <c r="N46" s="70">
        <f t="shared" si="15"/>
        <v>2.3000000000000003</v>
      </c>
      <c r="O46" s="70">
        <f t="shared" si="15"/>
        <v>3.8000000000000003</v>
      </c>
      <c r="P46" s="70">
        <f t="shared" si="15"/>
        <v>11</v>
      </c>
      <c r="Q46" s="70">
        <f t="shared" si="15"/>
        <v>15</v>
      </c>
      <c r="R46" s="70">
        <f t="shared" si="15"/>
        <v>22</v>
      </c>
      <c r="S46" s="70">
        <f t="shared" si="15"/>
        <v>0</v>
      </c>
      <c r="T46" s="70">
        <f t="shared" si="15"/>
        <v>40</v>
      </c>
      <c r="U46" s="70">
        <f t="shared" si="15"/>
        <v>60</v>
      </c>
      <c r="V46" s="70">
        <f t="shared" si="15"/>
        <v>0</v>
      </c>
      <c r="W46" s="54">
        <f>SUM(M46:V46)</f>
        <v>157.65</v>
      </c>
      <c r="X46" s="55">
        <f>W46-J46</f>
        <v>106.5</v>
      </c>
      <c r="Y46" s="63">
        <v>35.299999999999997</v>
      </c>
      <c r="Z46" s="63">
        <v>0</v>
      </c>
      <c r="AA46" s="66">
        <f>X46+Z46</f>
        <v>106.5</v>
      </c>
      <c r="AB46" s="55">
        <v>20</v>
      </c>
      <c r="AC46" s="55">
        <f>Y46-AB46</f>
        <v>15.299999999999997</v>
      </c>
      <c r="AD46" s="55">
        <f>X46-Y46</f>
        <v>71.2</v>
      </c>
      <c r="AE46" s="55">
        <v>0</v>
      </c>
      <c r="AF46" s="55">
        <f>AD46-AE46</f>
        <v>71.2</v>
      </c>
      <c r="AG46" s="61"/>
    </row>
    <row r="49" spans="1:33" ht="51" x14ac:dyDescent="0.2">
      <c r="A49" s="52" t="s">
        <v>135</v>
      </c>
      <c r="B49" s="53">
        <v>45635</v>
      </c>
      <c r="C49" s="54"/>
      <c r="D49" s="54"/>
      <c r="E49" s="54"/>
      <c r="F49" s="54"/>
      <c r="G49" s="54"/>
      <c r="H49" s="54"/>
      <c r="I49" s="54"/>
      <c r="J49" s="55" t="s">
        <v>141</v>
      </c>
      <c r="K49" s="56"/>
      <c r="L49" s="52" t="s">
        <v>136</v>
      </c>
      <c r="M49" s="53">
        <v>45635</v>
      </c>
      <c r="N49" s="54"/>
      <c r="O49" s="54"/>
      <c r="P49" s="54"/>
      <c r="Q49" s="54"/>
      <c r="R49" s="54"/>
      <c r="S49" s="54"/>
      <c r="T49" s="54"/>
      <c r="U49" s="54"/>
      <c r="V49" s="54"/>
      <c r="W49" s="55" t="s">
        <v>141</v>
      </c>
      <c r="X49" s="57" t="s">
        <v>192</v>
      </c>
      <c r="Y49" s="58" t="s">
        <v>142</v>
      </c>
      <c r="Z49" s="59" t="s">
        <v>193</v>
      </c>
      <c r="AA49" s="60" t="s">
        <v>194</v>
      </c>
      <c r="AB49" s="57" t="s">
        <v>165</v>
      </c>
      <c r="AC49" s="55" t="s">
        <v>195</v>
      </c>
      <c r="AD49" s="55" t="s">
        <v>196</v>
      </c>
      <c r="AE49" s="57" t="s">
        <v>197</v>
      </c>
      <c r="AF49" s="55" t="s">
        <v>198</v>
      </c>
      <c r="AG49" s="61"/>
    </row>
    <row r="50" spans="1:33" ht="12.75" x14ac:dyDescent="0.2">
      <c r="A50" s="55" t="s">
        <v>199</v>
      </c>
      <c r="B50" s="62">
        <v>0.05</v>
      </c>
      <c r="C50" s="62">
        <v>0.1</v>
      </c>
      <c r="D50" s="62">
        <v>0.2</v>
      </c>
      <c r="E50" s="62">
        <v>0.5</v>
      </c>
      <c r="F50" s="62">
        <v>1</v>
      </c>
      <c r="G50" s="62">
        <v>2</v>
      </c>
      <c r="H50" s="62">
        <v>5</v>
      </c>
      <c r="I50" s="62">
        <v>10</v>
      </c>
      <c r="K50" s="56"/>
      <c r="L50" s="55" t="s">
        <v>199</v>
      </c>
      <c r="M50" s="62">
        <v>0.05</v>
      </c>
      <c r="N50" s="62">
        <v>0.1</v>
      </c>
      <c r="O50" s="62">
        <v>0.2</v>
      </c>
      <c r="P50" s="62">
        <v>0.5</v>
      </c>
      <c r="Q50" s="62">
        <v>1</v>
      </c>
      <c r="R50" s="62">
        <v>2</v>
      </c>
      <c r="S50" s="62">
        <v>5</v>
      </c>
      <c r="T50" s="62">
        <v>10</v>
      </c>
      <c r="U50" s="62">
        <v>20</v>
      </c>
      <c r="V50" s="62">
        <v>50</v>
      </c>
      <c r="W50" s="54"/>
      <c r="X50" s="54"/>
      <c r="Z50" s="63"/>
      <c r="AA50" s="64"/>
      <c r="AB50" s="54"/>
      <c r="AC50" s="54"/>
      <c r="AD50" s="54"/>
      <c r="AE50" s="54"/>
      <c r="AF50" s="54"/>
    </row>
    <row r="51" spans="1:33" ht="12.75" x14ac:dyDescent="0.2">
      <c r="A51" s="55" t="s">
        <v>200</v>
      </c>
      <c r="B51" s="38">
        <v>71</v>
      </c>
      <c r="C51" s="65">
        <v>23</v>
      </c>
      <c r="D51" s="65">
        <v>19</v>
      </c>
      <c r="E51" s="65">
        <v>10</v>
      </c>
      <c r="F51" s="65">
        <v>10</v>
      </c>
      <c r="G51" s="65">
        <v>5</v>
      </c>
      <c r="H51" s="65">
        <v>2</v>
      </c>
      <c r="I51" s="65">
        <v>1</v>
      </c>
      <c r="J51" s="54"/>
      <c r="K51" s="56"/>
      <c r="L51" s="55" t="s">
        <v>200</v>
      </c>
      <c r="M51" s="38">
        <v>71</v>
      </c>
      <c r="N51" s="65">
        <v>14</v>
      </c>
      <c r="O51" s="65">
        <v>8</v>
      </c>
      <c r="P51" s="65">
        <v>10</v>
      </c>
      <c r="Q51" s="65">
        <v>6</v>
      </c>
      <c r="R51" s="65">
        <v>18</v>
      </c>
      <c r="S51" s="65">
        <v>7</v>
      </c>
      <c r="T51" s="65">
        <v>11</v>
      </c>
      <c r="U51" s="65">
        <v>5</v>
      </c>
      <c r="V51" s="65"/>
      <c r="W51" s="65"/>
      <c r="X51" s="54"/>
      <c r="Z51" s="63"/>
      <c r="AA51" s="64"/>
      <c r="AB51" s="54"/>
      <c r="AC51" s="54"/>
      <c r="AD51" s="54"/>
      <c r="AE51" s="54"/>
      <c r="AF51" s="54"/>
    </row>
    <row r="52" spans="1:33" ht="12.75" x14ac:dyDescent="0.2">
      <c r="A52" s="55" t="s">
        <v>141</v>
      </c>
      <c r="B52" s="65">
        <f t="shared" ref="B52:I52" si="16">B51*B50</f>
        <v>3.5500000000000003</v>
      </c>
      <c r="C52" s="65">
        <f t="shared" si="16"/>
        <v>2.3000000000000003</v>
      </c>
      <c r="D52" s="65">
        <f t="shared" si="16"/>
        <v>3.8000000000000003</v>
      </c>
      <c r="E52" s="65">
        <f t="shared" si="16"/>
        <v>5</v>
      </c>
      <c r="F52" s="65">
        <f t="shared" si="16"/>
        <v>10</v>
      </c>
      <c r="G52" s="65">
        <f t="shared" si="16"/>
        <v>10</v>
      </c>
      <c r="H52" s="65">
        <f t="shared" si="16"/>
        <v>10</v>
      </c>
      <c r="I52" s="65">
        <f t="shared" si="16"/>
        <v>10</v>
      </c>
      <c r="J52" s="54">
        <f>SUM(B52:I52)</f>
        <v>54.65</v>
      </c>
      <c r="K52" s="56"/>
      <c r="L52" s="55" t="s">
        <v>141</v>
      </c>
      <c r="M52" s="70">
        <f t="shared" ref="M52:V52" si="17">M51*M50</f>
        <v>3.5500000000000003</v>
      </c>
      <c r="N52" s="70">
        <f t="shared" si="17"/>
        <v>1.4000000000000001</v>
      </c>
      <c r="O52" s="70">
        <f t="shared" si="17"/>
        <v>1.6</v>
      </c>
      <c r="P52" s="70">
        <f t="shared" si="17"/>
        <v>5</v>
      </c>
      <c r="Q52" s="70">
        <f t="shared" si="17"/>
        <v>6</v>
      </c>
      <c r="R52" s="70">
        <f t="shared" si="17"/>
        <v>36</v>
      </c>
      <c r="S52" s="70">
        <f t="shared" si="17"/>
        <v>35</v>
      </c>
      <c r="T52" s="70">
        <f t="shared" si="17"/>
        <v>110</v>
      </c>
      <c r="U52" s="70">
        <f t="shared" si="17"/>
        <v>100</v>
      </c>
      <c r="V52" s="70">
        <f t="shared" si="17"/>
        <v>0</v>
      </c>
      <c r="W52" s="54">
        <f>SUM(M52:V52)</f>
        <v>298.55</v>
      </c>
      <c r="X52" s="55">
        <f>W52-J52</f>
        <v>243.9</v>
      </c>
      <c r="Y52" s="63">
        <v>118.6</v>
      </c>
      <c r="Z52" s="63">
        <v>23.2</v>
      </c>
      <c r="AA52" s="66">
        <f>X52+Z52</f>
        <v>267.10000000000002</v>
      </c>
      <c r="AB52" s="55">
        <v>118.6</v>
      </c>
      <c r="AC52" s="55">
        <f>Y52-AB52</f>
        <v>0</v>
      </c>
      <c r="AD52" s="55">
        <f>X52-Y52</f>
        <v>125.30000000000001</v>
      </c>
      <c r="AE52" s="55">
        <v>50</v>
      </c>
      <c r="AF52" s="55">
        <f>AD52-AE52</f>
        <v>75.300000000000011</v>
      </c>
      <c r="AG52" s="61"/>
    </row>
    <row r="55" spans="1:33" ht="51" x14ac:dyDescent="0.2">
      <c r="A55" s="52" t="s">
        <v>135</v>
      </c>
      <c r="B55" s="53">
        <v>45636</v>
      </c>
      <c r="C55" s="54"/>
      <c r="D55" s="54"/>
      <c r="E55" s="54"/>
      <c r="F55" s="54"/>
      <c r="G55" s="54"/>
      <c r="H55" s="54"/>
      <c r="I55" s="54"/>
      <c r="J55" s="55" t="s">
        <v>141</v>
      </c>
      <c r="K55" s="56"/>
      <c r="L55" s="52" t="s">
        <v>136</v>
      </c>
      <c r="M55" s="53">
        <v>45636</v>
      </c>
      <c r="N55" s="54"/>
      <c r="O55" s="54"/>
      <c r="P55" s="54"/>
      <c r="Q55" s="54"/>
      <c r="R55" s="54"/>
      <c r="S55" s="54"/>
      <c r="T55" s="54"/>
      <c r="U55" s="54"/>
      <c r="V55" s="54"/>
      <c r="W55" s="55" t="s">
        <v>141</v>
      </c>
      <c r="X55" s="57" t="s">
        <v>192</v>
      </c>
      <c r="Y55" s="58" t="s">
        <v>142</v>
      </c>
      <c r="Z55" s="59" t="s">
        <v>193</v>
      </c>
      <c r="AA55" s="60" t="s">
        <v>194</v>
      </c>
      <c r="AB55" s="57" t="s">
        <v>165</v>
      </c>
      <c r="AC55" s="55" t="s">
        <v>195</v>
      </c>
      <c r="AD55" s="55" t="s">
        <v>196</v>
      </c>
      <c r="AE55" s="57" t="s">
        <v>197</v>
      </c>
      <c r="AF55" s="55" t="s">
        <v>198</v>
      </c>
      <c r="AG55" s="61"/>
    </row>
    <row r="56" spans="1:33" ht="12.75" x14ac:dyDescent="0.2">
      <c r="A56" s="55" t="s">
        <v>199</v>
      </c>
      <c r="B56" s="62">
        <v>0.05</v>
      </c>
      <c r="C56" s="62">
        <v>0.1</v>
      </c>
      <c r="D56" s="62">
        <v>0.2</v>
      </c>
      <c r="E56" s="62">
        <v>0.5</v>
      </c>
      <c r="F56" s="62">
        <v>1</v>
      </c>
      <c r="G56" s="62">
        <v>2</v>
      </c>
      <c r="H56" s="62">
        <v>5</v>
      </c>
      <c r="I56" s="62">
        <v>10</v>
      </c>
      <c r="K56" s="56"/>
      <c r="L56" s="55" t="s">
        <v>199</v>
      </c>
      <c r="M56" s="62">
        <v>0.05</v>
      </c>
      <c r="N56" s="62">
        <v>0.1</v>
      </c>
      <c r="O56" s="62">
        <v>0.2</v>
      </c>
      <c r="P56" s="62">
        <v>0.5</v>
      </c>
      <c r="Q56" s="62">
        <v>1</v>
      </c>
      <c r="R56" s="62">
        <v>2</v>
      </c>
      <c r="S56" s="62">
        <v>5</v>
      </c>
      <c r="T56" s="62">
        <v>10</v>
      </c>
      <c r="U56" s="62">
        <v>20</v>
      </c>
      <c r="V56" s="62">
        <v>50</v>
      </c>
      <c r="W56" s="54"/>
      <c r="X56" s="54"/>
      <c r="Z56" s="63"/>
      <c r="AA56" s="64"/>
      <c r="AB56" s="54"/>
      <c r="AC56" s="54"/>
      <c r="AD56" s="54"/>
      <c r="AE56" s="54"/>
      <c r="AF56" s="54"/>
    </row>
    <row r="57" spans="1:33" ht="12.75" x14ac:dyDescent="0.2">
      <c r="A57" s="54" t="s">
        <v>200</v>
      </c>
      <c r="B57" s="38">
        <v>71</v>
      </c>
      <c r="C57" s="65">
        <v>14</v>
      </c>
      <c r="D57" s="65">
        <v>8</v>
      </c>
      <c r="E57" s="65">
        <v>10</v>
      </c>
      <c r="F57" s="65">
        <v>6</v>
      </c>
      <c r="G57" s="65">
        <v>7</v>
      </c>
      <c r="H57" s="65">
        <v>2</v>
      </c>
      <c r="I57" s="65">
        <v>1</v>
      </c>
      <c r="J57" s="54"/>
      <c r="K57" s="56"/>
      <c r="L57" s="54" t="s">
        <v>200</v>
      </c>
      <c r="M57" s="38">
        <v>71</v>
      </c>
      <c r="N57" s="65">
        <v>7</v>
      </c>
      <c r="O57" s="65">
        <v>1</v>
      </c>
      <c r="P57" s="65">
        <v>13</v>
      </c>
      <c r="Q57" s="65">
        <v>15</v>
      </c>
      <c r="R57" s="65">
        <v>5</v>
      </c>
      <c r="S57" s="65">
        <v>11</v>
      </c>
      <c r="T57" s="65">
        <v>6</v>
      </c>
      <c r="U57" s="65">
        <v>3</v>
      </c>
      <c r="V57" s="65">
        <v>1</v>
      </c>
      <c r="W57" s="65"/>
      <c r="X57" s="54"/>
      <c r="Z57" s="63"/>
      <c r="AA57" s="64"/>
      <c r="AB57" s="54"/>
      <c r="AC57" s="54"/>
      <c r="AD57" s="54"/>
      <c r="AE57" s="54"/>
      <c r="AF57" s="54"/>
    </row>
    <row r="58" spans="1:33" ht="12.75" x14ac:dyDescent="0.2">
      <c r="A58" s="55" t="s">
        <v>141</v>
      </c>
      <c r="B58" s="65">
        <f t="shared" ref="B58:I58" si="18">B57*B56</f>
        <v>3.5500000000000003</v>
      </c>
      <c r="C58" s="65">
        <f t="shared" si="18"/>
        <v>1.4000000000000001</v>
      </c>
      <c r="D58" s="65">
        <f t="shared" si="18"/>
        <v>1.6</v>
      </c>
      <c r="E58" s="65">
        <f t="shared" si="18"/>
        <v>5</v>
      </c>
      <c r="F58" s="65">
        <f t="shared" si="18"/>
        <v>6</v>
      </c>
      <c r="G58" s="65">
        <f t="shared" si="18"/>
        <v>14</v>
      </c>
      <c r="H58" s="65">
        <f t="shared" si="18"/>
        <v>10</v>
      </c>
      <c r="I58" s="65">
        <f t="shared" si="18"/>
        <v>10</v>
      </c>
      <c r="J58" s="54">
        <f>SUM(B58:I58)</f>
        <v>51.55</v>
      </c>
      <c r="K58" s="56"/>
      <c r="L58" s="55" t="s">
        <v>141</v>
      </c>
      <c r="M58" s="70">
        <f t="shared" ref="M58:V58" si="19">M57*M56</f>
        <v>3.5500000000000003</v>
      </c>
      <c r="N58" s="70">
        <f t="shared" si="19"/>
        <v>0.70000000000000007</v>
      </c>
      <c r="O58" s="70">
        <f t="shared" si="19"/>
        <v>0.2</v>
      </c>
      <c r="P58" s="70">
        <f t="shared" si="19"/>
        <v>6.5</v>
      </c>
      <c r="Q58" s="70">
        <f t="shared" si="19"/>
        <v>15</v>
      </c>
      <c r="R58" s="70">
        <f t="shared" si="19"/>
        <v>10</v>
      </c>
      <c r="S58" s="70">
        <f t="shared" si="19"/>
        <v>55</v>
      </c>
      <c r="T58" s="70">
        <f t="shared" si="19"/>
        <v>60</v>
      </c>
      <c r="U58" s="70">
        <f t="shared" si="19"/>
        <v>60</v>
      </c>
      <c r="V58" s="70">
        <f t="shared" si="19"/>
        <v>50</v>
      </c>
      <c r="W58" s="54">
        <f>SUM(M58:V58)</f>
        <v>260.95</v>
      </c>
      <c r="X58" s="55">
        <f>W58-J58</f>
        <v>209.39999999999998</v>
      </c>
      <c r="Y58" s="63">
        <v>79.5</v>
      </c>
      <c r="Z58" s="63">
        <v>34.1</v>
      </c>
      <c r="AA58" s="66">
        <f>X58+Z58</f>
        <v>243.49999999999997</v>
      </c>
      <c r="AB58" s="55">
        <v>35</v>
      </c>
      <c r="AC58" s="55">
        <f>Y58-AB58</f>
        <v>44.5</v>
      </c>
      <c r="AD58" s="55">
        <f>X58-Y58</f>
        <v>129.89999999999998</v>
      </c>
      <c r="AE58" s="55">
        <v>0</v>
      </c>
      <c r="AF58" s="55">
        <f>AD58-AE58</f>
        <v>129.89999999999998</v>
      </c>
      <c r="AG58" s="61"/>
    </row>
    <row r="59" spans="1:33" ht="12.75" x14ac:dyDescent="0.2">
      <c r="AB59" s="38" t="s">
        <v>167</v>
      </c>
      <c r="AC59" s="38">
        <v>-4</v>
      </c>
    </row>
    <row r="61" spans="1:33" ht="51" x14ac:dyDescent="0.2">
      <c r="A61" s="52" t="s">
        <v>135</v>
      </c>
      <c r="B61" s="53">
        <v>45637</v>
      </c>
      <c r="C61" s="54"/>
      <c r="D61" s="54"/>
      <c r="E61" s="54"/>
      <c r="F61" s="54"/>
      <c r="G61" s="54"/>
      <c r="H61" s="54"/>
      <c r="I61" s="54"/>
      <c r="J61" s="55" t="s">
        <v>141</v>
      </c>
      <c r="K61" s="56"/>
      <c r="L61" s="52" t="s">
        <v>136</v>
      </c>
      <c r="M61" s="53">
        <v>45637</v>
      </c>
      <c r="N61" s="54"/>
      <c r="O61" s="54"/>
      <c r="P61" s="54"/>
      <c r="Q61" s="54"/>
      <c r="R61" s="54"/>
      <c r="S61" s="54"/>
      <c r="T61" s="54"/>
      <c r="U61" s="54"/>
      <c r="V61" s="54"/>
      <c r="W61" s="55" t="s">
        <v>141</v>
      </c>
      <c r="X61" s="57" t="s">
        <v>192</v>
      </c>
      <c r="Y61" s="58" t="s">
        <v>142</v>
      </c>
      <c r="Z61" s="59" t="s">
        <v>193</v>
      </c>
      <c r="AA61" s="60" t="s">
        <v>194</v>
      </c>
      <c r="AB61" s="57" t="s">
        <v>165</v>
      </c>
      <c r="AC61" s="55" t="s">
        <v>195</v>
      </c>
      <c r="AD61" s="55" t="s">
        <v>196</v>
      </c>
      <c r="AE61" s="57" t="s">
        <v>197</v>
      </c>
      <c r="AF61" s="55" t="s">
        <v>198</v>
      </c>
      <c r="AG61" s="61"/>
    </row>
    <row r="62" spans="1:33" ht="12.75" x14ac:dyDescent="0.2">
      <c r="A62" s="55" t="s">
        <v>199</v>
      </c>
      <c r="B62" s="62">
        <v>0.05</v>
      </c>
      <c r="C62" s="62">
        <v>0.1</v>
      </c>
      <c r="D62" s="62">
        <v>0.2</v>
      </c>
      <c r="E62" s="62">
        <v>0.5</v>
      </c>
      <c r="F62" s="62">
        <v>1</v>
      </c>
      <c r="G62" s="62">
        <v>2</v>
      </c>
      <c r="H62" s="62">
        <v>5</v>
      </c>
      <c r="I62" s="62">
        <v>10</v>
      </c>
      <c r="K62" s="56"/>
      <c r="L62" s="55" t="s">
        <v>199</v>
      </c>
      <c r="M62" s="62">
        <v>0.05</v>
      </c>
      <c r="N62" s="62">
        <v>0.1</v>
      </c>
      <c r="O62" s="62">
        <v>0.2</v>
      </c>
      <c r="P62" s="62">
        <v>0.5</v>
      </c>
      <c r="Q62" s="62">
        <v>1</v>
      </c>
      <c r="R62" s="62">
        <v>2</v>
      </c>
      <c r="S62" s="62">
        <v>5</v>
      </c>
      <c r="T62" s="62">
        <v>10</v>
      </c>
      <c r="U62" s="62">
        <v>20</v>
      </c>
      <c r="V62" s="62">
        <v>50</v>
      </c>
      <c r="W62" s="54"/>
      <c r="X62" s="54"/>
      <c r="Z62" s="63"/>
      <c r="AA62" s="64"/>
      <c r="AB62" s="54"/>
      <c r="AC62" s="54"/>
      <c r="AD62" s="54"/>
      <c r="AE62" s="54"/>
      <c r="AF62" s="54"/>
    </row>
    <row r="63" spans="1:33" ht="12.75" x14ac:dyDescent="0.2">
      <c r="A63" s="55" t="s">
        <v>200</v>
      </c>
      <c r="B63" s="38">
        <v>71</v>
      </c>
      <c r="C63" s="65">
        <v>7</v>
      </c>
      <c r="D63" s="65">
        <v>1</v>
      </c>
      <c r="E63" s="65">
        <v>13</v>
      </c>
      <c r="F63" s="65">
        <v>10</v>
      </c>
      <c r="G63" s="65">
        <v>5</v>
      </c>
      <c r="H63" s="65">
        <v>2</v>
      </c>
      <c r="I63" s="65">
        <v>1</v>
      </c>
      <c r="J63" s="54"/>
      <c r="K63" s="56"/>
      <c r="L63" s="55" t="s">
        <v>200</v>
      </c>
      <c r="M63" s="38">
        <v>65</v>
      </c>
      <c r="N63" s="65">
        <v>8</v>
      </c>
      <c r="O63" s="65">
        <v>6</v>
      </c>
      <c r="P63" s="65">
        <v>8</v>
      </c>
      <c r="Q63" s="65">
        <v>8</v>
      </c>
      <c r="R63" s="65">
        <v>7</v>
      </c>
      <c r="S63" s="65">
        <v>3</v>
      </c>
      <c r="T63" s="65">
        <v>10</v>
      </c>
      <c r="U63" s="65">
        <v>6</v>
      </c>
      <c r="V63" s="65">
        <v>1</v>
      </c>
      <c r="W63" s="65"/>
      <c r="X63" s="54"/>
      <c r="Z63" s="63"/>
      <c r="AA63" s="64"/>
      <c r="AB63" s="54"/>
      <c r="AC63" s="54"/>
      <c r="AD63" s="54"/>
      <c r="AE63" s="54"/>
      <c r="AF63" s="54"/>
    </row>
    <row r="64" spans="1:33" ht="12.75" x14ac:dyDescent="0.2">
      <c r="A64" s="55" t="s">
        <v>141</v>
      </c>
      <c r="B64" s="65">
        <f t="shared" ref="B64:I64" si="20">B63*B62</f>
        <v>3.5500000000000003</v>
      </c>
      <c r="C64" s="65">
        <f t="shared" si="20"/>
        <v>0.70000000000000007</v>
      </c>
      <c r="D64" s="65">
        <f t="shared" si="20"/>
        <v>0.2</v>
      </c>
      <c r="E64" s="65">
        <f t="shared" si="20"/>
        <v>6.5</v>
      </c>
      <c r="F64" s="65">
        <f t="shared" si="20"/>
        <v>10</v>
      </c>
      <c r="G64" s="65">
        <f t="shared" si="20"/>
        <v>10</v>
      </c>
      <c r="H64" s="65">
        <f t="shared" si="20"/>
        <v>10</v>
      </c>
      <c r="I64" s="65">
        <f t="shared" si="20"/>
        <v>10</v>
      </c>
      <c r="J64" s="54">
        <f>SUM(B64:I64)</f>
        <v>50.95</v>
      </c>
      <c r="K64" s="56"/>
      <c r="L64" s="55" t="s">
        <v>141</v>
      </c>
      <c r="M64" s="70">
        <f t="shared" ref="M64:V64" si="21">M63*M62</f>
        <v>3.25</v>
      </c>
      <c r="N64" s="70">
        <f t="shared" si="21"/>
        <v>0.8</v>
      </c>
      <c r="O64" s="70">
        <f t="shared" si="21"/>
        <v>1.2000000000000002</v>
      </c>
      <c r="P64" s="70">
        <f t="shared" si="21"/>
        <v>4</v>
      </c>
      <c r="Q64" s="70">
        <f t="shared" si="21"/>
        <v>8</v>
      </c>
      <c r="R64" s="70">
        <f t="shared" si="21"/>
        <v>14</v>
      </c>
      <c r="S64" s="70">
        <f t="shared" si="21"/>
        <v>15</v>
      </c>
      <c r="T64" s="70">
        <f t="shared" si="21"/>
        <v>100</v>
      </c>
      <c r="U64" s="70">
        <f t="shared" si="21"/>
        <v>120</v>
      </c>
      <c r="V64" s="70">
        <f t="shared" si="21"/>
        <v>50</v>
      </c>
      <c r="W64" s="54">
        <f>SUM(M64:V64)</f>
        <v>316.25</v>
      </c>
      <c r="X64" s="55">
        <f>W64-J64</f>
        <v>265.3</v>
      </c>
      <c r="Y64" s="63">
        <v>97.6</v>
      </c>
      <c r="Z64" s="63">
        <v>27.2</v>
      </c>
      <c r="AA64" s="66">
        <f>X64+Z64</f>
        <v>292.5</v>
      </c>
      <c r="AB64" s="55">
        <v>50</v>
      </c>
      <c r="AC64" s="55">
        <f>Y64-AB64</f>
        <v>47.599999999999994</v>
      </c>
      <c r="AD64" s="55">
        <f>X64-Y64</f>
        <v>167.70000000000002</v>
      </c>
      <c r="AE64" s="55">
        <v>0</v>
      </c>
      <c r="AF64" s="55">
        <f>AD64-AE64</f>
        <v>167.70000000000002</v>
      </c>
      <c r="AG64" s="61"/>
    </row>
    <row r="67" spans="1:33" ht="51" x14ac:dyDescent="0.2">
      <c r="A67" s="52" t="s">
        <v>135</v>
      </c>
      <c r="B67" s="53">
        <v>45638</v>
      </c>
      <c r="C67" s="54"/>
      <c r="D67" s="54"/>
      <c r="E67" s="54"/>
      <c r="F67" s="54"/>
      <c r="G67" s="54"/>
      <c r="H67" s="54"/>
      <c r="I67" s="54"/>
      <c r="J67" s="55" t="s">
        <v>141</v>
      </c>
      <c r="K67" s="56"/>
      <c r="L67" s="52" t="s">
        <v>136</v>
      </c>
      <c r="M67" s="53">
        <v>45638</v>
      </c>
      <c r="N67" s="54"/>
      <c r="O67" s="54"/>
      <c r="P67" s="54"/>
      <c r="Q67" s="54"/>
      <c r="R67" s="54"/>
      <c r="S67" s="54"/>
      <c r="T67" s="54"/>
      <c r="U67" s="54"/>
      <c r="V67" s="54"/>
      <c r="W67" s="55" t="s">
        <v>141</v>
      </c>
      <c r="X67" s="57" t="s">
        <v>192</v>
      </c>
      <c r="Y67" s="58" t="s">
        <v>142</v>
      </c>
      <c r="Z67" s="59" t="s">
        <v>193</v>
      </c>
      <c r="AA67" s="60" t="s">
        <v>194</v>
      </c>
      <c r="AB67" s="57" t="s">
        <v>165</v>
      </c>
      <c r="AC67" s="55" t="s">
        <v>195</v>
      </c>
      <c r="AD67" s="55" t="s">
        <v>196</v>
      </c>
      <c r="AE67" s="57" t="s">
        <v>197</v>
      </c>
      <c r="AF67" s="55" t="s">
        <v>198</v>
      </c>
      <c r="AG67" s="61"/>
    </row>
    <row r="68" spans="1:33" ht="12.75" x14ac:dyDescent="0.2">
      <c r="A68" s="55" t="s">
        <v>199</v>
      </c>
      <c r="B68" s="62">
        <v>0.05</v>
      </c>
      <c r="C68" s="62">
        <v>0.1</v>
      </c>
      <c r="D68" s="62">
        <v>0.2</v>
      </c>
      <c r="E68" s="62">
        <v>0.5</v>
      </c>
      <c r="F68" s="62">
        <v>1</v>
      </c>
      <c r="G68" s="62">
        <v>2</v>
      </c>
      <c r="H68" s="62">
        <v>5</v>
      </c>
      <c r="I68" s="62">
        <v>10</v>
      </c>
      <c r="K68" s="56"/>
      <c r="L68" s="55" t="s">
        <v>199</v>
      </c>
      <c r="M68" s="62">
        <v>0.05</v>
      </c>
      <c r="N68" s="62">
        <v>0.1</v>
      </c>
      <c r="O68" s="62">
        <v>0.2</v>
      </c>
      <c r="P68" s="62">
        <v>0.5</v>
      </c>
      <c r="Q68" s="62">
        <v>1</v>
      </c>
      <c r="R68" s="62">
        <v>2</v>
      </c>
      <c r="S68" s="62">
        <v>5</v>
      </c>
      <c r="T68" s="62">
        <v>10</v>
      </c>
      <c r="U68" s="62">
        <v>20</v>
      </c>
      <c r="V68" s="62">
        <v>50</v>
      </c>
      <c r="W68" s="54"/>
      <c r="X68" s="54"/>
      <c r="Z68" s="63"/>
      <c r="AA68" s="64"/>
      <c r="AB68" s="54"/>
      <c r="AC68" s="54"/>
      <c r="AD68" s="54"/>
      <c r="AE68" s="54"/>
      <c r="AF68" s="54"/>
    </row>
    <row r="69" spans="1:33" ht="12.75" x14ac:dyDescent="0.2">
      <c r="A69" s="55" t="s">
        <v>200</v>
      </c>
      <c r="B69" s="38">
        <v>65</v>
      </c>
      <c r="C69" s="65">
        <v>8</v>
      </c>
      <c r="D69" s="65">
        <v>6</v>
      </c>
      <c r="E69" s="65">
        <v>8</v>
      </c>
      <c r="F69" s="65">
        <v>8</v>
      </c>
      <c r="G69" s="65">
        <v>7</v>
      </c>
      <c r="H69" s="65">
        <v>2</v>
      </c>
      <c r="I69" s="65">
        <v>1</v>
      </c>
      <c r="J69" s="54"/>
      <c r="K69" s="56"/>
      <c r="L69" s="55" t="s">
        <v>200</v>
      </c>
      <c r="M69" s="38">
        <v>73</v>
      </c>
      <c r="N69" s="65">
        <v>40</v>
      </c>
      <c r="O69" s="65">
        <v>14</v>
      </c>
      <c r="P69" s="65">
        <v>15</v>
      </c>
      <c r="Q69" s="65">
        <v>23</v>
      </c>
      <c r="R69" s="65">
        <v>15</v>
      </c>
      <c r="S69" s="65">
        <v>6</v>
      </c>
      <c r="T69" s="65">
        <v>2</v>
      </c>
      <c r="U69" s="65">
        <v>4</v>
      </c>
      <c r="V69" s="65">
        <v>2</v>
      </c>
      <c r="W69" s="65"/>
      <c r="X69" s="54"/>
      <c r="Z69" s="63"/>
      <c r="AA69" s="64"/>
      <c r="AB69" s="54"/>
      <c r="AC69" s="54"/>
      <c r="AD69" s="54"/>
      <c r="AE69" s="54"/>
      <c r="AF69" s="54"/>
    </row>
    <row r="70" spans="1:33" ht="12.75" x14ac:dyDescent="0.2">
      <c r="A70" s="55" t="s">
        <v>141</v>
      </c>
      <c r="B70" s="65">
        <f t="shared" ref="B70:I70" si="22">B69*B68</f>
        <v>3.25</v>
      </c>
      <c r="C70" s="65">
        <f t="shared" si="22"/>
        <v>0.8</v>
      </c>
      <c r="D70" s="65">
        <f t="shared" si="22"/>
        <v>1.2000000000000002</v>
      </c>
      <c r="E70" s="65">
        <f t="shared" si="22"/>
        <v>4</v>
      </c>
      <c r="F70" s="65">
        <f t="shared" si="22"/>
        <v>8</v>
      </c>
      <c r="G70" s="65">
        <f t="shared" si="22"/>
        <v>14</v>
      </c>
      <c r="H70" s="65">
        <f t="shared" si="22"/>
        <v>10</v>
      </c>
      <c r="I70" s="65">
        <f t="shared" si="22"/>
        <v>10</v>
      </c>
      <c r="J70" s="54">
        <f>SUM(B70:I70)</f>
        <v>51.25</v>
      </c>
      <c r="K70" s="56"/>
      <c r="L70" s="55" t="s">
        <v>141</v>
      </c>
      <c r="M70" s="70">
        <f t="shared" ref="M70:V70" si="23">M69*M68</f>
        <v>3.6500000000000004</v>
      </c>
      <c r="N70" s="70">
        <f t="shared" si="23"/>
        <v>4</v>
      </c>
      <c r="O70" s="70">
        <f t="shared" si="23"/>
        <v>2.8000000000000003</v>
      </c>
      <c r="P70" s="70">
        <f t="shared" si="23"/>
        <v>7.5</v>
      </c>
      <c r="Q70" s="70">
        <f t="shared" si="23"/>
        <v>23</v>
      </c>
      <c r="R70" s="70">
        <f t="shared" si="23"/>
        <v>30</v>
      </c>
      <c r="S70" s="70">
        <f t="shared" si="23"/>
        <v>30</v>
      </c>
      <c r="T70" s="70">
        <f t="shared" si="23"/>
        <v>20</v>
      </c>
      <c r="U70" s="70">
        <f t="shared" si="23"/>
        <v>80</v>
      </c>
      <c r="V70" s="70">
        <f t="shared" si="23"/>
        <v>100</v>
      </c>
      <c r="W70" s="54">
        <f>SUM(M70:V70)</f>
        <v>300.95</v>
      </c>
      <c r="X70" s="55">
        <f>W70-J70</f>
        <v>249.7</v>
      </c>
      <c r="Y70" s="63">
        <v>101.6</v>
      </c>
      <c r="Z70" s="63">
        <v>67.7</v>
      </c>
      <c r="AA70" s="66">
        <f>X70+Z70</f>
        <v>317.39999999999998</v>
      </c>
      <c r="AB70" s="55">
        <f>SUM(Y70+Z70)*0.3</f>
        <v>50.79</v>
      </c>
      <c r="AC70" s="55">
        <f>Y70-AB70</f>
        <v>50.809999999999995</v>
      </c>
      <c r="AD70" s="55">
        <f>X70-Y70</f>
        <v>148.1</v>
      </c>
      <c r="AE70" s="55">
        <f>AD70*0.2</f>
        <v>29.62</v>
      </c>
      <c r="AF70" s="55">
        <f>AD70-AE70</f>
        <v>118.47999999999999</v>
      </c>
      <c r="AG70" s="61"/>
    </row>
    <row r="71" spans="1:33" ht="12.75" x14ac:dyDescent="0.2">
      <c r="AC71" s="38" t="s">
        <v>227</v>
      </c>
    </row>
    <row r="73" spans="1:33" ht="51" x14ac:dyDescent="0.2">
      <c r="A73" s="52" t="s">
        <v>135</v>
      </c>
      <c r="B73" s="53">
        <v>45639</v>
      </c>
      <c r="C73" s="54"/>
      <c r="D73" s="54"/>
      <c r="E73" s="54"/>
      <c r="F73" s="54"/>
      <c r="G73" s="54"/>
      <c r="H73" s="54"/>
      <c r="I73" s="54"/>
      <c r="J73" s="55" t="s">
        <v>141</v>
      </c>
      <c r="K73" s="56"/>
      <c r="L73" s="52" t="s">
        <v>136</v>
      </c>
      <c r="M73" s="53">
        <v>45639</v>
      </c>
      <c r="N73" s="54"/>
      <c r="O73" s="54"/>
      <c r="P73" s="54"/>
      <c r="Q73" s="54"/>
      <c r="R73" s="54"/>
      <c r="S73" s="54"/>
      <c r="T73" s="54"/>
      <c r="U73" s="54"/>
      <c r="V73" s="54"/>
      <c r="W73" s="55" t="s">
        <v>141</v>
      </c>
      <c r="X73" s="57" t="s">
        <v>192</v>
      </c>
      <c r="Y73" s="58" t="s">
        <v>142</v>
      </c>
      <c r="Z73" s="59" t="s">
        <v>193</v>
      </c>
      <c r="AA73" s="60" t="s">
        <v>194</v>
      </c>
      <c r="AB73" s="57" t="s">
        <v>165</v>
      </c>
      <c r="AC73" s="55" t="s">
        <v>195</v>
      </c>
      <c r="AD73" s="55" t="s">
        <v>196</v>
      </c>
      <c r="AE73" s="57" t="s">
        <v>197</v>
      </c>
      <c r="AF73" s="55" t="s">
        <v>198</v>
      </c>
      <c r="AG73" s="61"/>
    </row>
    <row r="74" spans="1:33" ht="12.75" x14ac:dyDescent="0.2">
      <c r="A74" s="55" t="s">
        <v>199</v>
      </c>
      <c r="B74" s="62">
        <v>0.05</v>
      </c>
      <c r="C74" s="62">
        <v>0.1</v>
      </c>
      <c r="D74" s="62">
        <v>0.2</v>
      </c>
      <c r="E74" s="62">
        <v>0.5</v>
      </c>
      <c r="F74" s="62">
        <v>1</v>
      </c>
      <c r="G74" s="62">
        <v>2</v>
      </c>
      <c r="H74" s="62">
        <v>5</v>
      </c>
      <c r="I74" s="62">
        <v>10</v>
      </c>
      <c r="K74" s="56"/>
      <c r="L74" s="55" t="s">
        <v>199</v>
      </c>
      <c r="M74" s="62">
        <v>0.05</v>
      </c>
      <c r="N74" s="62">
        <v>0.1</v>
      </c>
      <c r="O74" s="62">
        <v>0.2</v>
      </c>
      <c r="P74" s="62">
        <v>0.5</v>
      </c>
      <c r="Q74" s="62">
        <v>1</v>
      </c>
      <c r="R74" s="62">
        <v>2</v>
      </c>
      <c r="S74" s="62">
        <v>5</v>
      </c>
      <c r="T74" s="62">
        <v>10</v>
      </c>
      <c r="U74" s="62">
        <v>20</v>
      </c>
      <c r="V74" s="62">
        <v>50</v>
      </c>
      <c r="W74" s="54"/>
      <c r="X74" s="54"/>
      <c r="Z74" s="63"/>
      <c r="AA74" s="64"/>
      <c r="AB74" s="54"/>
      <c r="AC74" s="54"/>
      <c r="AD74" s="54"/>
      <c r="AE74" s="54"/>
      <c r="AF74" s="54"/>
    </row>
    <row r="75" spans="1:33" ht="12.75" x14ac:dyDescent="0.2">
      <c r="A75" s="55" t="s">
        <v>200</v>
      </c>
      <c r="B75" s="38">
        <v>73</v>
      </c>
      <c r="C75" s="65">
        <v>40</v>
      </c>
      <c r="D75" s="65">
        <v>14</v>
      </c>
      <c r="E75" s="65">
        <v>10</v>
      </c>
      <c r="F75" s="65">
        <v>10</v>
      </c>
      <c r="G75" s="65">
        <v>5</v>
      </c>
      <c r="H75" s="65">
        <v>2</v>
      </c>
      <c r="I75" s="65">
        <v>1</v>
      </c>
      <c r="J75" s="54"/>
      <c r="K75" s="56"/>
      <c r="L75" s="55" t="s">
        <v>200</v>
      </c>
      <c r="M75" s="38">
        <v>72</v>
      </c>
      <c r="N75" s="65">
        <v>25</v>
      </c>
      <c r="O75" s="65">
        <v>9</v>
      </c>
      <c r="P75" s="65">
        <v>4</v>
      </c>
      <c r="Q75" s="65">
        <v>5</v>
      </c>
      <c r="R75" s="65">
        <v>3</v>
      </c>
      <c r="S75" s="65">
        <v>13</v>
      </c>
      <c r="T75" s="65">
        <v>3</v>
      </c>
      <c r="U75" s="65">
        <v>3</v>
      </c>
      <c r="V75" s="65">
        <v>6</v>
      </c>
      <c r="W75" s="65"/>
      <c r="X75" s="54"/>
      <c r="Z75" s="63"/>
      <c r="AA75" s="64"/>
      <c r="AB75" s="54"/>
      <c r="AC75" s="54"/>
      <c r="AD75" s="54"/>
      <c r="AE75" s="54"/>
      <c r="AF75" s="54"/>
    </row>
    <row r="76" spans="1:33" ht="12.75" x14ac:dyDescent="0.2">
      <c r="A76" s="55" t="s">
        <v>141</v>
      </c>
      <c r="B76" s="65">
        <f t="shared" ref="B76:I76" si="24">B75*B74</f>
        <v>3.6500000000000004</v>
      </c>
      <c r="C76" s="65">
        <f t="shared" si="24"/>
        <v>4</v>
      </c>
      <c r="D76" s="65">
        <f t="shared" si="24"/>
        <v>2.8000000000000003</v>
      </c>
      <c r="E76" s="65">
        <f t="shared" si="24"/>
        <v>5</v>
      </c>
      <c r="F76" s="65">
        <f t="shared" si="24"/>
        <v>10</v>
      </c>
      <c r="G76" s="65">
        <f t="shared" si="24"/>
        <v>10</v>
      </c>
      <c r="H76" s="65">
        <f t="shared" si="24"/>
        <v>10</v>
      </c>
      <c r="I76" s="65">
        <f t="shared" si="24"/>
        <v>10</v>
      </c>
      <c r="J76" s="54">
        <f>SUM(B76:I76)</f>
        <v>55.45</v>
      </c>
      <c r="K76" s="56"/>
      <c r="L76" s="55" t="s">
        <v>141</v>
      </c>
      <c r="M76" s="70">
        <f t="shared" ref="M76:V76" si="25">M75*M74</f>
        <v>3.6</v>
      </c>
      <c r="N76" s="70">
        <f t="shared" si="25"/>
        <v>2.5</v>
      </c>
      <c r="O76" s="70">
        <f t="shared" si="25"/>
        <v>1.8</v>
      </c>
      <c r="P76" s="70">
        <f t="shared" si="25"/>
        <v>2</v>
      </c>
      <c r="Q76" s="70">
        <f t="shared" si="25"/>
        <v>5</v>
      </c>
      <c r="R76" s="70">
        <f t="shared" si="25"/>
        <v>6</v>
      </c>
      <c r="S76" s="70">
        <f t="shared" si="25"/>
        <v>65</v>
      </c>
      <c r="T76" s="70">
        <f t="shared" si="25"/>
        <v>30</v>
      </c>
      <c r="U76" s="70">
        <f t="shared" si="25"/>
        <v>60</v>
      </c>
      <c r="V76" s="70">
        <f t="shared" si="25"/>
        <v>300</v>
      </c>
      <c r="W76" s="54">
        <f>SUM(M76:V76)</f>
        <v>475.9</v>
      </c>
      <c r="X76" s="55">
        <f>W76-J76</f>
        <v>420.45</v>
      </c>
      <c r="Y76" s="63">
        <v>161.6</v>
      </c>
      <c r="Z76" s="63">
        <v>206.2</v>
      </c>
      <c r="AA76" s="66">
        <f>X76+Z76</f>
        <v>626.65</v>
      </c>
      <c r="AB76" s="55">
        <v>100</v>
      </c>
      <c r="AC76" s="55">
        <f>Y76-AB76</f>
        <v>61.599999999999994</v>
      </c>
      <c r="AD76" s="55">
        <f>X76-Y76</f>
        <v>258.85000000000002</v>
      </c>
      <c r="AE76" s="55">
        <v>53</v>
      </c>
      <c r="AF76" s="55">
        <f>AD76-AE76</f>
        <v>205.85000000000002</v>
      </c>
      <c r="AG76" s="61"/>
    </row>
    <row r="77" spans="1:33" ht="12.75" x14ac:dyDescent="0.2">
      <c r="AB77" s="38" t="s">
        <v>167</v>
      </c>
    </row>
    <row r="79" spans="1:33" ht="51" x14ac:dyDescent="0.2">
      <c r="A79" s="52" t="s">
        <v>135</v>
      </c>
      <c r="B79" s="53">
        <v>45640</v>
      </c>
      <c r="C79" s="54"/>
      <c r="D79" s="54"/>
      <c r="E79" s="54"/>
      <c r="F79" s="54"/>
      <c r="G79" s="54"/>
      <c r="H79" s="54"/>
      <c r="I79" s="54"/>
      <c r="J79" s="55" t="s">
        <v>141</v>
      </c>
      <c r="K79" s="56"/>
      <c r="L79" s="52" t="s">
        <v>136</v>
      </c>
      <c r="M79" s="53">
        <v>45640</v>
      </c>
      <c r="N79" s="54"/>
      <c r="O79" s="54"/>
      <c r="P79" s="54"/>
      <c r="Q79" s="54"/>
      <c r="R79" s="54"/>
      <c r="S79" s="54"/>
      <c r="T79" s="54"/>
      <c r="U79" s="54"/>
      <c r="V79" s="54"/>
      <c r="W79" s="55" t="s">
        <v>141</v>
      </c>
      <c r="X79" s="57" t="s">
        <v>192</v>
      </c>
      <c r="Y79" s="58" t="s">
        <v>142</v>
      </c>
      <c r="Z79" s="59" t="s">
        <v>193</v>
      </c>
      <c r="AA79" s="60" t="s">
        <v>194</v>
      </c>
      <c r="AB79" s="57" t="s">
        <v>165</v>
      </c>
      <c r="AC79" s="55" t="s">
        <v>195</v>
      </c>
      <c r="AD79" s="55" t="s">
        <v>196</v>
      </c>
      <c r="AE79" s="57" t="s">
        <v>197</v>
      </c>
      <c r="AF79" s="55" t="s">
        <v>198</v>
      </c>
      <c r="AG79" s="61"/>
    </row>
    <row r="80" spans="1:33" ht="12.75" x14ac:dyDescent="0.2">
      <c r="A80" s="55" t="s">
        <v>199</v>
      </c>
      <c r="B80" s="62">
        <v>0.05</v>
      </c>
      <c r="C80" s="62">
        <v>0.1</v>
      </c>
      <c r="D80" s="62">
        <v>0.2</v>
      </c>
      <c r="E80" s="62">
        <v>0.5</v>
      </c>
      <c r="F80" s="62">
        <v>1</v>
      </c>
      <c r="G80" s="62">
        <v>2</v>
      </c>
      <c r="H80" s="62">
        <v>5</v>
      </c>
      <c r="I80" s="62">
        <v>10</v>
      </c>
      <c r="K80" s="56"/>
      <c r="L80" s="55" t="s">
        <v>199</v>
      </c>
      <c r="M80" s="62">
        <v>0.05</v>
      </c>
      <c r="N80" s="62">
        <v>0.1</v>
      </c>
      <c r="O80" s="62">
        <v>0.2</v>
      </c>
      <c r="P80" s="62">
        <v>0.5</v>
      </c>
      <c r="Q80" s="62">
        <v>1</v>
      </c>
      <c r="R80" s="62">
        <v>2</v>
      </c>
      <c r="S80" s="62">
        <v>5</v>
      </c>
      <c r="T80" s="62">
        <v>10</v>
      </c>
      <c r="U80" s="62">
        <v>20</v>
      </c>
      <c r="V80" s="62">
        <v>50</v>
      </c>
      <c r="W80" s="54"/>
      <c r="X80" s="54"/>
      <c r="Z80" s="63"/>
      <c r="AA80" s="64"/>
      <c r="AB80" s="54"/>
      <c r="AC80" s="54"/>
      <c r="AD80" s="54"/>
      <c r="AE80" s="54"/>
      <c r="AF80" s="54"/>
    </row>
    <row r="81" spans="1:33" ht="12.75" x14ac:dyDescent="0.2">
      <c r="A81" s="55" t="s">
        <v>200</v>
      </c>
      <c r="B81" s="38">
        <v>72</v>
      </c>
      <c r="C81" s="65">
        <v>25</v>
      </c>
      <c r="D81" s="65">
        <v>9</v>
      </c>
      <c r="E81" s="65">
        <v>4</v>
      </c>
      <c r="F81" s="65">
        <v>5</v>
      </c>
      <c r="G81" s="65">
        <v>3</v>
      </c>
      <c r="H81" s="65">
        <v>4</v>
      </c>
      <c r="I81" s="65"/>
      <c r="J81" s="54"/>
      <c r="K81" s="56"/>
      <c r="L81" s="55" t="s">
        <v>200</v>
      </c>
      <c r="M81" s="38">
        <v>72</v>
      </c>
      <c r="N81" s="65">
        <v>28</v>
      </c>
      <c r="O81" s="65">
        <v>8</v>
      </c>
      <c r="P81" s="65">
        <v>3</v>
      </c>
      <c r="Q81" s="65">
        <v>14</v>
      </c>
      <c r="R81" s="65">
        <v>5</v>
      </c>
      <c r="S81" s="65">
        <v>14</v>
      </c>
      <c r="T81" s="65"/>
      <c r="U81" s="65">
        <v>3</v>
      </c>
      <c r="V81" s="65">
        <v>2</v>
      </c>
      <c r="W81" s="65"/>
      <c r="X81" s="54"/>
      <c r="Z81" s="63"/>
      <c r="AA81" s="64"/>
      <c r="AB81" s="54"/>
      <c r="AC81" s="54"/>
      <c r="AD81" s="54"/>
      <c r="AE81" s="54"/>
      <c r="AF81" s="54"/>
    </row>
    <row r="82" spans="1:33" ht="12.75" x14ac:dyDescent="0.2">
      <c r="A82" s="55" t="s">
        <v>141</v>
      </c>
      <c r="B82" s="65">
        <f t="shared" ref="B82:I82" si="26">B81*B80</f>
        <v>3.6</v>
      </c>
      <c r="C82" s="65">
        <f t="shared" si="26"/>
        <v>2.5</v>
      </c>
      <c r="D82" s="65">
        <f t="shared" si="26"/>
        <v>1.8</v>
      </c>
      <c r="E82" s="65">
        <f t="shared" si="26"/>
        <v>2</v>
      </c>
      <c r="F82" s="65">
        <f t="shared" si="26"/>
        <v>5</v>
      </c>
      <c r="G82" s="65">
        <f t="shared" si="26"/>
        <v>6</v>
      </c>
      <c r="H82" s="65">
        <f t="shared" si="26"/>
        <v>20</v>
      </c>
      <c r="I82" s="65">
        <f t="shared" si="26"/>
        <v>0</v>
      </c>
      <c r="J82" s="54">
        <f>SUM(B82:I82)</f>
        <v>40.9</v>
      </c>
      <c r="K82" s="56"/>
      <c r="L82" s="55" t="s">
        <v>141</v>
      </c>
      <c r="M82" s="70">
        <f t="shared" ref="M82:V82" si="27">M81*M80</f>
        <v>3.6</v>
      </c>
      <c r="N82" s="70">
        <f t="shared" si="27"/>
        <v>2.8000000000000003</v>
      </c>
      <c r="O82" s="70">
        <f t="shared" si="27"/>
        <v>1.6</v>
      </c>
      <c r="P82" s="70">
        <f t="shared" si="27"/>
        <v>1.5</v>
      </c>
      <c r="Q82" s="70">
        <f t="shared" si="27"/>
        <v>14</v>
      </c>
      <c r="R82" s="70">
        <f t="shared" si="27"/>
        <v>10</v>
      </c>
      <c r="S82" s="70">
        <f t="shared" si="27"/>
        <v>70</v>
      </c>
      <c r="T82" s="70">
        <f t="shared" si="27"/>
        <v>0</v>
      </c>
      <c r="U82" s="70">
        <f t="shared" si="27"/>
        <v>60</v>
      </c>
      <c r="V82" s="70">
        <f t="shared" si="27"/>
        <v>100</v>
      </c>
      <c r="W82" s="54">
        <f>SUM(M82:V82)</f>
        <v>263.5</v>
      </c>
      <c r="X82" s="55">
        <f>W82-J82</f>
        <v>222.6</v>
      </c>
      <c r="Y82" s="63">
        <v>53.8</v>
      </c>
      <c r="Z82" s="63">
        <v>16.399999999999999</v>
      </c>
      <c r="AA82" s="66">
        <f>X82+Z82</f>
        <v>239</v>
      </c>
      <c r="AB82" s="55">
        <f>SUM(Y82+Z82)*0.3</f>
        <v>21.059999999999995</v>
      </c>
      <c r="AC82" s="55">
        <f>Y82-AB82</f>
        <v>32.74</v>
      </c>
      <c r="AD82" s="55">
        <f>X82-Y82</f>
        <v>168.8</v>
      </c>
      <c r="AE82" s="55">
        <v>5.23</v>
      </c>
      <c r="AF82" s="55">
        <f>AD82-AE82</f>
        <v>163.57000000000002</v>
      </c>
      <c r="AG82" s="61"/>
    </row>
    <row r="85" spans="1:33" ht="51" x14ac:dyDescent="0.2">
      <c r="A85" s="52" t="s">
        <v>135</v>
      </c>
      <c r="B85" s="53">
        <v>45641</v>
      </c>
      <c r="C85" s="54"/>
      <c r="D85" s="54"/>
      <c r="E85" s="54"/>
      <c r="F85" s="54"/>
      <c r="G85" s="54"/>
      <c r="H85" s="54"/>
      <c r="I85" s="54"/>
      <c r="J85" s="55" t="s">
        <v>141</v>
      </c>
      <c r="K85" s="56"/>
      <c r="L85" s="52" t="s">
        <v>136</v>
      </c>
      <c r="M85" s="53">
        <v>45641</v>
      </c>
      <c r="N85" s="54"/>
      <c r="O85" s="54"/>
      <c r="P85" s="54"/>
      <c r="Q85" s="54"/>
      <c r="R85" s="54"/>
      <c r="S85" s="54"/>
      <c r="T85" s="54"/>
      <c r="U85" s="54"/>
      <c r="V85" s="54"/>
      <c r="W85" s="55" t="s">
        <v>141</v>
      </c>
      <c r="X85" s="57" t="s">
        <v>192</v>
      </c>
      <c r="Y85" s="58" t="s">
        <v>142</v>
      </c>
      <c r="Z85" s="59" t="s">
        <v>193</v>
      </c>
      <c r="AA85" s="60" t="s">
        <v>194</v>
      </c>
      <c r="AB85" s="57" t="s">
        <v>165</v>
      </c>
      <c r="AC85" s="55" t="s">
        <v>195</v>
      </c>
      <c r="AD85" s="55" t="s">
        <v>196</v>
      </c>
      <c r="AE85" s="57" t="s">
        <v>197</v>
      </c>
      <c r="AF85" s="55" t="s">
        <v>198</v>
      </c>
      <c r="AG85" s="61"/>
    </row>
    <row r="86" spans="1:33" ht="12.75" x14ac:dyDescent="0.2">
      <c r="A86" s="55" t="s">
        <v>199</v>
      </c>
      <c r="B86" s="62">
        <v>0.05</v>
      </c>
      <c r="C86" s="62">
        <v>0.1</v>
      </c>
      <c r="D86" s="62">
        <v>0.2</v>
      </c>
      <c r="E86" s="62">
        <v>0.5</v>
      </c>
      <c r="F86" s="62">
        <v>1</v>
      </c>
      <c r="G86" s="62">
        <v>2</v>
      </c>
      <c r="H86" s="62">
        <v>5</v>
      </c>
      <c r="I86" s="62">
        <v>10</v>
      </c>
      <c r="K86" s="56"/>
      <c r="L86" s="55" t="s">
        <v>199</v>
      </c>
      <c r="M86" s="62">
        <v>0.05</v>
      </c>
      <c r="N86" s="62">
        <v>0.1</v>
      </c>
      <c r="O86" s="62">
        <v>0.2</v>
      </c>
      <c r="P86" s="62">
        <v>0.5</v>
      </c>
      <c r="Q86" s="62">
        <v>1</v>
      </c>
      <c r="R86" s="62">
        <v>2</v>
      </c>
      <c r="S86" s="62">
        <v>5</v>
      </c>
      <c r="T86" s="62">
        <v>10</v>
      </c>
      <c r="U86" s="62">
        <v>20</v>
      </c>
      <c r="V86" s="62">
        <v>50</v>
      </c>
      <c r="W86" s="54"/>
      <c r="X86" s="54"/>
      <c r="Z86" s="63"/>
      <c r="AA86" s="64"/>
      <c r="AB86" s="54"/>
      <c r="AC86" s="54"/>
      <c r="AD86" s="54"/>
      <c r="AE86" s="54"/>
      <c r="AF86" s="54"/>
    </row>
    <row r="87" spans="1:33" ht="12.75" x14ac:dyDescent="0.2">
      <c r="A87" s="55" t="s">
        <v>200</v>
      </c>
      <c r="B87" s="38">
        <v>40</v>
      </c>
      <c r="C87" s="65">
        <v>28</v>
      </c>
      <c r="D87" s="65">
        <v>8</v>
      </c>
      <c r="E87" s="65">
        <v>3</v>
      </c>
      <c r="F87" s="65">
        <v>14</v>
      </c>
      <c r="G87" s="65">
        <v>5</v>
      </c>
      <c r="H87" s="65">
        <v>3</v>
      </c>
      <c r="I87" s="65"/>
      <c r="J87" s="54"/>
      <c r="K87" s="56"/>
      <c r="L87" s="55" t="s">
        <v>200</v>
      </c>
      <c r="M87" s="38">
        <v>72</v>
      </c>
      <c r="N87" s="65">
        <v>29</v>
      </c>
      <c r="O87" s="65">
        <v>21</v>
      </c>
      <c r="P87" s="65">
        <v>16</v>
      </c>
      <c r="Q87" s="65">
        <v>6</v>
      </c>
      <c r="R87" s="65">
        <v>6</v>
      </c>
      <c r="S87" s="65">
        <v>6</v>
      </c>
      <c r="T87" s="65"/>
      <c r="U87" s="65">
        <v>3</v>
      </c>
      <c r="V87" s="65">
        <v>1</v>
      </c>
      <c r="W87" s="65"/>
      <c r="X87" s="54"/>
      <c r="Z87" s="63"/>
      <c r="AA87" s="64"/>
      <c r="AB87" s="54"/>
      <c r="AC87" s="54"/>
      <c r="AD87" s="54"/>
      <c r="AE87" s="54"/>
      <c r="AF87" s="54"/>
    </row>
    <row r="88" spans="1:33" ht="12.75" x14ac:dyDescent="0.2">
      <c r="A88" s="55" t="s">
        <v>141</v>
      </c>
      <c r="B88" s="65">
        <f t="shared" ref="B88:I88" si="28">B87*B86</f>
        <v>2</v>
      </c>
      <c r="C88" s="65">
        <f t="shared" si="28"/>
        <v>2.8000000000000003</v>
      </c>
      <c r="D88" s="65">
        <f t="shared" si="28"/>
        <v>1.6</v>
      </c>
      <c r="E88" s="65">
        <f t="shared" si="28"/>
        <v>1.5</v>
      </c>
      <c r="F88" s="65">
        <f t="shared" si="28"/>
        <v>14</v>
      </c>
      <c r="G88" s="65">
        <f t="shared" si="28"/>
        <v>10</v>
      </c>
      <c r="H88" s="65">
        <f t="shared" si="28"/>
        <v>15</v>
      </c>
      <c r="I88" s="65">
        <f t="shared" si="28"/>
        <v>0</v>
      </c>
      <c r="J88" s="54">
        <f>SUM(B88:I88)</f>
        <v>46.9</v>
      </c>
      <c r="K88" s="56"/>
      <c r="L88" s="55" t="s">
        <v>141</v>
      </c>
      <c r="M88" s="70">
        <f t="shared" ref="M88:V88" si="29">M87*M86</f>
        <v>3.6</v>
      </c>
      <c r="N88" s="70">
        <f t="shared" si="29"/>
        <v>2.9000000000000004</v>
      </c>
      <c r="O88" s="70">
        <f t="shared" si="29"/>
        <v>4.2</v>
      </c>
      <c r="P88" s="70">
        <f t="shared" si="29"/>
        <v>8</v>
      </c>
      <c r="Q88" s="70">
        <f t="shared" si="29"/>
        <v>6</v>
      </c>
      <c r="R88" s="70">
        <f t="shared" si="29"/>
        <v>12</v>
      </c>
      <c r="S88" s="70">
        <f t="shared" si="29"/>
        <v>30</v>
      </c>
      <c r="T88" s="70">
        <f t="shared" si="29"/>
        <v>0</v>
      </c>
      <c r="U88" s="70">
        <f t="shared" si="29"/>
        <v>60</v>
      </c>
      <c r="V88" s="70">
        <f t="shared" si="29"/>
        <v>50</v>
      </c>
      <c r="W88" s="54">
        <f>SUM(M88:V88)</f>
        <v>176.7</v>
      </c>
      <c r="X88" s="55">
        <f>W88-J88</f>
        <v>129.79999999999998</v>
      </c>
      <c r="Y88" s="63">
        <v>70.3</v>
      </c>
      <c r="Z88" s="63">
        <v>2.9</v>
      </c>
      <c r="AA88" s="66">
        <f>X88+Z88</f>
        <v>132.69999999999999</v>
      </c>
      <c r="AB88" s="55">
        <v>20</v>
      </c>
      <c r="AC88" s="55">
        <f>Y88-AB88</f>
        <v>50.3</v>
      </c>
      <c r="AD88" s="55">
        <f>X88-Y88</f>
        <v>59.499999999999986</v>
      </c>
      <c r="AE88" s="55">
        <v>0</v>
      </c>
      <c r="AF88" s="55">
        <f>AD88-AE88</f>
        <v>59.499999999999986</v>
      </c>
      <c r="AG88" s="61"/>
    </row>
    <row r="91" spans="1:33" ht="51" x14ac:dyDescent="0.2">
      <c r="A91" s="52" t="s">
        <v>135</v>
      </c>
      <c r="B91" s="53">
        <v>45642</v>
      </c>
      <c r="C91" s="54"/>
      <c r="D91" s="54"/>
      <c r="E91" s="54"/>
      <c r="F91" s="54"/>
      <c r="G91" s="54"/>
      <c r="H91" s="54"/>
      <c r="I91" s="54"/>
      <c r="J91" s="55" t="s">
        <v>141</v>
      </c>
      <c r="K91" s="56"/>
      <c r="L91" s="52" t="s">
        <v>136</v>
      </c>
      <c r="M91" s="53">
        <v>45642</v>
      </c>
      <c r="N91" s="54"/>
      <c r="O91" s="54"/>
      <c r="P91" s="54"/>
      <c r="Q91" s="54"/>
      <c r="R91" s="54"/>
      <c r="S91" s="54"/>
      <c r="T91" s="54"/>
      <c r="U91" s="54"/>
      <c r="V91" s="54"/>
      <c r="W91" s="55" t="s">
        <v>141</v>
      </c>
      <c r="X91" s="57" t="s">
        <v>192</v>
      </c>
      <c r="Y91" s="58" t="s">
        <v>142</v>
      </c>
      <c r="Z91" s="59" t="s">
        <v>193</v>
      </c>
      <c r="AA91" s="60" t="s">
        <v>194</v>
      </c>
      <c r="AB91" s="57" t="s">
        <v>165</v>
      </c>
      <c r="AC91" s="55" t="s">
        <v>195</v>
      </c>
      <c r="AD91" s="55" t="s">
        <v>196</v>
      </c>
      <c r="AE91" s="57" t="s">
        <v>197</v>
      </c>
      <c r="AF91" s="55" t="s">
        <v>198</v>
      </c>
      <c r="AG91" s="61"/>
    </row>
    <row r="92" spans="1:33" ht="12.75" x14ac:dyDescent="0.2">
      <c r="A92" s="55" t="s">
        <v>199</v>
      </c>
      <c r="B92" s="62">
        <v>0.05</v>
      </c>
      <c r="C92" s="62">
        <v>0.1</v>
      </c>
      <c r="D92" s="62">
        <v>0.2</v>
      </c>
      <c r="E92" s="62">
        <v>0.5</v>
      </c>
      <c r="F92" s="62">
        <v>1</v>
      </c>
      <c r="G92" s="62">
        <v>2</v>
      </c>
      <c r="H92" s="62">
        <v>5</v>
      </c>
      <c r="I92" s="62">
        <v>10</v>
      </c>
      <c r="K92" s="56"/>
      <c r="L92" s="55" t="s">
        <v>199</v>
      </c>
      <c r="M92" s="62">
        <v>0.05</v>
      </c>
      <c r="N92" s="62">
        <v>0.1</v>
      </c>
      <c r="O92" s="62">
        <v>0.2</v>
      </c>
      <c r="P92" s="62">
        <v>0.5</v>
      </c>
      <c r="Q92" s="62">
        <v>1</v>
      </c>
      <c r="R92" s="62">
        <v>2</v>
      </c>
      <c r="S92" s="62">
        <v>5</v>
      </c>
      <c r="T92" s="62">
        <v>10</v>
      </c>
      <c r="U92" s="62">
        <v>20</v>
      </c>
      <c r="V92" s="62">
        <v>50</v>
      </c>
      <c r="W92" s="54"/>
      <c r="X92" s="54"/>
      <c r="Z92" s="63"/>
      <c r="AA92" s="64"/>
      <c r="AB92" s="54"/>
      <c r="AC92" s="54"/>
      <c r="AD92" s="54"/>
      <c r="AE92" s="54"/>
      <c r="AF92" s="54"/>
    </row>
    <row r="93" spans="1:33" ht="12.75" x14ac:dyDescent="0.2">
      <c r="A93" s="55" t="s">
        <v>200</v>
      </c>
      <c r="B93" s="38">
        <v>72</v>
      </c>
      <c r="C93" s="65">
        <v>29</v>
      </c>
      <c r="D93" s="65">
        <v>21</v>
      </c>
      <c r="E93" s="65">
        <v>16</v>
      </c>
      <c r="F93" s="65">
        <v>6</v>
      </c>
      <c r="G93" s="65">
        <v>6</v>
      </c>
      <c r="H93" s="65">
        <v>2</v>
      </c>
      <c r="I93" s="65"/>
      <c r="J93" s="54"/>
      <c r="K93" s="56"/>
      <c r="L93" s="55" t="s">
        <v>200</v>
      </c>
      <c r="M93" s="38">
        <v>63</v>
      </c>
      <c r="N93" s="65">
        <v>32</v>
      </c>
      <c r="O93" s="65">
        <v>15</v>
      </c>
      <c r="P93" s="65">
        <v>10</v>
      </c>
      <c r="Q93" s="65">
        <v>11</v>
      </c>
      <c r="R93" s="65">
        <v>6</v>
      </c>
      <c r="S93" s="65">
        <v>6</v>
      </c>
      <c r="T93" s="65">
        <v>3</v>
      </c>
      <c r="U93" s="65">
        <v>2</v>
      </c>
      <c r="V93" s="65">
        <v>3</v>
      </c>
      <c r="W93" s="65"/>
      <c r="X93" s="54"/>
      <c r="Z93" s="63"/>
      <c r="AA93" s="64"/>
      <c r="AB93" s="54"/>
      <c r="AC93" s="54"/>
      <c r="AD93" s="54"/>
      <c r="AE93" s="54"/>
      <c r="AF93" s="54"/>
    </row>
    <row r="94" spans="1:33" ht="12.75" x14ac:dyDescent="0.2">
      <c r="A94" s="55" t="s">
        <v>141</v>
      </c>
      <c r="B94" s="65">
        <f t="shared" ref="B94:I94" si="30">B93*B92</f>
        <v>3.6</v>
      </c>
      <c r="C94" s="65">
        <f t="shared" si="30"/>
        <v>2.9000000000000004</v>
      </c>
      <c r="D94" s="65">
        <f t="shared" si="30"/>
        <v>4.2</v>
      </c>
      <c r="E94" s="65">
        <f t="shared" si="30"/>
        <v>8</v>
      </c>
      <c r="F94" s="65">
        <f t="shared" si="30"/>
        <v>6</v>
      </c>
      <c r="G94" s="65">
        <f t="shared" si="30"/>
        <v>12</v>
      </c>
      <c r="H94" s="65">
        <f t="shared" si="30"/>
        <v>10</v>
      </c>
      <c r="I94" s="65">
        <f t="shared" si="30"/>
        <v>0</v>
      </c>
      <c r="J94" s="54">
        <f>SUM(B94:I94)</f>
        <v>46.7</v>
      </c>
      <c r="K94" s="56"/>
      <c r="L94" s="55" t="s">
        <v>141</v>
      </c>
      <c r="M94" s="70">
        <f t="shared" ref="M94:V94" si="31">M93*M92</f>
        <v>3.1500000000000004</v>
      </c>
      <c r="N94" s="70">
        <f t="shared" si="31"/>
        <v>3.2</v>
      </c>
      <c r="O94" s="70">
        <f t="shared" si="31"/>
        <v>3</v>
      </c>
      <c r="P94" s="70">
        <f t="shared" si="31"/>
        <v>5</v>
      </c>
      <c r="Q94" s="70">
        <f t="shared" si="31"/>
        <v>11</v>
      </c>
      <c r="R94" s="70">
        <f t="shared" si="31"/>
        <v>12</v>
      </c>
      <c r="S94" s="70">
        <f t="shared" si="31"/>
        <v>30</v>
      </c>
      <c r="T94" s="70">
        <f t="shared" si="31"/>
        <v>30</v>
      </c>
      <c r="U94" s="70">
        <f t="shared" si="31"/>
        <v>40</v>
      </c>
      <c r="V94" s="70">
        <f t="shared" si="31"/>
        <v>150</v>
      </c>
      <c r="W94" s="54">
        <f>SUM(M94:V94)</f>
        <v>287.35000000000002</v>
      </c>
      <c r="X94" s="55">
        <f>W94-J94</f>
        <v>240.65000000000003</v>
      </c>
      <c r="Y94" s="63">
        <v>69.8</v>
      </c>
      <c r="Z94" s="63">
        <v>31.8</v>
      </c>
      <c r="AA94" s="66">
        <f>X94+Z94</f>
        <v>272.45000000000005</v>
      </c>
      <c r="AB94" s="55">
        <v>40</v>
      </c>
      <c r="AC94" s="55">
        <f>Y94-AB94</f>
        <v>29.799999999999997</v>
      </c>
      <c r="AD94" s="55">
        <f>X94-Y94</f>
        <v>170.85000000000002</v>
      </c>
      <c r="AE94" s="55">
        <v>70</v>
      </c>
      <c r="AF94" s="55">
        <f>AD94-AE94</f>
        <v>100.85000000000002</v>
      </c>
      <c r="AG94" s="61"/>
    </row>
    <row r="95" spans="1:33" ht="12.75" x14ac:dyDescent="0.2">
      <c r="AB95" s="38" t="s">
        <v>167</v>
      </c>
      <c r="AE95" s="38" t="s">
        <v>167</v>
      </c>
    </row>
    <row r="97" spans="1:33" ht="51" x14ac:dyDescent="0.2">
      <c r="A97" s="52" t="s">
        <v>135</v>
      </c>
      <c r="B97" s="53">
        <v>45643</v>
      </c>
      <c r="C97" s="54"/>
      <c r="D97" s="54"/>
      <c r="E97" s="54"/>
      <c r="F97" s="54"/>
      <c r="G97" s="54"/>
      <c r="H97" s="54"/>
      <c r="I97" s="54"/>
      <c r="J97" s="55" t="s">
        <v>141</v>
      </c>
      <c r="K97" s="56"/>
      <c r="L97" s="52" t="s">
        <v>136</v>
      </c>
      <c r="M97" s="53">
        <v>45643</v>
      </c>
      <c r="N97" s="54"/>
      <c r="O97" s="54"/>
      <c r="P97" s="54"/>
      <c r="Q97" s="54"/>
      <c r="R97" s="54"/>
      <c r="S97" s="54"/>
      <c r="T97" s="54"/>
      <c r="U97" s="54"/>
      <c r="V97" s="54"/>
      <c r="W97" s="55" t="s">
        <v>141</v>
      </c>
      <c r="X97" s="57" t="s">
        <v>192</v>
      </c>
      <c r="Y97" s="58" t="s">
        <v>142</v>
      </c>
      <c r="Z97" s="59" t="s">
        <v>193</v>
      </c>
      <c r="AA97" s="60" t="s">
        <v>194</v>
      </c>
      <c r="AB97" s="57" t="s">
        <v>165</v>
      </c>
      <c r="AC97" s="55" t="s">
        <v>195</v>
      </c>
      <c r="AD97" s="55" t="s">
        <v>196</v>
      </c>
      <c r="AE97" s="57" t="s">
        <v>197</v>
      </c>
      <c r="AF97" s="55" t="s">
        <v>198</v>
      </c>
      <c r="AG97" s="61"/>
    </row>
    <row r="98" spans="1:33" ht="12.75" x14ac:dyDescent="0.2">
      <c r="A98" s="55" t="s">
        <v>199</v>
      </c>
      <c r="B98" s="62">
        <v>0.05</v>
      </c>
      <c r="C98" s="62">
        <v>0.1</v>
      </c>
      <c r="D98" s="62">
        <v>0.2</v>
      </c>
      <c r="E98" s="62">
        <v>0.5</v>
      </c>
      <c r="F98" s="62">
        <v>1</v>
      </c>
      <c r="G98" s="62">
        <v>2</v>
      </c>
      <c r="H98" s="62">
        <v>5</v>
      </c>
      <c r="I98" s="62">
        <v>10</v>
      </c>
      <c r="K98" s="56"/>
      <c r="L98" s="55" t="s">
        <v>199</v>
      </c>
      <c r="M98" s="62">
        <v>0.05</v>
      </c>
      <c r="N98" s="62">
        <v>0.1</v>
      </c>
      <c r="O98" s="62">
        <v>0.2</v>
      </c>
      <c r="P98" s="62">
        <v>0.5</v>
      </c>
      <c r="Q98" s="62">
        <v>1</v>
      </c>
      <c r="R98" s="62">
        <v>2</v>
      </c>
      <c r="S98" s="62">
        <v>5</v>
      </c>
      <c r="T98" s="62">
        <v>10</v>
      </c>
      <c r="U98" s="62">
        <v>20</v>
      </c>
      <c r="V98" s="62">
        <v>50</v>
      </c>
      <c r="W98" s="54"/>
      <c r="X98" s="54"/>
      <c r="Z98" s="63"/>
      <c r="AA98" s="64"/>
      <c r="AB98" s="54"/>
      <c r="AC98" s="54"/>
      <c r="AD98" s="54"/>
      <c r="AE98" s="54"/>
      <c r="AF98" s="54"/>
    </row>
    <row r="99" spans="1:33" ht="12.75" x14ac:dyDescent="0.2">
      <c r="A99" s="55" t="s">
        <v>200</v>
      </c>
      <c r="B99" s="38">
        <v>63</v>
      </c>
      <c r="C99" s="65">
        <v>32</v>
      </c>
      <c r="D99" s="65">
        <v>15</v>
      </c>
      <c r="E99" s="65">
        <v>10</v>
      </c>
      <c r="F99" s="65">
        <v>11</v>
      </c>
      <c r="G99" s="65">
        <v>6</v>
      </c>
      <c r="H99" s="65">
        <v>2</v>
      </c>
      <c r="I99" s="65"/>
      <c r="J99" s="54"/>
      <c r="K99" s="56"/>
      <c r="L99" s="55" t="s">
        <v>200</v>
      </c>
      <c r="M99" s="38">
        <v>65</v>
      </c>
      <c r="N99" s="65">
        <v>25</v>
      </c>
      <c r="O99" s="65">
        <v>11</v>
      </c>
      <c r="P99" s="65">
        <v>4</v>
      </c>
      <c r="Q99" s="65">
        <v>16</v>
      </c>
      <c r="R99" s="65">
        <v>11</v>
      </c>
      <c r="S99" s="65">
        <v>19</v>
      </c>
      <c r="T99" s="65">
        <v>6</v>
      </c>
      <c r="U99" s="65">
        <v>1</v>
      </c>
      <c r="V99" s="65">
        <v>1</v>
      </c>
      <c r="W99" s="65"/>
      <c r="X99" s="54"/>
      <c r="Z99" s="63"/>
      <c r="AA99" s="64"/>
      <c r="AB99" s="54"/>
      <c r="AC99" s="54"/>
      <c r="AD99" s="54"/>
      <c r="AE99" s="54"/>
      <c r="AF99" s="54"/>
    </row>
    <row r="100" spans="1:33" ht="12.75" x14ac:dyDescent="0.2">
      <c r="A100" s="55" t="s">
        <v>141</v>
      </c>
      <c r="B100" s="65">
        <f t="shared" ref="B100:I100" si="32">B99*B98</f>
        <v>3.1500000000000004</v>
      </c>
      <c r="C100" s="65">
        <f t="shared" si="32"/>
        <v>3.2</v>
      </c>
      <c r="D100" s="65">
        <f t="shared" si="32"/>
        <v>3</v>
      </c>
      <c r="E100" s="65">
        <f t="shared" si="32"/>
        <v>5</v>
      </c>
      <c r="F100" s="65">
        <f t="shared" si="32"/>
        <v>11</v>
      </c>
      <c r="G100" s="65">
        <f t="shared" si="32"/>
        <v>12</v>
      </c>
      <c r="H100" s="65">
        <f t="shared" si="32"/>
        <v>10</v>
      </c>
      <c r="I100" s="65">
        <f t="shared" si="32"/>
        <v>0</v>
      </c>
      <c r="J100" s="54">
        <f>SUM(B100:I100)</f>
        <v>47.35</v>
      </c>
      <c r="K100" s="56"/>
      <c r="L100" s="55" t="s">
        <v>141</v>
      </c>
      <c r="M100" s="70">
        <f t="shared" ref="M100:V100" si="33">M99*M98</f>
        <v>3.25</v>
      </c>
      <c r="N100" s="70">
        <f t="shared" si="33"/>
        <v>2.5</v>
      </c>
      <c r="O100" s="70">
        <f t="shared" si="33"/>
        <v>2.2000000000000002</v>
      </c>
      <c r="P100" s="70">
        <f t="shared" si="33"/>
        <v>2</v>
      </c>
      <c r="Q100" s="70">
        <f t="shared" si="33"/>
        <v>16</v>
      </c>
      <c r="R100" s="70">
        <f t="shared" si="33"/>
        <v>22</v>
      </c>
      <c r="S100" s="70">
        <f t="shared" si="33"/>
        <v>95</v>
      </c>
      <c r="T100" s="70">
        <f t="shared" si="33"/>
        <v>60</v>
      </c>
      <c r="U100" s="70">
        <f t="shared" si="33"/>
        <v>20</v>
      </c>
      <c r="V100" s="70">
        <f t="shared" si="33"/>
        <v>50</v>
      </c>
      <c r="W100" s="54">
        <f>SUM(M100:V100)</f>
        <v>272.95</v>
      </c>
      <c r="X100" s="55">
        <f>W100-J100</f>
        <v>225.6</v>
      </c>
      <c r="Y100" s="63">
        <v>85.5</v>
      </c>
      <c r="Z100" s="63">
        <v>28.9</v>
      </c>
      <c r="AA100" s="66">
        <f>X100+Z100</f>
        <v>254.5</v>
      </c>
      <c r="AB100" s="55">
        <f>SUM(Y100+Z100)*0.3</f>
        <v>34.32</v>
      </c>
      <c r="AC100" s="55">
        <f>Y100-AB100</f>
        <v>51.18</v>
      </c>
      <c r="AD100" s="55">
        <f>X100-Y100</f>
        <v>140.1</v>
      </c>
      <c r="AE100" s="55">
        <f>AD100*0.2</f>
        <v>28.02</v>
      </c>
      <c r="AF100" s="55">
        <f>AD100-AE100</f>
        <v>112.08</v>
      </c>
      <c r="AG100" s="61"/>
    </row>
    <row r="101" spans="1:33" ht="12.75" x14ac:dyDescent="0.2">
      <c r="AC101" s="38">
        <v>-25</v>
      </c>
    </row>
    <row r="103" spans="1:33" ht="51" x14ac:dyDescent="0.2">
      <c r="A103" s="52" t="s">
        <v>135</v>
      </c>
      <c r="B103" s="53">
        <v>45644</v>
      </c>
      <c r="C103" s="54"/>
      <c r="D103" s="54"/>
      <c r="E103" s="54"/>
      <c r="F103" s="54"/>
      <c r="G103" s="54"/>
      <c r="H103" s="54"/>
      <c r="I103" s="54"/>
      <c r="J103" s="55" t="s">
        <v>141</v>
      </c>
      <c r="K103" s="56"/>
      <c r="L103" s="52" t="s">
        <v>136</v>
      </c>
      <c r="M103" s="53">
        <v>45644</v>
      </c>
      <c r="N103" s="54"/>
      <c r="O103" s="54"/>
      <c r="P103" s="54"/>
      <c r="Q103" s="54"/>
      <c r="R103" s="54"/>
      <c r="S103" s="54"/>
      <c r="T103" s="54"/>
      <c r="U103" s="54"/>
      <c r="V103" s="54"/>
      <c r="W103" s="55" t="s">
        <v>141</v>
      </c>
      <c r="X103" s="57" t="s">
        <v>192</v>
      </c>
      <c r="Y103" s="58" t="s">
        <v>142</v>
      </c>
      <c r="Z103" s="59" t="s">
        <v>193</v>
      </c>
      <c r="AA103" s="60" t="s">
        <v>194</v>
      </c>
      <c r="AB103" s="57" t="s">
        <v>165</v>
      </c>
      <c r="AC103" s="55" t="s">
        <v>195</v>
      </c>
      <c r="AD103" s="55" t="s">
        <v>196</v>
      </c>
      <c r="AE103" s="57" t="s">
        <v>197</v>
      </c>
      <c r="AF103" s="55" t="s">
        <v>198</v>
      </c>
      <c r="AG103" s="61"/>
    </row>
    <row r="104" spans="1:33" ht="12.75" x14ac:dyDescent="0.2">
      <c r="A104" s="55" t="s">
        <v>199</v>
      </c>
      <c r="B104" s="62">
        <v>0.05</v>
      </c>
      <c r="C104" s="62">
        <v>0.1</v>
      </c>
      <c r="D104" s="62">
        <v>0.2</v>
      </c>
      <c r="E104" s="62">
        <v>0.5</v>
      </c>
      <c r="F104" s="62">
        <v>1</v>
      </c>
      <c r="G104" s="62">
        <v>2</v>
      </c>
      <c r="H104" s="62">
        <v>5</v>
      </c>
      <c r="I104" s="62">
        <v>10</v>
      </c>
      <c r="K104" s="56"/>
      <c r="L104" s="55" t="s">
        <v>199</v>
      </c>
      <c r="M104" s="62">
        <v>0.05</v>
      </c>
      <c r="N104" s="62">
        <v>0.1</v>
      </c>
      <c r="O104" s="62">
        <v>0.2</v>
      </c>
      <c r="P104" s="62">
        <v>0.5</v>
      </c>
      <c r="Q104" s="62">
        <v>1</v>
      </c>
      <c r="R104" s="62">
        <v>2</v>
      </c>
      <c r="S104" s="62">
        <v>5</v>
      </c>
      <c r="T104" s="62">
        <v>10</v>
      </c>
      <c r="U104" s="62">
        <v>20</v>
      </c>
      <c r="V104" s="62">
        <v>50</v>
      </c>
      <c r="W104" s="54"/>
      <c r="X104" s="54"/>
      <c r="Z104" s="63"/>
      <c r="AA104" s="64"/>
      <c r="AB104" s="54"/>
      <c r="AC104" s="54"/>
      <c r="AD104" s="54"/>
      <c r="AE104" s="54"/>
      <c r="AF104" s="54"/>
    </row>
    <row r="105" spans="1:33" ht="12.75" x14ac:dyDescent="0.2">
      <c r="A105" s="55" t="s">
        <v>200</v>
      </c>
      <c r="B105" s="38">
        <v>65</v>
      </c>
      <c r="C105" s="65">
        <v>25</v>
      </c>
      <c r="D105" s="65">
        <v>11</v>
      </c>
      <c r="E105" s="65">
        <v>4</v>
      </c>
      <c r="F105" s="65">
        <v>10</v>
      </c>
      <c r="G105" s="65">
        <v>8</v>
      </c>
      <c r="H105" s="65">
        <v>2</v>
      </c>
      <c r="I105" s="65"/>
      <c r="J105" s="54"/>
      <c r="K105" s="56"/>
      <c r="L105" s="55" t="s">
        <v>200</v>
      </c>
      <c r="M105" s="38">
        <v>65</v>
      </c>
      <c r="N105" s="65">
        <v>12</v>
      </c>
      <c r="O105" s="65">
        <v>9</v>
      </c>
      <c r="P105" s="65">
        <v>16</v>
      </c>
      <c r="Q105" s="65">
        <v>22</v>
      </c>
      <c r="R105" s="65">
        <v>10</v>
      </c>
      <c r="S105" s="65">
        <v>4</v>
      </c>
      <c r="T105" s="65">
        <v>1</v>
      </c>
      <c r="U105" s="65">
        <v>12</v>
      </c>
      <c r="V105" s="65"/>
      <c r="W105" s="65"/>
      <c r="X105" s="54"/>
      <c r="Z105" s="63"/>
      <c r="AA105" s="64"/>
      <c r="AB105" s="54"/>
      <c r="AC105" s="54"/>
      <c r="AD105" s="54"/>
      <c r="AE105" s="54"/>
      <c r="AF105" s="54"/>
    </row>
    <row r="106" spans="1:33" ht="12.75" x14ac:dyDescent="0.2">
      <c r="A106" s="55" t="s">
        <v>141</v>
      </c>
      <c r="B106" s="65">
        <f t="shared" ref="B106:I106" si="34">B105*B104</f>
        <v>3.25</v>
      </c>
      <c r="C106" s="65">
        <f t="shared" si="34"/>
        <v>2.5</v>
      </c>
      <c r="D106" s="65">
        <f t="shared" si="34"/>
        <v>2.2000000000000002</v>
      </c>
      <c r="E106" s="65">
        <f t="shared" si="34"/>
        <v>2</v>
      </c>
      <c r="F106" s="65">
        <f t="shared" si="34"/>
        <v>10</v>
      </c>
      <c r="G106" s="65">
        <f t="shared" si="34"/>
        <v>16</v>
      </c>
      <c r="H106" s="65">
        <f t="shared" si="34"/>
        <v>10</v>
      </c>
      <c r="I106" s="65">
        <f t="shared" si="34"/>
        <v>0</v>
      </c>
      <c r="J106" s="54">
        <f>SUM(B106:I106)</f>
        <v>45.95</v>
      </c>
      <c r="K106" s="56"/>
      <c r="L106" s="55" t="s">
        <v>141</v>
      </c>
      <c r="M106" s="70">
        <f t="shared" ref="M106:V106" si="35">M105*M104</f>
        <v>3.25</v>
      </c>
      <c r="N106" s="70">
        <f t="shared" si="35"/>
        <v>1.2000000000000002</v>
      </c>
      <c r="O106" s="70">
        <f t="shared" si="35"/>
        <v>1.8</v>
      </c>
      <c r="P106" s="70">
        <f t="shared" si="35"/>
        <v>8</v>
      </c>
      <c r="Q106" s="70">
        <f t="shared" si="35"/>
        <v>22</v>
      </c>
      <c r="R106" s="70">
        <f t="shared" si="35"/>
        <v>20</v>
      </c>
      <c r="S106" s="70">
        <f t="shared" si="35"/>
        <v>20</v>
      </c>
      <c r="T106" s="70">
        <f t="shared" si="35"/>
        <v>10</v>
      </c>
      <c r="U106" s="70">
        <f t="shared" si="35"/>
        <v>240</v>
      </c>
      <c r="V106" s="70">
        <f t="shared" si="35"/>
        <v>0</v>
      </c>
      <c r="W106" s="54">
        <f>SUM(M106:V106)</f>
        <v>326.25</v>
      </c>
      <c r="X106" s="55">
        <f>W106-J106</f>
        <v>280.3</v>
      </c>
      <c r="Y106" s="63">
        <v>104.4</v>
      </c>
      <c r="Z106" s="63">
        <v>43.1</v>
      </c>
      <c r="AA106" s="66">
        <f>X106+Z106</f>
        <v>323.40000000000003</v>
      </c>
      <c r="AB106" s="55">
        <v>45</v>
      </c>
      <c r="AC106" s="55">
        <f>Y106-AB106</f>
        <v>59.400000000000006</v>
      </c>
      <c r="AD106" s="55">
        <f>X106-Y106</f>
        <v>175.9</v>
      </c>
      <c r="AE106" s="55">
        <v>45</v>
      </c>
      <c r="AF106" s="55">
        <f>AD106-AE106</f>
        <v>130.9</v>
      </c>
      <c r="AG106" s="61"/>
    </row>
    <row r="109" spans="1:33" ht="51" x14ac:dyDescent="0.2">
      <c r="A109" s="52" t="s">
        <v>135</v>
      </c>
      <c r="B109" s="53">
        <v>45645</v>
      </c>
      <c r="C109" s="54"/>
      <c r="D109" s="54"/>
      <c r="E109" s="54"/>
      <c r="F109" s="54"/>
      <c r="G109" s="54"/>
      <c r="H109" s="54"/>
      <c r="I109" s="54"/>
      <c r="J109" s="55" t="s">
        <v>141</v>
      </c>
      <c r="K109" s="56"/>
      <c r="L109" s="52" t="s">
        <v>136</v>
      </c>
      <c r="M109" s="53">
        <v>45645</v>
      </c>
      <c r="N109" s="54"/>
      <c r="O109" s="54"/>
      <c r="P109" s="54"/>
      <c r="Q109" s="54"/>
      <c r="R109" s="54"/>
      <c r="S109" s="54"/>
      <c r="T109" s="54"/>
      <c r="U109" s="54"/>
      <c r="V109" s="54"/>
      <c r="W109" s="55" t="s">
        <v>141</v>
      </c>
      <c r="X109" s="57" t="s">
        <v>192</v>
      </c>
      <c r="Y109" s="58" t="s">
        <v>142</v>
      </c>
      <c r="Z109" s="59" t="s">
        <v>193</v>
      </c>
      <c r="AA109" s="60" t="s">
        <v>194</v>
      </c>
      <c r="AB109" s="57" t="s">
        <v>165</v>
      </c>
      <c r="AC109" s="55" t="s">
        <v>195</v>
      </c>
      <c r="AD109" s="55" t="s">
        <v>196</v>
      </c>
      <c r="AE109" s="57" t="s">
        <v>197</v>
      </c>
      <c r="AF109" s="55" t="s">
        <v>198</v>
      </c>
      <c r="AG109" s="61"/>
    </row>
    <row r="110" spans="1:33" ht="12.75" x14ac:dyDescent="0.2">
      <c r="A110" s="55" t="s">
        <v>199</v>
      </c>
      <c r="B110" s="62">
        <v>0.05</v>
      </c>
      <c r="C110" s="62">
        <v>0.1</v>
      </c>
      <c r="D110" s="62">
        <v>0.2</v>
      </c>
      <c r="E110" s="62">
        <v>0.5</v>
      </c>
      <c r="F110" s="62">
        <v>1</v>
      </c>
      <c r="G110" s="62">
        <v>2</v>
      </c>
      <c r="H110" s="62">
        <v>5</v>
      </c>
      <c r="I110" s="62">
        <v>10</v>
      </c>
      <c r="K110" s="56"/>
      <c r="L110" s="55" t="s">
        <v>199</v>
      </c>
      <c r="M110" s="62">
        <v>0.05</v>
      </c>
      <c r="N110" s="62">
        <v>0.1</v>
      </c>
      <c r="O110" s="62">
        <v>0.2</v>
      </c>
      <c r="P110" s="62">
        <v>0.5</v>
      </c>
      <c r="Q110" s="62">
        <v>1</v>
      </c>
      <c r="R110" s="62">
        <v>2</v>
      </c>
      <c r="S110" s="62">
        <v>5</v>
      </c>
      <c r="T110" s="62">
        <v>10</v>
      </c>
      <c r="U110" s="62">
        <v>20</v>
      </c>
      <c r="V110" s="62">
        <v>50</v>
      </c>
      <c r="W110" s="54"/>
      <c r="X110" s="54"/>
      <c r="Z110" s="63"/>
      <c r="AA110" s="64"/>
      <c r="AB110" s="54"/>
      <c r="AC110" s="54"/>
      <c r="AD110" s="54"/>
      <c r="AE110" s="54"/>
      <c r="AF110" s="54"/>
    </row>
    <row r="111" spans="1:33" ht="12.75" x14ac:dyDescent="0.2">
      <c r="A111" s="55" t="s">
        <v>200</v>
      </c>
      <c r="B111" s="38">
        <v>65</v>
      </c>
      <c r="C111" s="65">
        <v>12</v>
      </c>
      <c r="D111" s="65">
        <v>9</v>
      </c>
      <c r="E111" s="65">
        <v>16</v>
      </c>
      <c r="F111" s="65">
        <v>10</v>
      </c>
      <c r="G111" s="65">
        <v>5</v>
      </c>
      <c r="H111" s="65">
        <v>2</v>
      </c>
      <c r="I111" s="65"/>
      <c r="J111" s="54"/>
      <c r="K111" s="56"/>
      <c r="L111" s="55" t="s">
        <v>200</v>
      </c>
      <c r="M111" s="38">
        <v>63</v>
      </c>
      <c r="N111" s="65">
        <v>11</v>
      </c>
      <c r="O111" s="65">
        <v>15</v>
      </c>
      <c r="P111" s="65">
        <v>5</v>
      </c>
      <c r="Q111" s="65">
        <v>5</v>
      </c>
      <c r="R111" s="65">
        <v>2</v>
      </c>
      <c r="S111" s="65">
        <v>5</v>
      </c>
      <c r="T111" s="65">
        <v>7</v>
      </c>
      <c r="U111" s="65">
        <v>4</v>
      </c>
      <c r="V111" s="65">
        <v>3</v>
      </c>
      <c r="W111" s="65"/>
      <c r="X111" s="54"/>
      <c r="Z111" s="63"/>
      <c r="AA111" s="64"/>
      <c r="AB111" s="54"/>
      <c r="AC111" s="54"/>
      <c r="AD111" s="54"/>
      <c r="AE111" s="54"/>
      <c r="AF111" s="54"/>
    </row>
    <row r="112" spans="1:33" ht="12.75" x14ac:dyDescent="0.2">
      <c r="A112" s="55" t="s">
        <v>141</v>
      </c>
      <c r="B112" s="65">
        <f t="shared" ref="B112:I112" si="36">B111*B110</f>
        <v>3.25</v>
      </c>
      <c r="C112" s="65">
        <f t="shared" si="36"/>
        <v>1.2000000000000002</v>
      </c>
      <c r="D112" s="65">
        <f t="shared" si="36"/>
        <v>1.8</v>
      </c>
      <c r="E112" s="65">
        <f t="shared" si="36"/>
        <v>8</v>
      </c>
      <c r="F112" s="65">
        <f t="shared" si="36"/>
        <v>10</v>
      </c>
      <c r="G112" s="65">
        <f t="shared" si="36"/>
        <v>10</v>
      </c>
      <c r="H112" s="65">
        <f t="shared" si="36"/>
        <v>10</v>
      </c>
      <c r="I112" s="65">
        <f t="shared" si="36"/>
        <v>0</v>
      </c>
      <c r="J112" s="54">
        <f>SUM(B112:I112)</f>
        <v>44.25</v>
      </c>
      <c r="K112" s="56"/>
      <c r="L112" s="55" t="s">
        <v>141</v>
      </c>
      <c r="M112" s="70">
        <f t="shared" ref="M112:V112" si="37">M111*M110</f>
        <v>3.1500000000000004</v>
      </c>
      <c r="N112" s="70">
        <f t="shared" si="37"/>
        <v>1.1000000000000001</v>
      </c>
      <c r="O112" s="70">
        <f t="shared" si="37"/>
        <v>3</v>
      </c>
      <c r="P112" s="70">
        <f t="shared" si="37"/>
        <v>2.5</v>
      </c>
      <c r="Q112" s="70">
        <f t="shared" si="37"/>
        <v>5</v>
      </c>
      <c r="R112" s="70">
        <f t="shared" si="37"/>
        <v>4</v>
      </c>
      <c r="S112" s="70">
        <f t="shared" si="37"/>
        <v>25</v>
      </c>
      <c r="T112" s="70">
        <f t="shared" si="37"/>
        <v>70</v>
      </c>
      <c r="U112" s="70">
        <f t="shared" si="37"/>
        <v>80</v>
      </c>
      <c r="V112" s="70">
        <f t="shared" si="37"/>
        <v>150</v>
      </c>
      <c r="W112" s="54">
        <f>SUM(M112:V112)</f>
        <v>343.75</v>
      </c>
      <c r="X112" s="55">
        <f>W112-J112</f>
        <v>299.5</v>
      </c>
      <c r="Y112" s="63">
        <v>127.7</v>
      </c>
      <c r="Z112" s="63">
        <v>12.2</v>
      </c>
      <c r="AA112" s="66">
        <f>X112+Z112</f>
        <v>311.7</v>
      </c>
      <c r="AB112" s="55">
        <v>40</v>
      </c>
      <c r="AC112" s="55">
        <f>Y112-AB112</f>
        <v>87.7</v>
      </c>
      <c r="AD112" s="55">
        <f>X112-Y112</f>
        <v>171.8</v>
      </c>
      <c r="AE112" s="55">
        <v>35</v>
      </c>
      <c r="AF112" s="55">
        <f>AD112-AE112</f>
        <v>136.80000000000001</v>
      </c>
      <c r="AG112" s="61"/>
    </row>
    <row r="113" spans="1:33" ht="12.75" x14ac:dyDescent="0.2">
      <c r="AC113" s="38">
        <v>-2.7</v>
      </c>
      <c r="AF113" s="38" t="s">
        <v>167</v>
      </c>
    </row>
    <row r="115" spans="1:33" ht="51" x14ac:dyDescent="0.2">
      <c r="A115" s="52" t="s">
        <v>135</v>
      </c>
      <c r="B115" s="53">
        <v>45646</v>
      </c>
      <c r="C115" s="54"/>
      <c r="D115" s="54"/>
      <c r="E115" s="54"/>
      <c r="F115" s="54"/>
      <c r="G115" s="54"/>
      <c r="H115" s="54"/>
      <c r="I115" s="54"/>
      <c r="J115" s="55" t="s">
        <v>141</v>
      </c>
      <c r="K115" s="56"/>
      <c r="L115" s="52" t="s">
        <v>136</v>
      </c>
      <c r="M115" s="53">
        <v>45646</v>
      </c>
      <c r="N115" s="54"/>
      <c r="O115" s="54"/>
      <c r="P115" s="54"/>
      <c r="Q115" s="54"/>
      <c r="R115" s="54"/>
      <c r="S115" s="54"/>
      <c r="T115" s="54"/>
      <c r="U115" s="54"/>
      <c r="V115" s="54"/>
      <c r="W115" s="55" t="s">
        <v>141</v>
      </c>
      <c r="X115" s="57" t="s">
        <v>192</v>
      </c>
      <c r="Y115" s="58" t="s">
        <v>142</v>
      </c>
      <c r="Z115" s="59" t="s">
        <v>193</v>
      </c>
      <c r="AA115" s="60" t="s">
        <v>194</v>
      </c>
      <c r="AB115" s="57" t="s">
        <v>165</v>
      </c>
      <c r="AC115" s="55" t="s">
        <v>195</v>
      </c>
      <c r="AD115" s="55" t="s">
        <v>196</v>
      </c>
      <c r="AE115" s="57" t="s">
        <v>197</v>
      </c>
      <c r="AF115" s="55" t="s">
        <v>198</v>
      </c>
      <c r="AG115" s="61"/>
    </row>
    <row r="116" spans="1:33" ht="12.75" x14ac:dyDescent="0.2">
      <c r="A116" s="55" t="s">
        <v>199</v>
      </c>
      <c r="B116" s="62">
        <v>0.05</v>
      </c>
      <c r="C116" s="62">
        <v>0.1</v>
      </c>
      <c r="D116" s="62">
        <v>0.2</v>
      </c>
      <c r="E116" s="62">
        <v>0.5</v>
      </c>
      <c r="F116" s="62">
        <v>1</v>
      </c>
      <c r="G116" s="62">
        <v>2</v>
      </c>
      <c r="H116" s="62">
        <v>5</v>
      </c>
      <c r="I116" s="62">
        <v>10</v>
      </c>
      <c r="K116" s="56"/>
      <c r="L116" s="55" t="s">
        <v>199</v>
      </c>
      <c r="M116" s="62">
        <v>0.05</v>
      </c>
      <c r="N116" s="62">
        <v>0.1</v>
      </c>
      <c r="O116" s="62">
        <v>0.2</v>
      </c>
      <c r="P116" s="62">
        <v>0.5</v>
      </c>
      <c r="Q116" s="62">
        <v>1</v>
      </c>
      <c r="R116" s="62">
        <v>2</v>
      </c>
      <c r="S116" s="62">
        <v>5</v>
      </c>
      <c r="T116" s="62">
        <v>10</v>
      </c>
      <c r="U116" s="62">
        <v>20</v>
      </c>
      <c r="V116" s="62">
        <v>50</v>
      </c>
      <c r="W116" s="54"/>
      <c r="X116" s="54"/>
      <c r="Z116" s="63"/>
      <c r="AA116" s="64"/>
      <c r="AB116" s="54"/>
      <c r="AC116" s="54"/>
      <c r="AD116" s="54"/>
      <c r="AE116" s="54"/>
      <c r="AF116" s="54"/>
    </row>
    <row r="117" spans="1:33" ht="12.75" x14ac:dyDescent="0.2">
      <c r="A117" s="55" t="s">
        <v>200</v>
      </c>
      <c r="B117" s="38">
        <v>63</v>
      </c>
      <c r="C117" s="65">
        <v>11</v>
      </c>
      <c r="D117" s="65">
        <v>15</v>
      </c>
      <c r="E117" s="65">
        <v>9</v>
      </c>
      <c r="F117" s="65">
        <v>8</v>
      </c>
      <c r="G117" s="65">
        <v>6</v>
      </c>
      <c r="H117" s="65">
        <v>2</v>
      </c>
      <c r="I117" s="65"/>
      <c r="J117" s="54"/>
      <c r="K117" s="56"/>
      <c r="L117" s="55" t="s">
        <v>200</v>
      </c>
      <c r="M117" s="38">
        <v>66</v>
      </c>
      <c r="N117" s="65">
        <v>6</v>
      </c>
      <c r="O117" s="65">
        <v>2</v>
      </c>
      <c r="P117" s="65">
        <v>1</v>
      </c>
      <c r="Q117" s="65">
        <v>9</v>
      </c>
      <c r="R117" s="65">
        <v>7</v>
      </c>
      <c r="S117" s="65">
        <v>7</v>
      </c>
      <c r="T117" s="65"/>
      <c r="U117" s="65">
        <v>7</v>
      </c>
      <c r="V117" s="65">
        <v>2</v>
      </c>
      <c r="W117" s="65"/>
      <c r="X117" s="54"/>
      <c r="Z117" s="63"/>
      <c r="AA117" s="64"/>
      <c r="AB117" s="54"/>
      <c r="AC117" s="54"/>
      <c r="AD117" s="54"/>
      <c r="AE117" s="54"/>
      <c r="AF117" s="54"/>
    </row>
    <row r="118" spans="1:33" ht="12.75" x14ac:dyDescent="0.2">
      <c r="A118" s="55" t="s">
        <v>141</v>
      </c>
      <c r="B118" s="65">
        <f t="shared" ref="B118:I118" si="38">B117*B116</f>
        <v>3.1500000000000004</v>
      </c>
      <c r="C118" s="65">
        <f t="shared" si="38"/>
        <v>1.1000000000000001</v>
      </c>
      <c r="D118" s="65">
        <f t="shared" si="38"/>
        <v>3</v>
      </c>
      <c r="E118" s="65">
        <f t="shared" si="38"/>
        <v>4.5</v>
      </c>
      <c r="F118" s="65">
        <f t="shared" si="38"/>
        <v>8</v>
      </c>
      <c r="G118" s="65">
        <f t="shared" si="38"/>
        <v>12</v>
      </c>
      <c r="H118" s="65">
        <f t="shared" si="38"/>
        <v>10</v>
      </c>
      <c r="I118" s="65">
        <f t="shared" si="38"/>
        <v>0</v>
      </c>
      <c r="J118" s="54">
        <f>SUM(B118:I118)</f>
        <v>41.75</v>
      </c>
      <c r="K118" s="56"/>
      <c r="L118" s="55" t="s">
        <v>141</v>
      </c>
      <c r="M118" s="70">
        <f t="shared" ref="M118:V118" si="39">M117*M116</f>
        <v>3.3000000000000003</v>
      </c>
      <c r="N118" s="70">
        <f t="shared" si="39"/>
        <v>0.60000000000000009</v>
      </c>
      <c r="O118" s="70">
        <f t="shared" si="39"/>
        <v>0.4</v>
      </c>
      <c r="P118" s="70">
        <f t="shared" si="39"/>
        <v>0.5</v>
      </c>
      <c r="Q118" s="70">
        <f t="shared" si="39"/>
        <v>9</v>
      </c>
      <c r="R118" s="70">
        <f t="shared" si="39"/>
        <v>14</v>
      </c>
      <c r="S118" s="70">
        <f t="shared" si="39"/>
        <v>35</v>
      </c>
      <c r="T118" s="70">
        <f t="shared" si="39"/>
        <v>0</v>
      </c>
      <c r="U118" s="70">
        <f t="shared" si="39"/>
        <v>140</v>
      </c>
      <c r="V118" s="70">
        <f t="shared" si="39"/>
        <v>100</v>
      </c>
      <c r="W118" s="54">
        <f>SUM(M118:V118)</f>
        <v>302.8</v>
      </c>
      <c r="X118" s="55">
        <f>W118-J118</f>
        <v>261.05</v>
      </c>
      <c r="Y118" s="63">
        <v>65</v>
      </c>
      <c r="Z118" s="63">
        <v>29.4</v>
      </c>
      <c r="AA118" s="66">
        <f>X118+Z118</f>
        <v>290.45</v>
      </c>
      <c r="AB118" s="55">
        <v>30</v>
      </c>
      <c r="AC118" s="55">
        <f>Y118-AB118</f>
        <v>35</v>
      </c>
      <c r="AD118" s="55">
        <f>X118-Y118</f>
        <v>196.05</v>
      </c>
      <c r="AE118" s="55">
        <v>40</v>
      </c>
      <c r="AF118" s="55">
        <f>AD118-AE118</f>
        <v>156.05000000000001</v>
      </c>
      <c r="AG118" s="61"/>
    </row>
    <row r="121" spans="1:33" ht="51" x14ac:dyDescent="0.2">
      <c r="A121" s="52" t="s">
        <v>135</v>
      </c>
      <c r="B121" s="53">
        <v>45647</v>
      </c>
      <c r="C121" s="54"/>
      <c r="D121" s="54"/>
      <c r="E121" s="54"/>
      <c r="F121" s="54"/>
      <c r="G121" s="54"/>
      <c r="H121" s="54"/>
      <c r="I121" s="54"/>
      <c r="J121" s="55" t="s">
        <v>141</v>
      </c>
      <c r="K121" s="56"/>
      <c r="L121" s="52" t="s">
        <v>136</v>
      </c>
      <c r="M121" s="53">
        <v>45647</v>
      </c>
      <c r="N121" s="54"/>
      <c r="O121" s="54"/>
      <c r="P121" s="54"/>
      <c r="Q121" s="54"/>
      <c r="R121" s="54"/>
      <c r="S121" s="54"/>
      <c r="T121" s="54"/>
      <c r="U121" s="54"/>
      <c r="V121" s="54"/>
      <c r="W121" s="55" t="s">
        <v>141</v>
      </c>
      <c r="X121" s="57" t="s">
        <v>192</v>
      </c>
      <c r="Y121" s="58" t="s">
        <v>142</v>
      </c>
      <c r="Z121" s="59" t="s">
        <v>193</v>
      </c>
      <c r="AA121" s="60" t="s">
        <v>194</v>
      </c>
      <c r="AB121" s="57" t="s">
        <v>165</v>
      </c>
      <c r="AC121" s="55" t="s">
        <v>195</v>
      </c>
      <c r="AD121" s="55" t="s">
        <v>196</v>
      </c>
      <c r="AE121" s="57" t="s">
        <v>197</v>
      </c>
      <c r="AF121" s="55" t="s">
        <v>198</v>
      </c>
      <c r="AG121" s="61"/>
    </row>
    <row r="122" spans="1:33" ht="12.75" x14ac:dyDescent="0.2">
      <c r="A122" s="55" t="s">
        <v>199</v>
      </c>
      <c r="B122" s="62">
        <v>0.05</v>
      </c>
      <c r="C122" s="62">
        <v>0.1</v>
      </c>
      <c r="D122" s="62">
        <v>0.2</v>
      </c>
      <c r="E122" s="62">
        <v>0.5</v>
      </c>
      <c r="F122" s="62">
        <v>1</v>
      </c>
      <c r="G122" s="62">
        <v>2</v>
      </c>
      <c r="H122" s="62">
        <v>5</v>
      </c>
      <c r="I122" s="62">
        <v>10</v>
      </c>
      <c r="K122" s="56"/>
      <c r="L122" s="55" t="s">
        <v>199</v>
      </c>
      <c r="M122" s="62">
        <v>0.05</v>
      </c>
      <c r="N122" s="62">
        <v>0.1</v>
      </c>
      <c r="O122" s="62">
        <v>0.2</v>
      </c>
      <c r="P122" s="62">
        <v>0.5</v>
      </c>
      <c r="Q122" s="62">
        <v>1</v>
      </c>
      <c r="R122" s="62">
        <v>2</v>
      </c>
      <c r="S122" s="62">
        <v>5</v>
      </c>
      <c r="T122" s="62">
        <v>10</v>
      </c>
      <c r="U122" s="62">
        <v>20</v>
      </c>
      <c r="V122" s="62">
        <v>50</v>
      </c>
      <c r="W122" s="54"/>
      <c r="X122" s="54"/>
      <c r="Z122" s="63"/>
      <c r="AA122" s="64"/>
      <c r="AB122" s="54"/>
      <c r="AC122" s="54"/>
      <c r="AD122" s="54"/>
      <c r="AE122" s="54"/>
      <c r="AF122" s="54"/>
    </row>
    <row r="123" spans="1:33" ht="12.75" x14ac:dyDescent="0.2">
      <c r="A123" s="55" t="s">
        <v>200</v>
      </c>
      <c r="B123" s="38">
        <v>66</v>
      </c>
      <c r="C123" s="65">
        <v>8</v>
      </c>
      <c r="D123" s="65">
        <v>5</v>
      </c>
      <c r="E123" s="65">
        <v>7</v>
      </c>
      <c r="F123" s="65">
        <v>9</v>
      </c>
      <c r="G123" s="65">
        <v>7</v>
      </c>
      <c r="H123" s="65">
        <v>2</v>
      </c>
      <c r="I123" s="65"/>
      <c r="J123" s="54"/>
      <c r="K123" s="56"/>
      <c r="L123" s="55" t="s">
        <v>200</v>
      </c>
      <c r="M123" s="38">
        <v>66</v>
      </c>
      <c r="N123" s="65">
        <v>31</v>
      </c>
      <c r="O123" s="65">
        <v>13</v>
      </c>
      <c r="P123" s="65">
        <v>12</v>
      </c>
      <c r="Q123" s="65">
        <v>16</v>
      </c>
      <c r="R123" s="65">
        <v>17</v>
      </c>
      <c r="S123" s="65">
        <v>7</v>
      </c>
      <c r="T123" s="65">
        <v>5</v>
      </c>
      <c r="U123" s="65">
        <v>6</v>
      </c>
      <c r="V123" s="65">
        <v>0</v>
      </c>
      <c r="W123" s="65"/>
      <c r="X123" s="54"/>
      <c r="Z123" s="63"/>
      <c r="AA123" s="64"/>
      <c r="AB123" s="54"/>
      <c r="AC123" s="54"/>
      <c r="AD123" s="54"/>
      <c r="AE123" s="54"/>
      <c r="AF123" s="54"/>
    </row>
    <row r="124" spans="1:33" ht="12.75" x14ac:dyDescent="0.2">
      <c r="A124" s="55" t="s">
        <v>141</v>
      </c>
      <c r="B124" s="65">
        <f t="shared" ref="B124:I124" si="40">B123*B122</f>
        <v>3.3000000000000003</v>
      </c>
      <c r="C124" s="65">
        <f t="shared" si="40"/>
        <v>0.8</v>
      </c>
      <c r="D124" s="65">
        <f t="shared" si="40"/>
        <v>1</v>
      </c>
      <c r="E124" s="65">
        <f t="shared" si="40"/>
        <v>3.5</v>
      </c>
      <c r="F124" s="65">
        <f t="shared" si="40"/>
        <v>9</v>
      </c>
      <c r="G124" s="65">
        <f t="shared" si="40"/>
        <v>14</v>
      </c>
      <c r="H124" s="65">
        <f t="shared" si="40"/>
        <v>10</v>
      </c>
      <c r="I124" s="65">
        <f t="shared" si="40"/>
        <v>0</v>
      </c>
      <c r="J124" s="54">
        <f>SUM(B124:I124)</f>
        <v>41.6</v>
      </c>
      <c r="K124" s="56"/>
      <c r="L124" s="55" t="s">
        <v>141</v>
      </c>
      <c r="M124" s="70">
        <f t="shared" ref="M124:V124" si="41">M123*M122</f>
        <v>3.3000000000000003</v>
      </c>
      <c r="N124" s="70">
        <f t="shared" si="41"/>
        <v>3.1</v>
      </c>
      <c r="O124" s="70">
        <f t="shared" si="41"/>
        <v>2.6</v>
      </c>
      <c r="P124" s="70">
        <f t="shared" si="41"/>
        <v>6</v>
      </c>
      <c r="Q124" s="70">
        <f t="shared" si="41"/>
        <v>16</v>
      </c>
      <c r="R124" s="70">
        <f t="shared" si="41"/>
        <v>34</v>
      </c>
      <c r="S124" s="70">
        <f t="shared" si="41"/>
        <v>35</v>
      </c>
      <c r="T124" s="70">
        <f t="shared" si="41"/>
        <v>50</v>
      </c>
      <c r="U124" s="70">
        <f t="shared" si="41"/>
        <v>120</v>
      </c>
      <c r="V124" s="70">
        <f t="shared" si="41"/>
        <v>0</v>
      </c>
      <c r="W124" s="54">
        <f>SUM(M124:V124)</f>
        <v>270</v>
      </c>
      <c r="X124" s="55">
        <f>W124-J124</f>
        <v>228.4</v>
      </c>
      <c r="Y124" s="63">
        <v>102.75</v>
      </c>
      <c r="Z124" s="63">
        <v>60.9</v>
      </c>
      <c r="AA124" s="66">
        <f>X124+Z124</f>
        <v>289.3</v>
      </c>
      <c r="AB124" s="55">
        <v>50</v>
      </c>
      <c r="AC124" s="55">
        <f>Y124-AB124</f>
        <v>52.75</v>
      </c>
      <c r="AD124" s="55">
        <f>X124-Y124</f>
        <v>125.65</v>
      </c>
      <c r="AE124" s="55">
        <f>AD124*0.2</f>
        <v>25.130000000000003</v>
      </c>
      <c r="AF124" s="55">
        <f>AD124-AE124</f>
        <v>100.52000000000001</v>
      </c>
      <c r="AG124" s="61"/>
    </row>
    <row r="125" spans="1:33" ht="12.75" x14ac:dyDescent="0.2">
      <c r="AB125" s="38" t="s">
        <v>167</v>
      </c>
    </row>
    <row r="127" spans="1:33" ht="51" x14ac:dyDescent="0.2">
      <c r="A127" s="52" t="s">
        <v>135</v>
      </c>
      <c r="B127" s="53">
        <v>45648</v>
      </c>
      <c r="C127" s="54"/>
      <c r="D127" s="54"/>
      <c r="E127" s="54"/>
      <c r="F127" s="54"/>
      <c r="G127" s="54"/>
      <c r="H127" s="54"/>
      <c r="I127" s="54"/>
      <c r="J127" s="55" t="s">
        <v>141</v>
      </c>
      <c r="K127" s="56"/>
      <c r="L127" s="52" t="s">
        <v>136</v>
      </c>
      <c r="M127" s="53">
        <v>45648</v>
      </c>
      <c r="N127" s="54"/>
      <c r="O127" s="54"/>
      <c r="P127" s="54"/>
      <c r="Q127" s="54"/>
      <c r="R127" s="54"/>
      <c r="S127" s="54"/>
      <c r="T127" s="54"/>
      <c r="U127" s="54"/>
      <c r="V127" s="54"/>
      <c r="W127" s="55" t="s">
        <v>141</v>
      </c>
      <c r="X127" s="57" t="s">
        <v>192</v>
      </c>
      <c r="Y127" s="58" t="s">
        <v>142</v>
      </c>
      <c r="Z127" s="59" t="s">
        <v>193</v>
      </c>
      <c r="AA127" s="60" t="s">
        <v>194</v>
      </c>
      <c r="AB127" s="57" t="s">
        <v>165</v>
      </c>
      <c r="AC127" s="55" t="s">
        <v>195</v>
      </c>
      <c r="AD127" s="55" t="s">
        <v>196</v>
      </c>
      <c r="AE127" s="57" t="s">
        <v>197</v>
      </c>
      <c r="AF127" s="55" t="s">
        <v>198</v>
      </c>
      <c r="AG127" s="61"/>
    </row>
    <row r="128" spans="1:33" ht="12.75" x14ac:dyDescent="0.2">
      <c r="A128" s="55" t="s">
        <v>199</v>
      </c>
      <c r="B128" s="62">
        <v>0.05</v>
      </c>
      <c r="C128" s="62">
        <v>0.1</v>
      </c>
      <c r="D128" s="62">
        <v>0.2</v>
      </c>
      <c r="E128" s="62">
        <v>0.5</v>
      </c>
      <c r="F128" s="62">
        <v>1</v>
      </c>
      <c r="G128" s="62">
        <v>2</v>
      </c>
      <c r="H128" s="62">
        <v>5</v>
      </c>
      <c r="I128" s="62">
        <v>10</v>
      </c>
      <c r="K128" s="56"/>
      <c r="L128" s="55" t="s">
        <v>199</v>
      </c>
      <c r="M128" s="62">
        <v>0.05</v>
      </c>
      <c r="N128" s="62">
        <v>0.1</v>
      </c>
      <c r="O128" s="62">
        <v>0.2</v>
      </c>
      <c r="P128" s="62">
        <v>0.5</v>
      </c>
      <c r="Q128" s="62">
        <v>1</v>
      </c>
      <c r="R128" s="62">
        <v>2</v>
      </c>
      <c r="S128" s="62">
        <v>5</v>
      </c>
      <c r="T128" s="62">
        <v>10</v>
      </c>
      <c r="U128" s="62">
        <v>20</v>
      </c>
      <c r="V128" s="62">
        <v>50</v>
      </c>
      <c r="W128" s="54"/>
      <c r="X128" s="54"/>
      <c r="Z128" s="63"/>
      <c r="AA128" s="64"/>
      <c r="AB128" s="54"/>
      <c r="AC128" s="54"/>
      <c r="AD128" s="54"/>
      <c r="AE128" s="54"/>
      <c r="AF128" s="54"/>
    </row>
    <row r="129" spans="1:33" ht="12.75" x14ac:dyDescent="0.2">
      <c r="A129" s="55" t="s">
        <v>200</v>
      </c>
      <c r="B129" s="38">
        <v>66</v>
      </c>
      <c r="C129" s="65">
        <v>31</v>
      </c>
      <c r="D129" s="65">
        <v>13</v>
      </c>
      <c r="E129" s="65">
        <v>6</v>
      </c>
      <c r="F129" s="65">
        <v>6</v>
      </c>
      <c r="G129" s="65">
        <v>5</v>
      </c>
      <c r="H129" s="65">
        <v>2</v>
      </c>
      <c r="I129" s="65"/>
      <c r="J129" s="54"/>
      <c r="K129" s="56"/>
      <c r="L129" s="55" t="s">
        <v>200</v>
      </c>
      <c r="M129" s="38">
        <v>74</v>
      </c>
      <c r="N129" s="65">
        <v>28</v>
      </c>
      <c r="O129" s="65">
        <v>25</v>
      </c>
      <c r="P129" s="65">
        <v>21</v>
      </c>
      <c r="Q129" s="65">
        <v>14</v>
      </c>
      <c r="R129" s="65">
        <v>10</v>
      </c>
      <c r="S129" s="65">
        <v>3</v>
      </c>
      <c r="T129" s="65">
        <v>8</v>
      </c>
      <c r="U129" s="65">
        <v>0</v>
      </c>
      <c r="V129" s="65">
        <v>1</v>
      </c>
      <c r="W129" s="65"/>
      <c r="X129" s="54"/>
      <c r="Z129" s="63"/>
      <c r="AA129" s="64"/>
      <c r="AB129" s="54"/>
      <c r="AC129" s="54"/>
      <c r="AD129" s="54"/>
      <c r="AE129" s="54"/>
      <c r="AF129" s="54"/>
    </row>
    <row r="130" spans="1:33" ht="12.75" x14ac:dyDescent="0.2">
      <c r="A130" s="55" t="s">
        <v>141</v>
      </c>
      <c r="B130" s="65">
        <f t="shared" ref="B130:I130" si="42">B129*B128</f>
        <v>3.3000000000000003</v>
      </c>
      <c r="C130" s="65">
        <f t="shared" si="42"/>
        <v>3.1</v>
      </c>
      <c r="D130" s="65">
        <f t="shared" si="42"/>
        <v>2.6</v>
      </c>
      <c r="E130" s="65">
        <f t="shared" si="42"/>
        <v>3</v>
      </c>
      <c r="F130" s="65">
        <f t="shared" si="42"/>
        <v>6</v>
      </c>
      <c r="G130" s="65">
        <f t="shared" si="42"/>
        <v>10</v>
      </c>
      <c r="H130" s="65">
        <f t="shared" si="42"/>
        <v>10</v>
      </c>
      <c r="I130" s="65">
        <f t="shared" si="42"/>
        <v>0</v>
      </c>
      <c r="J130" s="54">
        <f>SUM(B130:I130)</f>
        <v>38</v>
      </c>
      <c r="K130" s="56"/>
      <c r="L130" s="55" t="s">
        <v>141</v>
      </c>
      <c r="M130" s="70">
        <f t="shared" ref="M130:V130" si="43">M129*M128</f>
        <v>3.7</v>
      </c>
      <c r="N130" s="70">
        <f t="shared" si="43"/>
        <v>2.8000000000000003</v>
      </c>
      <c r="O130" s="70">
        <f t="shared" si="43"/>
        <v>5</v>
      </c>
      <c r="P130" s="70">
        <f t="shared" si="43"/>
        <v>10.5</v>
      </c>
      <c r="Q130" s="70">
        <f t="shared" si="43"/>
        <v>14</v>
      </c>
      <c r="R130" s="70">
        <f t="shared" si="43"/>
        <v>20</v>
      </c>
      <c r="S130" s="70">
        <f t="shared" si="43"/>
        <v>15</v>
      </c>
      <c r="T130" s="70">
        <f t="shared" si="43"/>
        <v>80</v>
      </c>
      <c r="U130" s="70">
        <f t="shared" si="43"/>
        <v>0</v>
      </c>
      <c r="V130" s="70">
        <f t="shared" si="43"/>
        <v>50</v>
      </c>
      <c r="W130" s="54">
        <f>SUM(M130:V130)</f>
        <v>201</v>
      </c>
      <c r="X130" s="55">
        <f>W130-J130</f>
        <v>163</v>
      </c>
      <c r="Y130" s="63">
        <v>41.9</v>
      </c>
      <c r="Z130" s="63">
        <v>34.799999999999997</v>
      </c>
      <c r="AA130" s="66">
        <f>X130+Z130</f>
        <v>197.8</v>
      </c>
      <c r="AB130" s="55">
        <v>25</v>
      </c>
      <c r="AC130" s="55">
        <f>Y130-AB130</f>
        <v>16.899999999999999</v>
      </c>
      <c r="AD130" s="55">
        <f>X130-Y130</f>
        <v>121.1</v>
      </c>
      <c r="AE130" s="55">
        <v>50</v>
      </c>
      <c r="AF130" s="55">
        <f>AD130-AE130</f>
        <v>71.099999999999994</v>
      </c>
      <c r="AG130" s="61"/>
    </row>
    <row r="131" spans="1:33" ht="12.75" x14ac:dyDescent="0.2">
      <c r="AB131" s="38" t="s">
        <v>167</v>
      </c>
      <c r="AE131" s="38" t="s">
        <v>218</v>
      </c>
    </row>
    <row r="133" spans="1:33" ht="51" x14ac:dyDescent="0.2">
      <c r="A133" s="52" t="s">
        <v>135</v>
      </c>
      <c r="B133" s="53">
        <v>45649</v>
      </c>
      <c r="C133" s="54"/>
      <c r="D133" s="54"/>
      <c r="E133" s="54"/>
      <c r="F133" s="54"/>
      <c r="G133" s="54"/>
      <c r="H133" s="54"/>
      <c r="I133" s="54"/>
      <c r="J133" s="55" t="s">
        <v>141</v>
      </c>
      <c r="K133" s="56"/>
      <c r="L133" s="52" t="s">
        <v>136</v>
      </c>
      <c r="M133" s="53">
        <v>45649</v>
      </c>
      <c r="N133" s="54"/>
      <c r="O133" s="54"/>
      <c r="P133" s="54"/>
      <c r="Q133" s="54"/>
      <c r="R133" s="54"/>
      <c r="S133" s="54"/>
      <c r="T133" s="54"/>
      <c r="U133" s="54"/>
      <c r="V133" s="54"/>
      <c r="W133" s="55" t="s">
        <v>141</v>
      </c>
      <c r="X133" s="57" t="s">
        <v>192</v>
      </c>
      <c r="Y133" s="58" t="s">
        <v>142</v>
      </c>
      <c r="Z133" s="59" t="s">
        <v>193</v>
      </c>
      <c r="AA133" s="60" t="s">
        <v>194</v>
      </c>
      <c r="AB133" s="57" t="s">
        <v>165</v>
      </c>
      <c r="AC133" s="55" t="s">
        <v>195</v>
      </c>
      <c r="AD133" s="55" t="s">
        <v>196</v>
      </c>
      <c r="AE133" s="57" t="s">
        <v>197</v>
      </c>
      <c r="AF133" s="55" t="s">
        <v>198</v>
      </c>
      <c r="AG133" s="61"/>
    </row>
    <row r="134" spans="1:33" ht="12.75" x14ac:dyDescent="0.2">
      <c r="A134" s="55" t="s">
        <v>199</v>
      </c>
      <c r="B134" s="62">
        <v>0.05</v>
      </c>
      <c r="C134" s="62">
        <v>0.1</v>
      </c>
      <c r="D134" s="62">
        <v>0.2</v>
      </c>
      <c r="E134" s="62">
        <v>0.5</v>
      </c>
      <c r="F134" s="62">
        <v>1</v>
      </c>
      <c r="G134" s="62">
        <v>2</v>
      </c>
      <c r="H134" s="62">
        <v>5</v>
      </c>
      <c r="I134" s="62">
        <v>10</v>
      </c>
      <c r="K134" s="56"/>
      <c r="L134" s="55" t="s">
        <v>199</v>
      </c>
      <c r="M134" s="62">
        <v>0.05</v>
      </c>
      <c r="N134" s="62">
        <v>0.1</v>
      </c>
      <c r="O134" s="62">
        <v>0.2</v>
      </c>
      <c r="P134" s="62">
        <v>0.5</v>
      </c>
      <c r="Q134" s="62">
        <v>1</v>
      </c>
      <c r="R134" s="62">
        <v>2</v>
      </c>
      <c r="S134" s="62">
        <v>5</v>
      </c>
      <c r="T134" s="62">
        <v>10</v>
      </c>
      <c r="U134" s="62">
        <v>20</v>
      </c>
      <c r="V134" s="62">
        <v>50</v>
      </c>
      <c r="W134" s="54"/>
      <c r="X134" s="54"/>
      <c r="Z134" s="63"/>
      <c r="AA134" s="64"/>
      <c r="AB134" s="54"/>
      <c r="AC134" s="54"/>
      <c r="AD134" s="54"/>
      <c r="AE134" s="54"/>
      <c r="AF134" s="54"/>
    </row>
    <row r="135" spans="1:33" ht="12.75" x14ac:dyDescent="0.2">
      <c r="A135" s="55" t="s">
        <v>200</v>
      </c>
      <c r="B135" s="38">
        <v>74</v>
      </c>
      <c r="C135" s="65">
        <v>28</v>
      </c>
      <c r="D135" s="65">
        <v>25</v>
      </c>
      <c r="E135" s="65">
        <v>10</v>
      </c>
      <c r="F135" s="65">
        <v>8</v>
      </c>
      <c r="G135" s="65">
        <v>5</v>
      </c>
      <c r="H135" s="65">
        <v>2</v>
      </c>
      <c r="I135" s="65"/>
      <c r="J135" s="54"/>
      <c r="K135" s="56"/>
      <c r="L135" s="55" t="s">
        <v>200</v>
      </c>
      <c r="M135" s="38">
        <v>75</v>
      </c>
      <c r="N135" s="65">
        <v>18</v>
      </c>
      <c r="O135" s="65">
        <v>7</v>
      </c>
      <c r="P135" s="65">
        <v>10</v>
      </c>
      <c r="Q135" s="65">
        <v>3</v>
      </c>
      <c r="R135" s="65">
        <v>3</v>
      </c>
      <c r="S135" s="65">
        <v>5</v>
      </c>
      <c r="T135" s="65">
        <v>8</v>
      </c>
      <c r="U135" s="65">
        <v>6</v>
      </c>
      <c r="V135" s="65">
        <v>5</v>
      </c>
      <c r="W135" s="65"/>
      <c r="X135" s="54"/>
      <c r="Z135" s="63"/>
      <c r="AA135" s="64"/>
      <c r="AB135" s="54"/>
      <c r="AC135" s="54"/>
      <c r="AD135" s="54"/>
      <c r="AE135" s="54"/>
      <c r="AF135" s="54"/>
    </row>
    <row r="136" spans="1:33" ht="12.75" x14ac:dyDescent="0.2">
      <c r="A136" s="55" t="s">
        <v>141</v>
      </c>
      <c r="B136" s="65">
        <f t="shared" ref="B136:I136" si="44">B135*B134</f>
        <v>3.7</v>
      </c>
      <c r="C136" s="65">
        <f t="shared" si="44"/>
        <v>2.8000000000000003</v>
      </c>
      <c r="D136" s="65">
        <f t="shared" si="44"/>
        <v>5</v>
      </c>
      <c r="E136" s="65">
        <f t="shared" si="44"/>
        <v>5</v>
      </c>
      <c r="F136" s="65">
        <f t="shared" si="44"/>
        <v>8</v>
      </c>
      <c r="G136" s="65">
        <f t="shared" si="44"/>
        <v>10</v>
      </c>
      <c r="H136" s="65">
        <f t="shared" si="44"/>
        <v>10</v>
      </c>
      <c r="I136" s="65">
        <f t="shared" si="44"/>
        <v>0</v>
      </c>
      <c r="J136" s="54">
        <f>SUM(B136:I136)</f>
        <v>44.5</v>
      </c>
      <c r="K136" s="56"/>
      <c r="L136" s="55" t="s">
        <v>141</v>
      </c>
      <c r="M136" s="70">
        <f t="shared" ref="M136:V136" si="45">M135*M134</f>
        <v>3.75</v>
      </c>
      <c r="N136" s="70">
        <f t="shared" si="45"/>
        <v>1.8</v>
      </c>
      <c r="O136" s="70">
        <f t="shared" si="45"/>
        <v>1.4000000000000001</v>
      </c>
      <c r="P136" s="70">
        <f t="shared" si="45"/>
        <v>5</v>
      </c>
      <c r="Q136" s="70">
        <f t="shared" si="45"/>
        <v>3</v>
      </c>
      <c r="R136" s="70">
        <f t="shared" si="45"/>
        <v>6</v>
      </c>
      <c r="S136" s="70">
        <f t="shared" si="45"/>
        <v>25</v>
      </c>
      <c r="T136" s="70">
        <f t="shared" si="45"/>
        <v>80</v>
      </c>
      <c r="U136" s="70">
        <f t="shared" si="45"/>
        <v>120</v>
      </c>
      <c r="V136" s="70">
        <f t="shared" si="45"/>
        <v>250</v>
      </c>
      <c r="W136" s="54">
        <f>SUM(M136:V136)</f>
        <v>495.95</v>
      </c>
      <c r="X136" s="55">
        <f>W136-J136</f>
        <v>451.45</v>
      </c>
      <c r="Y136" s="63">
        <v>190.6</v>
      </c>
      <c r="Z136" s="63">
        <v>78</v>
      </c>
      <c r="AA136" s="66">
        <f>X136+Z136</f>
        <v>529.45000000000005</v>
      </c>
      <c r="AB136" s="55">
        <v>80</v>
      </c>
      <c r="AC136" s="55">
        <f>Y136-AB136</f>
        <v>110.6</v>
      </c>
      <c r="AD136" s="55">
        <f>X136-Y136</f>
        <v>260.85000000000002</v>
      </c>
      <c r="AE136" s="55">
        <v>50</v>
      </c>
      <c r="AF136" s="55">
        <f>AD136-AE136</f>
        <v>210.85000000000002</v>
      </c>
      <c r="AG136" s="61"/>
    </row>
    <row r="137" spans="1:33" ht="12.75" x14ac:dyDescent="0.2">
      <c r="AC137" s="38">
        <v>-20</v>
      </c>
    </row>
    <row r="139" spans="1:33" ht="51" x14ac:dyDescent="0.2">
      <c r="A139" s="52" t="s">
        <v>135</v>
      </c>
      <c r="B139" s="53">
        <v>45650</v>
      </c>
      <c r="C139" s="54"/>
      <c r="D139" s="54"/>
      <c r="E139" s="54"/>
      <c r="F139" s="54"/>
      <c r="G139" s="54"/>
      <c r="H139" s="54"/>
      <c r="I139" s="54"/>
      <c r="J139" s="55" t="s">
        <v>141</v>
      </c>
      <c r="K139" s="56"/>
      <c r="L139" s="52" t="s">
        <v>136</v>
      </c>
      <c r="M139" s="53">
        <v>45650</v>
      </c>
      <c r="N139" s="54"/>
      <c r="O139" s="54"/>
      <c r="P139" s="54"/>
      <c r="Q139" s="54"/>
      <c r="R139" s="54"/>
      <c r="S139" s="54"/>
      <c r="T139" s="54"/>
      <c r="U139" s="54"/>
      <c r="V139" s="54"/>
      <c r="W139" s="55" t="s">
        <v>141</v>
      </c>
      <c r="X139" s="57" t="s">
        <v>192</v>
      </c>
      <c r="Y139" s="58" t="s">
        <v>142</v>
      </c>
      <c r="Z139" s="59" t="s">
        <v>193</v>
      </c>
      <c r="AA139" s="60" t="s">
        <v>194</v>
      </c>
      <c r="AB139" s="57" t="s">
        <v>165</v>
      </c>
      <c r="AC139" s="55" t="s">
        <v>195</v>
      </c>
      <c r="AD139" s="55" t="s">
        <v>196</v>
      </c>
      <c r="AE139" s="57" t="s">
        <v>197</v>
      </c>
      <c r="AF139" s="55" t="s">
        <v>198</v>
      </c>
      <c r="AG139" s="61"/>
    </row>
    <row r="140" spans="1:33" ht="12.75" x14ac:dyDescent="0.2">
      <c r="A140" s="55" t="s">
        <v>199</v>
      </c>
      <c r="B140" s="62">
        <v>0.05</v>
      </c>
      <c r="C140" s="62">
        <v>0.1</v>
      </c>
      <c r="D140" s="62">
        <v>0.2</v>
      </c>
      <c r="E140" s="62">
        <v>0.5</v>
      </c>
      <c r="F140" s="62">
        <v>1</v>
      </c>
      <c r="G140" s="62">
        <v>2</v>
      </c>
      <c r="H140" s="62">
        <v>5</v>
      </c>
      <c r="I140" s="62">
        <v>10</v>
      </c>
      <c r="K140" s="56"/>
      <c r="L140" s="55" t="s">
        <v>199</v>
      </c>
      <c r="M140" s="62">
        <v>0.05</v>
      </c>
      <c r="N140" s="62">
        <v>0.1</v>
      </c>
      <c r="O140" s="62">
        <v>0.2</v>
      </c>
      <c r="P140" s="62">
        <v>0.5</v>
      </c>
      <c r="Q140" s="62">
        <v>1</v>
      </c>
      <c r="R140" s="62">
        <v>2</v>
      </c>
      <c r="S140" s="62">
        <v>5</v>
      </c>
      <c r="T140" s="62">
        <v>10</v>
      </c>
      <c r="U140" s="62">
        <v>20</v>
      </c>
      <c r="V140" s="62">
        <v>50</v>
      </c>
      <c r="W140" s="54"/>
      <c r="X140" s="54"/>
      <c r="Z140" s="63"/>
      <c r="AA140" s="64"/>
      <c r="AB140" s="54"/>
      <c r="AC140" s="54"/>
      <c r="AD140" s="54"/>
      <c r="AE140" s="54"/>
      <c r="AF140" s="54"/>
    </row>
    <row r="141" spans="1:33" ht="12.75" x14ac:dyDescent="0.2">
      <c r="A141" s="55" t="s">
        <v>200</v>
      </c>
      <c r="B141" s="38">
        <v>75</v>
      </c>
      <c r="C141" s="65">
        <v>18</v>
      </c>
      <c r="D141" s="65">
        <v>7</v>
      </c>
      <c r="E141" s="65">
        <v>16</v>
      </c>
      <c r="F141" s="65">
        <v>7</v>
      </c>
      <c r="G141" s="65">
        <v>5</v>
      </c>
      <c r="H141" s="65">
        <v>2</v>
      </c>
      <c r="I141" s="65"/>
      <c r="J141" s="54"/>
      <c r="K141" s="56"/>
      <c r="L141" s="55" t="s">
        <v>200</v>
      </c>
      <c r="M141" s="38">
        <v>75</v>
      </c>
      <c r="N141" s="65">
        <v>17</v>
      </c>
      <c r="O141" s="65">
        <v>6</v>
      </c>
      <c r="P141" s="65">
        <v>11</v>
      </c>
      <c r="Q141" s="65">
        <v>14</v>
      </c>
      <c r="R141" s="65">
        <v>1</v>
      </c>
      <c r="S141" s="65">
        <v>8</v>
      </c>
      <c r="T141" s="65">
        <v>8</v>
      </c>
      <c r="U141" s="65">
        <v>9</v>
      </c>
      <c r="V141" s="65">
        <v>2</v>
      </c>
      <c r="W141" s="65"/>
      <c r="X141" s="54"/>
      <c r="Z141" s="63"/>
      <c r="AA141" s="64"/>
      <c r="AB141" s="54"/>
      <c r="AC141" s="54"/>
      <c r="AD141" s="54"/>
      <c r="AE141" s="54"/>
      <c r="AF141" s="54"/>
    </row>
    <row r="142" spans="1:33" ht="12.75" x14ac:dyDescent="0.2">
      <c r="A142" s="55" t="s">
        <v>141</v>
      </c>
      <c r="B142" s="65">
        <f t="shared" ref="B142:I142" si="46">B141*B140</f>
        <v>3.75</v>
      </c>
      <c r="C142" s="65">
        <f t="shared" si="46"/>
        <v>1.8</v>
      </c>
      <c r="D142" s="65">
        <f t="shared" si="46"/>
        <v>1.4000000000000001</v>
      </c>
      <c r="E142" s="65">
        <f t="shared" si="46"/>
        <v>8</v>
      </c>
      <c r="F142" s="65">
        <f t="shared" si="46"/>
        <v>7</v>
      </c>
      <c r="G142" s="65">
        <f t="shared" si="46"/>
        <v>10</v>
      </c>
      <c r="H142" s="65">
        <f t="shared" si="46"/>
        <v>10</v>
      </c>
      <c r="I142" s="65">
        <f t="shared" si="46"/>
        <v>0</v>
      </c>
      <c r="J142" s="54">
        <f>SUM(B142:I142)</f>
        <v>41.95</v>
      </c>
      <c r="K142" s="56"/>
      <c r="L142" s="55" t="s">
        <v>141</v>
      </c>
      <c r="M142" s="70">
        <f t="shared" ref="M142:V142" si="47">M141*M140</f>
        <v>3.75</v>
      </c>
      <c r="N142" s="70">
        <f t="shared" si="47"/>
        <v>1.7000000000000002</v>
      </c>
      <c r="O142" s="70">
        <f t="shared" si="47"/>
        <v>1.2000000000000002</v>
      </c>
      <c r="P142" s="70">
        <f t="shared" si="47"/>
        <v>5.5</v>
      </c>
      <c r="Q142" s="70">
        <f t="shared" si="47"/>
        <v>14</v>
      </c>
      <c r="R142" s="70">
        <f t="shared" si="47"/>
        <v>2</v>
      </c>
      <c r="S142" s="70">
        <f t="shared" si="47"/>
        <v>40</v>
      </c>
      <c r="T142" s="70">
        <f t="shared" si="47"/>
        <v>80</v>
      </c>
      <c r="U142" s="70">
        <f t="shared" si="47"/>
        <v>180</v>
      </c>
      <c r="V142" s="70">
        <f t="shared" si="47"/>
        <v>100</v>
      </c>
      <c r="W142" s="54">
        <f>SUM(M142:V142)</f>
        <v>428.15</v>
      </c>
      <c r="X142" s="55">
        <f>W142-J142</f>
        <v>386.2</v>
      </c>
      <c r="Y142" s="63">
        <v>91.7</v>
      </c>
      <c r="Z142" s="63">
        <v>83.7</v>
      </c>
      <c r="AA142" s="66">
        <f>X142+Z142</f>
        <v>469.9</v>
      </c>
      <c r="AB142" s="55">
        <v>50</v>
      </c>
      <c r="AC142" s="55">
        <f>Y142-AB142</f>
        <v>41.7</v>
      </c>
      <c r="AD142" s="55">
        <f>X142-Y142</f>
        <v>294.5</v>
      </c>
      <c r="AE142" s="55">
        <v>70</v>
      </c>
      <c r="AF142" s="55">
        <f>AD142-AE142</f>
        <v>224.5</v>
      </c>
      <c r="AG142" s="61"/>
    </row>
    <row r="145" spans="1:33" ht="51" x14ac:dyDescent="0.2">
      <c r="A145" s="52" t="s">
        <v>135</v>
      </c>
      <c r="B145" s="53">
        <v>45653</v>
      </c>
      <c r="C145" s="54"/>
      <c r="D145" s="54"/>
      <c r="E145" s="54"/>
      <c r="F145" s="54"/>
      <c r="G145" s="54"/>
      <c r="H145" s="54"/>
      <c r="I145" s="54"/>
      <c r="J145" s="55" t="s">
        <v>141</v>
      </c>
      <c r="K145" s="56"/>
      <c r="L145" s="52" t="s">
        <v>136</v>
      </c>
      <c r="M145" s="53">
        <v>45653</v>
      </c>
      <c r="N145" s="54"/>
      <c r="O145" s="54"/>
      <c r="P145" s="54"/>
      <c r="Q145" s="54"/>
      <c r="R145" s="54"/>
      <c r="S145" s="54"/>
      <c r="T145" s="54"/>
      <c r="U145" s="54"/>
      <c r="V145" s="54"/>
      <c r="W145" s="55" t="s">
        <v>141</v>
      </c>
      <c r="X145" s="57" t="s">
        <v>192</v>
      </c>
      <c r="Y145" s="58" t="s">
        <v>142</v>
      </c>
      <c r="Z145" s="59" t="s">
        <v>193</v>
      </c>
      <c r="AA145" s="60" t="s">
        <v>194</v>
      </c>
      <c r="AB145" s="57" t="s">
        <v>165</v>
      </c>
      <c r="AC145" s="55" t="s">
        <v>195</v>
      </c>
      <c r="AD145" s="55" t="s">
        <v>196</v>
      </c>
      <c r="AE145" s="57" t="s">
        <v>197</v>
      </c>
      <c r="AF145" s="55" t="s">
        <v>198</v>
      </c>
      <c r="AG145" s="61"/>
    </row>
    <row r="146" spans="1:33" ht="12.75" x14ac:dyDescent="0.2">
      <c r="A146" s="55" t="s">
        <v>199</v>
      </c>
      <c r="B146" s="62">
        <v>0.05</v>
      </c>
      <c r="C146" s="62">
        <v>0.1</v>
      </c>
      <c r="D146" s="62">
        <v>0.2</v>
      </c>
      <c r="E146" s="62">
        <v>0.5</v>
      </c>
      <c r="F146" s="62">
        <v>1</v>
      </c>
      <c r="G146" s="62">
        <v>2</v>
      </c>
      <c r="H146" s="62">
        <v>5</v>
      </c>
      <c r="I146" s="62">
        <v>10</v>
      </c>
      <c r="K146" s="56"/>
      <c r="L146" s="55" t="s">
        <v>199</v>
      </c>
      <c r="M146" s="62">
        <v>0.05</v>
      </c>
      <c r="N146" s="62">
        <v>0.1</v>
      </c>
      <c r="O146" s="62">
        <v>0.2</v>
      </c>
      <c r="P146" s="62">
        <v>0.5</v>
      </c>
      <c r="Q146" s="62">
        <v>1</v>
      </c>
      <c r="R146" s="62">
        <v>2</v>
      </c>
      <c r="S146" s="62">
        <v>5</v>
      </c>
      <c r="T146" s="62">
        <v>10</v>
      </c>
      <c r="U146" s="62">
        <v>20</v>
      </c>
      <c r="V146" s="62">
        <v>50</v>
      </c>
      <c r="W146" s="54"/>
      <c r="X146" s="54"/>
      <c r="Z146" s="63"/>
      <c r="AA146" s="64"/>
      <c r="AB146" s="54"/>
      <c r="AC146" s="54"/>
      <c r="AD146" s="54"/>
      <c r="AE146" s="54"/>
      <c r="AF146" s="54"/>
    </row>
    <row r="147" spans="1:33" ht="12.75" x14ac:dyDescent="0.2">
      <c r="A147" s="55" t="s">
        <v>200</v>
      </c>
      <c r="B147" s="38">
        <v>75</v>
      </c>
      <c r="C147" s="65">
        <v>17</v>
      </c>
      <c r="D147" s="65">
        <v>6</v>
      </c>
      <c r="E147" s="65">
        <v>11</v>
      </c>
      <c r="F147" s="65">
        <v>16</v>
      </c>
      <c r="G147" s="65">
        <v>1</v>
      </c>
      <c r="H147" s="65">
        <v>2</v>
      </c>
      <c r="I147" s="65"/>
      <c r="J147" s="54"/>
      <c r="K147" s="56"/>
      <c r="L147" s="55" t="s">
        <v>200</v>
      </c>
      <c r="M147" s="38">
        <v>88</v>
      </c>
      <c r="N147" s="65">
        <v>18</v>
      </c>
      <c r="O147" s="65">
        <v>9</v>
      </c>
      <c r="P147" s="65">
        <v>22</v>
      </c>
      <c r="Q147" s="65">
        <v>11</v>
      </c>
      <c r="R147" s="65">
        <v>3</v>
      </c>
      <c r="S147" s="65">
        <v>10</v>
      </c>
      <c r="T147" s="65">
        <v>0</v>
      </c>
      <c r="U147" s="65">
        <v>1</v>
      </c>
      <c r="V147" s="65">
        <v>5</v>
      </c>
      <c r="W147" s="65"/>
      <c r="X147" s="54"/>
      <c r="Z147" s="63"/>
      <c r="AA147" s="64"/>
      <c r="AB147" s="54"/>
      <c r="AC147" s="54"/>
      <c r="AD147" s="54"/>
      <c r="AE147" s="54"/>
      <c r="AF147" s="54"/>
    </row>
    <row r="148" spans="1:33" ht="12.75" x14ac:dyDescent="0.2">
      <c r="A148" s="55" t="s">
        <v>141</v>
      </c>
      <c r="B148" s="65">
        <f t="shared" ref="B148:I148" si="48">B147*B146</f>
        <v>3.75</v>
      </c>
      <c r="C148" s="65">
        <f t="shared" si="48"/>
        <v>1.7000000000000002</v>
      </c>
      <c r="D148" s="65">
        <f t="shared" si="48"/>
        <v>1.2000000000000002</v>
      </c>
      <c r="E148" s="65">
        <f t="shared" si="48"/>
        <v>5.5</v>
      </c>
      <c r="F148" s="65">
        <f t="shared" si="48"/>
        <v>16</v>
      </c>
      <c r="G148" s="65">
        <f t="shared" si="48"/>
        <v>2</v>
      </c>
      <c r="H148" s="65">
        <f t="shared" si="48"/>
        <v>10</v>
      </c>
      <c r="I148" s="65">
        <f t="shared" si="48"/>
        <v>0</v>
      </c>
      <c r="J148" s="54">
        <f>SUM(B148:I148)</f>
        <v>40.15</v>
      </c>
      <c r="K148" s="56"/>
      <c r="L148" s="55" t="s">
        <v>141</v>
      </c>
      <c r="M148" s="70">
        <f t="shared" ref="M148:V148" si="49">M147*M146</f>
        <v>4.4000000000000004</v>
      </c>
      <c r="N148" s="70">
        <f t="shared" si="49"/>
        <v>1.8</v>
      </c>
      <c r="O148" s="70">
        <f t="shared" si="49"/>
        <v>1.8</v>
      </c>
      <c r="P148" s="70">
        <f t="shared" si="49"/>
        <v>11</v>
      </c>
      <c r="Q148" s="70">
        <f t="shared" si="49"/>
        <v>11</v>
      </c>
      <c r="R148" s="70">
        <f t="shared" si="49"/>
        <v>6</v>
      </c>
      <c r="S148" s="70">
        <f t="shared" si="49"/>
        <v>50</v>
      </c>
      <c r="T148" s="70">
        <f t="shared" si="49"/>
        <v>0</v>
      </c>
      <c r="U148" s="70">
        <f t="shared" si="49"/>
        <v>20</v>
      </c>
      <c r="V148" s="70">
        <f t="shared" si="49"/>
        <v>250</v>
      </c>
      <c r="W148" s="54">
        <f>SUM(M148:V148)</f>
        <v>356</v>
      </c>
      <c r="X148" s="55">
        <f>W148-J148</f>
        <v>315.85000000000002</v>
      </c>
      <c r="Y148" s="63">
        <v>109.1</v>
      </c>
      <c r="Z148" s="63">
        <v>33.1</v>
      </c>
      <c r="AA148" s="66">
        <f>X148+Z148</f>
        <v>348.95000000000005</v>
      </c>
      <c r="AB148" s="55">
        <v>50</v>
      </c>
      <c r="AC148" s="55">
        <f>Y148-AB148</f>
        <v>59.099999999999994</v>
      </c>
      <c r="AD148" s="55">
        <f>X148-Y148</f>
        <v>206.75000000000003</v>
      </c>
      <c r="AE148" s="55">
        <v>20</v>
      </c>
      <c r="AF148" s="55">
        <f>AD148-AE148</f>
        <v>186.75000000000003</v>
      </c>
      <c r="AG148" s="61"/>
    </row>
    <row r="149" spans="1:33" ht="12.75" x14ac:dyDescent="0.2">
      <c r="AB149" s="38" t="s">
        <v>167</v>
      </c>
    </row>
    <row r="151" spans="1:33" ht="51" x14ac:dyDescent="0.2">
      <c r="A151" s="52" t="s">
        <v>135</v>
      </c>
      <c r="B151" s="53">
        <v>45654</v>
      </c>
      <c r="C151" s="54"/>
      <c r="D151" s="54"/>
      <c r="E151" s="54"/>
      <c r="F151" s="54"/>
      <c r="G151" s="54"/>
      <c r="H151" s="54"/>
      <c r="I151" s="54"/>
      <c r="J151" s="55" t="s">
        <v>141</v>
      </c>
      <c r="K151" s="56"/>
      <c r="L151" s="52" t="s">
        <v>136</v>
      </c>
      <c r="M151" s="53">
        <v>45654</v>
      </c>
      <c r="N151" s="54"/>
      <c r="O151" s="54"/>
      <c r="P151" s="54"/>
      <c r="Q151" s="54"/>
      <c r="R151" s="54"/>
      <c r="S151" s="54"/>
      <c r="T151" s="54"/>
      <c r="U151" s="54"/>
      <c r="V151" s="54"/>
      <c r="W151" s="55" t="s">
        <v>141</v>
      </c>
      <c r="X151" s="57" t="s">
        <v>192</v>
      </c>
      <c r="Y151" s="58" t="s">
        <v>142</v>
      </c>
      <c r="Z151" s="59" t="s">
        <v>193</v>
      </c>
      <c r="AA151" s="60" t="s">
        <v>194</v>
      </c>
      <c r="AB151" s="57" t="s">
        <v>165</v>
      </c>
      <c r="AC151" s="55" t="s">
        <v>195</v>
      </c>
      <c r="AD151" s="55" t="s">
        <v>196</v>
      </c>
      <c r="AE151" s="57" t="s">
        <v>197</v>
      </c>
      <c r="AF151" s="55" t="s">
        <v>198</v>
      </c>
      <c r="AG151" s="61"/>
    </row>
    <row r="152" spans="1:33" ht="12.75" x14ac:dyDescent="0.2">
      <c r="A152" s="55" t="s">
        <v>199</v>
      </c>
      <c r="B152" s="62">
        <v>0.05</v>
      </c>
      <c r="C152" s="62">
        <v>0.1</v>
      </c>
      <c r="D152" s="62">
        <v>0.2</v>
      </c>
      <c r="E152" s="62">
        <v>0.5</v>
      </c>
      <c r="F152" s="62">
        <v>1</v>
      </c>
      <c r="G152" s="62">
        <v>2</v>
      </c>
      <c r="H152" s="62">
        <v>5</v>
      </c>
      <c r="I152" s="62">
        <v>10</v>
      </c>
      <c r="K152" s="56"/>
      <c r="L152" s="55" t="s">
        <v>199</v>
      </c>
      <c r="M152" s="62">
        <v>0.05</v>
      </c>
      <c r="N152" s="62">
        <v>0.1</v>
      </c>
      <c r="O152" s="62">
        <v>0.2</v>
      </c>
      <c r="P152" s="62">
        <v>0.5</v>
      </c>
      <c r="Q152" s="62">
        <v>1</v>
      </c>
      <c r="R152" s="62">
        <v>2</v>
      </c>
      <c r="S152" s="62">
        <v>5</v>
      </c>
      <c r="T152" s="62">
        <v>10</v>
      </c>
      <c r="U152" s="62">
        <v>20</v>
      </c>
      <c r="V152" s="62">
        <v>50</v>
      </c>
      <c r="W152" s="54"/>
      <c r="X152" s="54"/>
      <c r="Z152" s="63"/>
      <c r="AA152" s="64"/>
      <c r="AB152" s="54"/>
      <c r="AC152" s="54"/>
      <c r="AD152" s="54"/>
      <c r="AE152" s="54"/>
      <c r="AF152" s="54"/>
    </row>
    <row r="153" spans="1:33" ht="12.75" x14ac:dyDescent="0.2">
      <c r="A153" s="55" t="s">
        <v>200</v>
      </c>
      <c r="B153" s="38">
        <v>88</v>
      </c>
      <c r="C153" s="65">
        <v>18</v>
      </c>
      <c r="D153" s="65">
        <v>9</v>
      </c>
      <c r="E153" s="65">
        <v>16</v>
      </c>
      <c r="F153" s="65">
        <v>11</v>
      </c>
      <c r="G153" s="65">
        <v>3</v>
      </c>
      <c r="H153" s="65">
        <v>2</v>
      </c>
      <c r="I153" s="65"/>
      <c r="J153" s="54"/>
      <c r="K153" s="56"/>
      <c r="L153" s="55" t="s">
        <v>200</v>
      </c>
      <c r="M153" s="38">
        <v>85</v>
      </c>
      <c r="N153" s="65">
        <v>15</v>
      </c>
      <c r="O153" s="65">
        <v>5</v>
      </c>
      <c r="P153" s="65">
        <v>14</v>
      </c>
      <c r="Q153" s="65">
        <v>4</v>
      </c>
      <c r="R153" s="65">
        <v>3</v>
      </c>
      <c r="S153" s="65">
        <v>7</v>
      </c>
      <c r="T153" s="65">
        <v>9</v>
      </c>
      <c r="U153" s="65">
        <v>7</v>
      </c>
      <c r="V153" s="65">
        <v>1</v>
      </c>
      <c r="W153" s="65"/>
      <c r="X153" s="54"/>
      <c r="Z153" s="63"/>
      <c r="AA153" s="64"/>
      <c r="AB153" s="54"/>
      <c r="AC153" s="54"/>
      <c r="AD153" s="54"/>
      <c r="AE153" s="54"/>
      <c r="AF153" s="54"/>
    </row>
    <row r="154" spans="1:33" ht="12.75" x14ac:dyDescent="0.2">
      <c r="A154" s="55" t="s">
        <v>141</v>
      </c>
      <c r="B154" s="65">
        <f t="shared" ref="B154:I154" si="50">B153*B152</f>
        <v>4.4000000000000004</v>
      </c>
      <c r="C154" s="65">
        <f t="shared" si="50"/>
        <v>1.8</v>
      </c>
      <c r="D154" s="65">
        <f t="shared" si="50"/>
        <v>1.8</v>
      </c>
      <c r="E154" s="65">
        <f t="shared" si="50"/>
        <v>8</v>
      </c>
      <c r="F154" s="65">
        <f t="shared" si="50"/>
        <v>11</v>
      </c>
      <c r="G154" s="65">
        <f t="shared" si="50"/>
        <v>6</v>
      </c>
      <c r="H154" s="65">
        <f t="shared" si="50"/>
        <v>10</v>
      </c>
      <c r="I154" s="65">
        <f t="shared" si="50"/>
        <v>0</v>
      </c>
      <c r="J154" s="54">
        <f>SUM(B154:I154)</f>
        <v>43</v>
      </c>
      <c r="K154" s="56"/>
      <c r="L154" s="55" t="s">
        <v>141</v>
      </c>
      <c r="M154" s="70">
        <f t="shared" ref="M154:V154" si="51">M153*M152</f>
        <v>4.25</v>
      </c>
      <c r="N154" s="70">
        <f t="shared" si="51"/>
        <v>1.5</v>
      </c>
      <c r="O154" s="70">
        <f t="shared" si="51"/>
        <v>1</v>
      </c>
      <c r="P154" s="70">
        <f t="shared" si="51"/>
        <v>7</v>
      </c>
      <c r="Q154" s="70">
        <f t="shared" si="51"/>
        <v>4</v>
      </c>
      <c r="R154" s="70">
        <f t="shared" si="51"/>
        <v>6</v>
      </c>
      <c r="S154" s="70">
        <f t="shared" si="51"/>
        <v>35</v>
      </c>
      <c r="T154" s="70">
        <f t="shared" si="51"/>
        <v>90</v>
      </c>
      <c r="U154" s="70">
        <f t="shared" si="51"/>
        <v>140</v>
      </c>
      <c r="V154" s="70">
        <f t="shared" si="51"/>
        <v>50</v>
      </c>
      <c r="W154" s="54">
        <f>SUM(M154:V154)</f>
        <v>338.75</v>
      </c>
      <c r="X154" s="55">
        <f>W154-J154</f>
        <v>295.75</v>
      </c>
      <c r="Y154" s="63">
        <v>81.2</v>
      </c>
      <c r="Z154" s="63">
        <v>13.4</v>
      </c>
      <c r="AA154" s="66">
        <f>X154+Z154</f>
        <v>309.14999999999998</v>
      </c>
      <c r="AB154" s="55">
        <v>30</v>
      </c>
      <c r="AC154" s="55">
        <f>Y154-AB154</f>
        <v>51.2</v>
      </c>
      <c r="AD154" s="55">
        <f>X154-Y154</f>
        <v>214.55</v>
      </c>
      <c r="AE154" s="55">
        <v>39.549999999999997</v>
      </c>
      <c r="AF154" s="55">
        <f>AD154-AE154</f>
        <v>175</v>
      </c>
      <c r="AG154" s="61"/>
    </row>
    <row r="155" spans="1:33" ht="12.75" x14ac:dyDescent="0.2">
      <c r="AC155" s="38">
        <v>-1.2</v>
      </c>
    </row>
    <row r="157" spans="1:33" ht="51" x14ac:dyDescent="0.2">
      <c r="A157" s="52" t="s">
        <v>135</v>
      </c>
      <c r="B157" s="53">
        <v>45655</v>
      </c>
      <c r="C157" s="54"/>
      <c r="D157" s="54"/>
      <c r="E157" s="54"/>
      <c r="F157" s="54"/>
      <c r="G157" s="54"/>
      <c r="H157" s="54"/>
      <c r="I157" s="54"/>
      <c r="J157" s="55" t="s">
        <v>141</v>
      </c>
      <c r="K157" s="56"/>
      <c r="L157" s="52" t="s">
        <v>136</v>
      </c>
      <c r="M157" s="53">
        <v>45655</v>
      </c>
      <c r="N157" s="54"/>
      <c r="O157" s="54"/>
      <c r="P157" s="54"/>
      <c r="Q157" s="54"/>
      <c r="R157" s="54"/>
      <c r="S157" s="54"/>
      <c r="T157" s="54"/>
      <c r="U157" s="54"/>
      <c r="V157" s="54"/>
      <c r="W157" s="55" t="s">
        <v>141</v>
      </c>
      <c r="X157" s="57" t="s">
        <v>192</v>
      </c>
      <c r="Y157" s="58" t="s">
        <v>142</v>
      </c>
      <c r="Z157" s="59" t="s">
        <v>193</v>
      </c>
      <c r="AA157" s="60" t="s">
        <v>194</v>
      </c>
      <c r="AB157" s="57" t="s">
        <v>165</v>
      </c>
      <c r="AC157" s="55" t="s">
        <v>195</v>
      </c>
      <c r="AD157" s="55" t="s">
        <v>196</v>
      </c>
      <c r="AE157" s="57" t="s">
        <v>197</v>
      </c>
      <c r="AF157" s="55" t="s">
        <v>198</v>
      </c>
      <c r="AG157" s="61"/>
    </row>
    <row r="158" spans="1:33" ht="12.75" x14ac:dyDescent="0.2">
      <c r="A158" s="55" t="s">
        <v>199</v>
      </c>
      <c r="B158" s="62">
        <v>0.05</v>
      </c>
      <c r="C158" s="62">
        <v>0.1</v>
      </c>
      <c r="D158" s="62">
        <v>0.2</v>
      </c>
      <c r="E158" s="62">
        <v>0.5</v>
      </c>
      <c r="F158" s="62">
        <v>1</v>
      </c>
      <c r="G158" s="62">
        <v>2</v>
      </c>
      <c r="H158" s="62">
        <v>5</v>
      </c>
      <c r="I158" s="62">
        <v>10</v>
      </c>
      <c r="K158" s="56"/>
      <c r="L158" s="55" t="s">
        <v>199</v>
      </c>
      <c r="M158" s="62">
        <v>0.05</v>
      </c>
      <c r="N158" s="62">
        <v>0.1</v>
      </c>
      <c r="O158" s="62">
        <v>0.2</v>
      </c>
      <c r="P158" s="62">
        <v>0.5</v>
      </c>
      <c r="Q158" s="62">
        <v>1</v>
      </c>
      <c r="R158" s="62">
        <v>2</v>
      </c>
      <c r="S158" s="62">
        <v>5</v>
      </c>
      <c r="T158" s="62">
        <v>10</v>
      </c>
      <c r="U158" s="62">
        <v>20</v>
      </c>
      <c r="V158" s="62">
        <v>50</v>
      </c>
      <c r="W158" s="54"/>
      <c r="X158" s="54"/>
      <c r="Z158" s="63"/>
      <c r="AA158" s="64"/>
      <c r="AB158" s="54"/>
      <c r="AC158" s="54"/>
      <c r="AD158" s="54"/>
      <c r="AE158" s="54"/>
      <c r="AF158" s="54"/>
    </row>
    <row r="159" spans="1:33" ht="12.75" x14ac:dyDescent="0.2">
      <c r="A159" s="55" t="s">
        <v>200</v>
      </c>
      <c r="B159" s="38">
        <v>85</v>
      </c>
      <c r="C159" s="65">
        <v>15</v>
      </c>
      <c r="D159" s="65">
        <v>5</v>
      </c>
      <c r="E159" s="65">
        <v>14</v>
      </c>
      <c r="F159" s="65">
        <v>4</v>
      </c>
      <c r="G159" s="65">
        <v>3</v>
      </c>
      <c r="H159" s="65">
        <v>3</v>
      </c>
      <c r="I159" s="65"/>
      <c r="J159" s="54"/>
      <c r="K159" s="56"/>
      <c r="L159" s="55" t="s">
        <v>200</v>
      </c>
      <c r="M159" s="38">
        <v>89</v>
      </c>
      <c r="N159" s="65">
        <v>13</v>
      </c>
      <c r="O159" s="65">
        <v>13</v>
      </c>
      <c r="P159" s="65">
        <v>13</v>
      </c>
      <c r="Q159" s="65">
        <v>6</v>
      </c>
      <c r="R159" s="65">
        <v>5</v>
      </c>
      <c r="S159" s="65">
        <v>6</v>
      </c>
      <c r="T159" s="65">
        <v>1</v>
      </c>
      <c r="U159" s="65">
        <v>3</v>
      </c>
      <c r="V159" s="65"/>
      <c r="W159" s="65"/>
      <c r="X159" s="54"/>
      <c r="Z159" s="63"/>
      <c r="AA159" s="64"/>
      <c r="AB159" s="54"/>
      <c r="AC159" s="54"/>
      <c r="AD159" s="54"/>
      <c r="AE159" s="54"/>
      <c r="AF159" s="54"/>
    </row>
    <row r="160" spans="1:33" ht="12.75" x14ac:dyDescent="0.2">
      <c r="A160" s="55" t="s">
        <v>141</v>
      </c>
      <c r="B160" s="65">
        <f t="shared" ref="B160:I160" si="52">B159*B158</f>
        <v>4.25</v>
      </c>
      <c r="C160" s="65">
        <f t="shared" si="52"/>
        <v>1.5</v>
      </c>
      <c r="D160" s="65">
        <f t="shared" si="52"/>
        <v>1</v>
      </c>
      <c r="E160" s="65">
        <f t="shared" si="52"/>
        <v>7</v>
      </c>
      <c r="F160" s="65">
        <f t="shared" si="52"/>
        <v>4</v>
      </c>
      <c r="G160" s="65">
        <f t="shared" si="52"/>
        <v>6</v>
      </c>
      <c r="H160" s="65">
        <f t="shared" si="52"/>
        <v>15</v>
      </c>
      <c r="I160" s="65">
        <f t="shared" si="52"/>
        <v>0</v>
      </c>
      <c r="J160" s="54">
        <f>SUM(B160:I160)</f>
        <v>38.75</v>
      </c>
      <c r="K160" s="56"/>
      <c r="L160" s="55" t="s">
        <v>141</v>
      </c>
      <c r="M160" s="70">
        <f t="shared" ref="M160:V160" si="53">M159*M158</f>
        <v>4.45</v>
      </c>
      <c r="N160" s="70">
        <f t="shared" si="53"/>
        <v>1.3</v>
      </c>
      <c r="O160" s="70">
        <f t="shared" si="53"/>
        <v>2.6</v>
      </c>
      <c r="P160" s="70">
        <f t="shared" si="53"/>
        <v>6.5</v>
      </c>
      <c r="Q160" s="70">
        <f t="shared" si="53"/>
        <v>6</v>
      </c>
      <c r="R160" s="70">
        <f t="shared" si="53"/>
        <v>10</v>
      </c>
      <c r="S160" s="70">
        <f t="shared" si="53"/>
        <v>30</v>
      </c>
      <c r="T160" s="70">
        <f t="shared" si="53"/>
        <v>10</v>
      </c>
      <c r="U160" s="70">
        <f t="shared" si="53"/>
        <v>60</v>
      </c>
      <c r="V160" s="70">
        <f t="shared" si="53"/>
        <v>0</v>
      </c>
      <c r="W160" s="54">
        <f>SUM(M160:V160)</f>
        <v>130.85</v>
      </c>
      <c r="X160" s="55">
        <f>W160-J160</f>
        <v>92.1</v>
      </c>
      <c r="Y160" s="63">
        <v>15.5</v>
      </c>
      <c r="Z160" s="63">
        <v>32.9</v>
      </c>
      <c r="AA160" s="66">
        <f>X160+Z160</f>
        <v>125</v>
      </c>
      <c r="AB160" s="55">
        <v>15.5</v>
      </c>
      <c r="AC160" s="55">
        <f>Y160-AB160</f>
        <v>0</v>
      </c>
      <c r="AD160" s="55">
        <f>X160-Y160</f>
        <v>76.599999999999994</v>
      </c>
      <c r="AE160" s="55">
        <v>0</v>
      </c>
      <c r="AF160" s="55">
        <f>AD160-AE160</f>
        <v>76.599999999999994</v>
      </c>
      <c r="AG160" s="61"/>
    </row>
    <row r="163" spans="1:33" ht="51" x14ac:dyDescent="0.2">
      <c r="A163" s="52" t="s">
        <v>135</v>
      </c>
      <c r="B163" s="53">
        <v>45656</v>
      </c>
      <c r="C163" s="54"/>
      <c r="D163" s="54"/>
      <c r="E163" s="54"/>
      <c r="F163" s="54"/>
      <c r="G163" s="54"/>
      <c r="H163" s="54"/>
      <c r="I163" s="54"/>
      <c r="J163" s="55" t="s">
        <v>141</v>
      </c>
      <c r="K163" s="56"/>
      <c r="L163" s="52" t="s">
        <v>136</v>
      </c>
      <c r="M163" s="53">
        <v>45656</v>
      </c>
      <c r="N163" s="54"/>
      <c r="O163" s="54"/>
      <c r="P163" s="54"/>
      <c r="Q163" s="54"/>
      <c r="R163" s="54"/>
      <c r="S163" s="54"/>
      <c r="T163" s="54"/>
      <c r="U163" s="54"/>
      <c r="V163" s="54"/>
      <c r="W163" s="55" t="s">
        <v>141</v>
      </c>
      <c r="X163" s="57" t="s">
        <v>192</v>
      </c>
      <c r="Y163" s="58" t="s">
        <v>142</v>
      </c>
      <c r="Z163" s="59" t="s">
        <v>193</v>
      </c>
      <c r="AA163" s="60" t="s">
        <v>194</v>
      </c>
      <c r="AB163" s="57" t="s">
        <v>165</v>
      </c>
      <c r="AC163" s="55" t="s">
        <v>195</v>
      </c>
      <c r="AD163" s="55" t="s">
        <v>196</v>
      </c>
      <c r="AE163" s="57" t="s">
        <v>197</v>
      </c>
      <c r="AF163" s="55" t="s">
        <v>198</v>
      </c>
      <c r="AG163" s="61"/>
    </row>
    <row r="164" spans="1:33" ht="12.75" x14ac:dyDescent="0.2">
      <c r="A164" s="55" t="s">
        <v>199</v>
      </c>
      <c r="B164" s="62">
        <v>0.05</v>
      </c>
      <c r="C164" s="62">
        <v>0.1</v>
      </c>
      <c r="D164" s="62">
        <v>0.2</v>
      </c>
      <c r="E164" s="62">
        <v>0.5</v>
      </c>
      <c r="F164" s="62">
        <v>1</v>
      </c>
      <c r="G164" s="62">
        <v>2</v>
      </c>
      <c r="H164" s="62">
        <v>5</v>
      </c>
      <c r="I164" s="62">
        <v>10</v>
      </c>
      <c r="K164" s="56"/>
      <c r="L164" s="55" t="s">
        <v>199</v>
      </c>
      <c r="M164" s="62">
        <v>0.05</v>
      </c>
      <c r="N164" s="62">
        <v>0.1</v>
      </c>
      <c r="O164" s="62">
        <v>0.2</v>
      </c>
      <c r="P164" s="62">
        <v>0.5</v>
      </c>
      <c r="Q164" s="62">
        <v>1</v>
      </c>
      <c r="R164" s="62">
        <v>2</v>
      </c>
      <c r="S164" s="62">
        <v>5</v>
      </c>
      <c r="T164" s="62">
        <v>10</v>
      </c>
      <c r="U164" s="62">
        <v>20</v>
      </c>
      <c r="V164" s="62">
        <v>50</v>
      </c>
      <c r="W164" s="54"/>
      <c r="X164" s="54"/>
      <c r="Z164" s="63"/>
      <c r="AA164" s="64"/>
      <c r="AB164" s="54"/>
      <c r="AC164" s="54"/>
      <c r="AD164" s="54"/>
      <c r="AE164" s="54"/>
      <c r="AF164" s="54"/>
    </row>
    <row r="165" spans="1:33" ht="12.75" x14ac:dyDescent="0.2">
      <c r="A165" s="55" t="s">
        <v>200</v>
      </c>
      <c r="B165" s="38">
        <v>89</v>
      </c>
      <c r="C165" s="65">
        <v>13</v>
      </c>
      <c r="D165" s="65">
        <v>13</v>
      </c>
      <c r="E165" s="65">
        <v>13</v>
      </c>
      <c r="F165" s="65">
        <v>6</v>
      </c>
      <c r="G165" s="65">
        <v>5</v>
      </c>
      <c r="H165" s="65">
        <v>2</v>
      </c>
      <c r="I165" s="65"/>
      <c r="J165" s="54"/>
      <c r="K165" s="56"/>
      <c r="L165" s="55" t="s">
        <v>200</v>
      </c>
      <c r="M165" s="38">
        <v>90</v>
      </c>
      <c r="N165" s="65">
        <v>29</v>
      </c>
      <c r="O165" s="65">
        <v>10</v>
      </c>
      <c r="P165" s="65">
        <v>7</v>
      </c>
      <c r="Q165" s="65">
        <v>12</v>
      </c>
      <c r="R165" s="65">
        <v>7</v>
      </c>
      <c r="S165" s="65">
        <v>3</v>
      </c>
      <c r="T165" s="65">
        <v>3</v>
      </c>
      <c r="U165" s="65">
        <v>4</v>
      </c>
      <c r="V165" s="65">
        <v>6</v>
      </c>
      <c r="W165" s="65"/>
      <c r="X165" s="54"/>
      <c r="Z165" s="63"/>
      <c r="AA165" s="64"/>
      <c r="AB165" s="54"/>
      <c r="AC165" s="54"/>
      <c r="AD165" s="54"/>
      <c r="AE165" s="54"/>
      <c r="AF165" s="54"/>
    </row>
    <row r="166" spans="1:33" ht="12.75" x14ac:dyDescent="0.2">
      <c r="A166" s="55" t="s">
        <v>141</v>
      </c>
      <c r="B166" s="65">
        <f t="shared" ref="B166:I166" si="54">B165*B164</f>
        <v>4.45</v>
      </c>
      <c r="C166" s="65">
        <f t="shared" si="54"/>
        <v>1.3</v>
      </c>
      <c r="D166" s="65">
        <f t="shared" si="54"/>
        <v>2.6</v>
      </c>
      <c r="E166" s="65">
        <f t="shared" si="54"/>
        <v>6.5</v>
      </c>
      <c r="F166" s="65">
        <f t="shared" si="54"/>
        <v>6</v>
      </c>
      <c r="G166" s="65">
        <f t="shared" si="54"/>
        <v>10</v>
      </c>
      <c r="H166" s="65">
        <f t="shared" si="54"/>
        <v>10</v>
      </c>
      <c r="I166" s="65">
        <f t="shared" si="54"/>
        <v>0</v>
      </c>
      <c r="J166" s="54">
        <f>SUM(B166:I166)</f>
        <v>40.85</v>
      </c>
      <c r="K166" s="56"/>
      <c r="L166" s="55" t="s">
        <v>141</v>
      </c>
      <c r="M166" s="70">
        <f t="shared" ref="M166:V166" si="55">M165*M164</f>
        <v>4.5</v>
      </c>
      <c r="N166" s="70">
        <f t="shared" si="55"/>
        <v>2.9000000000000004</v>
      </c>
      <c r="O166" s="70">
        <f t="shared" si="55"/>
        <v>2</v>
      </c>
      <c r="P166" s="70">
        <f t="shared" si="55"/>
        <v>3.5</v>
      </c>
      <c r="Q166" s="70">
        <f t="shared" si="55"/>
        <v>12</v>
      </c>
      <c r="R166" s="70">
        <f t="shared" si="55"/>
        <v>14</v>
      </c>
      <c r="S166" s="70">
        <f t="shared" si="55"/>
        <v>15</v>
      </c>
      <c r="T166" s="70">
        <f t="shared" si="55"/>
        <v>30</v>
      </c>
      <c r="U166" s="70">
        <f t="shared" si="55"/>
        <v>80</v>
      </c>
      <c r="V166" s="70">
        <f t="shared" si="55"/>
        <v>300</v>
      </c>
      <c r="W166" s="54">
        <f>SUM(M166:V166)</f>
        <v>463.9</v>
      </c>
      <c r="X166" s="55">
        <f>W166-J166</f>
        <v>423.04999999999995</v>
      </c>
      <c r="Y166" s="63">
        <v>116.9</v>
      </c>
      <c r="Z166" s="63">
        <v>20.399999999999999</v>
      </c>
      <c r="AA166" s="66">
        <f>X166+Z166</f>
        <v>443.44999999999993</v>
      </c>
      <c r="AB166" s="55">
        <f>SUM(Y166+Z166)*0.3</f>
        <v>41.190000000000005</v>
      </c>
      <c r="AC166" s="55">
        <f>Y166-AB166</f>
        <v>75.710000000000008</v>
      </c>
      <c r="AD166" s="55">
        <f>X166-Y166</f>
        <v>306.14999999999998</v>
      </c>
      <c r="AE166" s="55">
        <v>51</v>
      </c>
      <c r="AF166" s="55">
        <f>AD166-AE166</f>
        <v>255.14999999999998</v>
      </c>
      <c r="AG166" s="61"/>
    </row>
    <row r="167" spans="1:33" ht="12.75" x14ac:dyDescent="0.2">
      <c r="AF167" s="38">
        <v>-100</v>
      </c>
    </row>
    <row r="169" spans="1:33" ht="51" x14ac:dyDescent="0.2">
      <c r="A169" s="52" t="s">
        <v>135</v>
      </c>
      <c r="B169" s="53">
        <v>45657</v>
      </c>
      <c r="C169" s="54"/>
      <c r="D169" s="54"/>
      <c r="E169" s="54"/>
      <c r="F169" s="54"/>
      <c r="G169" s="54"/>
      <c r="H169" s="54"/>
      <c r="I169" s="54"/>
      <c r="J169" s="55" t="s">
        <v>141</v>
      </c>
      <c r="K169" s="56"/>
      <c r="L169" s="52" t="s">
        <v>136</v>
      </c>
      <c r="M169" s="53">
        <v>45657</v>
      </c>
      <c r="N169" s="54"/>
      <c r="O169" s="54"/>
      <c r="P169" s="54"/>
      <c r="Q169" s="54"/>
      <c r="R169" s="54"/>
      <c r="S169" s="54"/>
      <c r="T169" s="54"/>
      <c r="U169" s="54"/>
      <c r="V169" s="54"/>
      <c r="W169" s="55" t="s">
        <v>141</v>
      </c>
      <c r="X169" s="57" t="s">
        <v>192</v>
      </c>
      <c r="Y169" s="58" t="s">
        <v>142</v>
      </c>
      <c r="Z169" s="59" t="s">
        <v>193</v>
      </c>
      <c r="AA169" s="60" t="s">
        <v>194</v>
      </c>
      <c r="AB169" s="57" t="s">
        <v>165</v>
      </c>
      <c r="AC169" s="55" t="s">
        <v>195</v>
      </c>
      <c r="AD169" s="55" t="s">
        <v>196</v>
      </c>
      <c r="AE169" s="57" t="s">
        <v>197</v>
      </c>
      <c r="AF169" s="55" t="s">
        <v>198</v>
      </c>
      <c r="AG169" s="61"/>
    </row>
    <row r="170" spans="1:33" ht="12.75" x14ac:dyDescent="0.2">
      <c r="A170" s="55" t="s">
        <v>199</v>
      </c>
      <c r="B170" s="62">
        <v>0.05</v>
      </c>
      <c r="C170" s="62">
        <v>0.1</v>
      </c>
      <c r="D170" s="62">
        <v>0.2</v>
      </c>
      <c r="E170" s="62">
        <v>0.5</v>
      </c>
      <c r="F170" s="62">
        <v>1</v>
      </c>
      <c r="G170" s="62">
        <v>2</v>
      </c>
      <c r="H170" s="62">
        <v>5</v>
      </c>
      <c r="I170" s="62">
        <v>10</v>
      </c>
      <c r="K170" s="56"/>
      <c r="L170" s="55" t="s">
        <v>199</v>
      </c>
      <c r="M170" s="62">
        <v>0.05</v>
      </c>
      <c r="N170" s="62">
        <v>0.1</v>
      </c>
      <c r="O170" s="62">
        <v>0.2</v>
      </c>
      <c r="P170" s="62">
        <v>0.5</v>
      </c>
      <c r="Q170" s="62">
        <v>1</v>
      </c>
      <c r="R170" s="62">
        <v>2</v>
      </c>
      <c r="S170" s="62">
        <v>5</v>
      </c>
      <c r="T170" s="62">
        <v>10</v>
      </c>
      <c r="U170" s="62">
        <v>20</v>
      </c>
      <c r="V170" s="62">
        <v>50</v>
      </c>
      <c r="W170" s="54"/>
      <c r="X170" s="54"/>
      <c r="Z170" s="63"/>
      <c r="AA170" s="64"/>
      <c r="AB170" s="54"/>
      <c r="AC170" s="54"/>
      <c r="AD170" s="54"/>
      <c r="AE170" s="54"/>
      <c r="AF170" s="54"/>
    </row>
    <row r="171" spans="1:33" ht="12.75" x14ac:dyDescent="0.2">
      <c r="A171" s="55" t="s">
        <v>200</v>
      </c>
      <c r="B171" s="38">
        <v>90</v>
      </c>
      <c r="C171" s="65">
        <v>29</v>
      </c>
      <c r="D171" s="65">
        <v>10</v>
      </c>
      <c r="E171" s="65">
        <v>7</v>
      </c>
      <c r="F171" s="65">
        <v>8</v>
      </c>
      <c r="G171" s="65">
        <v>5</v>
      </c>
      <c r="H171" s="65">
        <v>2</v>
      </c>
      <c r="I171" s="65"/>
      <c r="J171" s="54"/>
      <c r="K171" s="56"/>
      <c r="L171" s="55" t="s">
        <v>200</v>
      </c>
      <c r="M171" s="38">
        <v>90</v>
      </c>
      <c r="N171" s="65">
        <v>16</v>
      </c>
      <c r="O171" s="65">
        <v>2</v>
      </c>
      <c r="P171" s="65">
        <v>7</v>
      </c>
      <c r="Q171" s="65">
        <v>10</v>
      </c>
      <c r="R171" s="65">
        <v>8</v>
      </c>
      <c r="S171" s="65">
        <v>11</v>
      </c>
      <c r="T171" s="65">
        <v>2</v>
      </c>
      <c r="U171" s="65">
        <v>6</v>
      </c>
      <c r="V171" s="65">
        <v>1</v>
      </c>
      <c r="W171" s="65"/>
      <c r="X171" s="54"/>
      <c r="Z171" s="63"/>
      <c r="AA171" s="64"/>
      <c r="AB171" s="54"/>
      <c r="AC171" s="54"/>
      <c r="AD171" s="54"/>
      <c r="AE171" s="54"/>
      <c r="AF171" s="54"/>
    </row>
    <row r="172" spans="1:33" ht="12.75" x14ac:dyDescent="0.2">
      <c r="A172" s="55" t="s">
        <v>141</v>
      </c>
      <c r="B172" s="65">
        <f t="shared" ref="B172:I172" si="56">B171*B170</f>
        <v>4.5</v>
      </c>
      <c r="C172" s="65">
        <f t="shared" si="56"/>
        <v>2.9000000000000004</v>
      </c>
      <c r="D172" s="65">
        <f t="shared" si="56"/>
        <v>2</v>
      </c>
      <c r="E172" s="65">
        <f t="shared" si="56"/>
        <v>3.5</v>
      </c>
      <c r="F172" s="65">
        <f t="shared" si="56"/>
        <v>8</v>
      </c>
      <c r="G172" s="65">
        <f t="shared" si="56"/>
        <v>10</v>
      </c>
      <c r="H172" s="65">
        <f t="shared" si="56"/>
        <v>10</v>
      </c>
      <c r="I172" s="65">
        <f t="shared" si="56"/>
        <v>0</v>
      </c>
      <c r="J172" s="54">
        <f>SUM(B172:I172)</f>
        <v>40.9</v>
      </c>
      <c r="K172" s="56"/>
      <c r="L172" s="55" t="s">
        <v>141</v>
      </c>
      <c r="M172" s="70">
        <f t="shared" ref="M172:V172" si="57">M171*M170</f>
        <v>4.5</v>
      </c>
      <c r="N172" s="70">
        <f t="shared" si="57"/>
        <v>1.6</v>
      </c>
      <c r="O172" s="70">
        <f t="shared" si="57"/>
        <v>0.4</v>
      </c>
      <c r="P172" s="70">
        <f t="shared" si="57"/>
        <v>3.5</v>
      </c>
      <c r="Q172" s="70">
        <f t="shared" si="57"/>
        <v>10</v>
      </c>
      <c r="R172" s="70">
        <f t="shared" si="57"/>
        <v>16</v>
      </c>
      <c r="S172" s="70">
        <f t="shared" si="57"/>
        <v>55</v>
      </c>
      <c r="T172" s="70">
        <f t="shared" si="57"/>
        <v>20</v>
      </c>
      <c r="U172" s="70">
        <f t="shared" si="57"/>
        <v>120</v>
      </c>
      <c r="V172" s="70">
        <f t="shared" si="57"/>
        <v>50</v>
      </c>
      <c r="W172" s="54">
        <f>SUM(M172:V172)</f>
        <v>281</v>
      </c>
      <c r="X172" s="55">
        <f>W172-J172</f>
        <v>240.1</v>
      </c>
      <c r="Y172" s="63">
        <v>108.2</v>
      </c>
      <c r="Z172" s="63">
        <v>19</v>
      </c>
      <c r="AA172" s="66">
        <f>X172+Z172</f>
        <v>259.10000000000002</v>
      </c>
      <c r="AB172" s="55">
        <v>43</v>
      </c>
      <c r="AC172" s="55">
        <f>Y172-AB172</f>
        <v>65.2</v>
      </c>
      <c r="AD172" s="55">
        <f>X172-Y172</f>
        <v>131.89999999999998</v>
      </c>
      <c r="AE172" s="55"/>
      <c r="AF172" s="55">
        <f>AD172-AE172</f>
        <v>131.89999999999998</v>
      </c>
      <c r="AG172" s="61"/>
    </row>
    <row r="175" spans="1:33" ht="12.75" x14ac:dyDescent="0.2">
      <c r="AF175" s="38">
        <f>SUM(AF1:AF174)</f>
        <v>3799.6200000000003</v>
      </c>
    </row>
    <row r="177" spans="24:33" ht="15.75" customHeight="1" x14ac:dyDescent="0.25">
      <c r="X177" s="68" t="s">
        <v>208</v>
      </c>
      <c r="Y177" s="69">
        <f t="shared" ref="Y177:AE177" si="58">SUM(Y3:Y176)</f>
        <v>2503.9499999999998</v>
      </c>
      <c r="Z177" s="69">
        <f t="shared" si="58"/>
        <v>1420.8000000000004</v>
      </c>
      <c r="AA177" s="69">
        <f t="shared" si="58"/>
        <v>8796.2999999999993</v>
      </c>
      <c r="AB177" s="69">
        <f t="shared" si="58"/>
        <v>1327.46</v>
      </c>
      <c r="AC177" s="69">
        <f t="shared" si="58"/>
        <v>1122.49</v>
      </c>
      <c r="AD177" s="69">
        <f t="shared" si="58"/>
        <v>4871.55</v>
      </c>
      <c r="AE177" s="69">
        <f t="shared" si="58"/>
        <v>875.93</v>
      </c>
      <c r="AF177" s="69">
        <f>SUM(AF3:AF174)</f>
        <v>3799.6200000000003</v>
      </c>
    </row>
    <row r="178" spans="24:33" ht="12.75" x14ac:dyDescent="0.2">
      <c r="AG178" s="38" t="s">
        <v>228</v>
      </c>
    </row>
    <row r="179" spans="24:33" ht="12.75" x14ac:dyDescent="0.2">
      <c r="AE179" s="38" t="s">
        <v>156</v>
      </c>
      <c r="AF179" s="38">
        <v>-130</v>
      </c>
    </row>
    <row r="180" spans="24:33" ht="12.75" x14ac:dyDescent="0.2">
      <c r="AE180" s="38" t="s">
        <v>221</v>
      </c>
      <c r="AF180" s="38">
        <v>-900</v>
      </c>
      <c r="AG180" s="38">
        <v>50</v>
      </c>
    </row>
    <row r="181" spans="24:33" ht="12.75" x14ac:dyDescent="0.2">
      <c r="AE181" s="38" t="s">
        <v>211</v>
      </c>
      <c r="AF181" s="38">
        <v>-900</v>
      </c>
      <c r="AG181" s="38">
        <v>50</v>
      </c>
    </row>
    <row r="182" spans="24:33" ht="12.75" x14ac:dyDescent="0.2">
      <c r="AE182" s="38" t="s">
        <v>222</v>
      </c>
      <c r="AF182" s="38">
        <v>-700</v>
      </c>
    </row>
    <row r="183" spans="24:33" ht="12.75" x14ac:dyDescent="0.2">
      <c r="AE183" s="38" t="s">
        <v>229</v>
      </c>
      <c r="AF183" s="38">
        <v>-600</v>
      </c>
      <c r="AG183" s="38" t="s">
        <v>230</v>
      </c>
    </row>
    <row r="184" spans="24:33" ht="38.25" x14ac:dyDescent="0.2">
      <c r="AE184" s="71" t="s">
        <v>231</v>
      </c>
      <c r="AF184" s="38">
        <v>-305</v>
      </c>
    </row>
    <row r="185" spans="24:33" ht="12.75" x14ac:dyDescent="0.2">
      <c r="AE185" s="38" t="s">
        <v>232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H978"/>
  <sheetViews>
    <sheetView workbookViewId="0">
      <selection activeCell="AH2" sqref="AH2"/>
    </sheetView>
  </sheetViews>
  <sheetFormatPr defaultColWidth="12.5703125" defaultRowHeight="15.75" customHeight="1" x14ac:dyDescent="0.2"/>
  <cols>
    <col min="1" max="1" width="8" customWidth="1"/>
    <col min="2" max="2" width="9.42578125" customWidth="1"/>
    <col min="3" max="8" width="4.28515625" customWidth="1"/>
    <col min="9" max="9" width="5.140625" customWidth="1"/>
    <col min="10" max="10" width="5.7109375" customWidth="1"/>
    <col min="11" max="11" width="3.7109375" customWidth="1"/>
    <col min="12" max="12" width="8.28515625" customWidth="1"/>
    <col min="13" max="13" width="9.42578125" customWidth="1"/>
    <col min="14" max="19" width="4.28515625" customWidth="1"/>
    <col min="20" max="22" width="5.140625" customWidth="1"/>
    <col min="23" max="23" width="6.140625" customWidth="1"/>
    <col min="24" max="24" width="8" customWidth="1"/>
    <col min="25" max="25" width="7.7109375" customWidth="1"/>
    <col min="26" max="26" width="5.140625" customWidth="1"/>
    <col min="27" max="27" width="7.85546875" customWidth="1"/>
    <col min="28" max="28" width="8" customWidth="1"/>
    <col min="29" max="29" width="5.85546875" customWidth="1"/>
    <col min="30" max="30" width="6.140625" customWidth="1"/>
    <col min="31" max="31" width="7.42578125" customWidth="1"/>
    <col min="32" max="32" width="6.5703125" customWidth="1"/>
  </cols>
  <sheetData>
    <row r="1" spans="1:34" ht="12.75" x14ac:dyDescent="0.2">
      <c r="A1" s="72"/>
      <c r="B1" s="39"/>
      <c r="J1" s="61"/>
      <c r="K1" s="56"/>
      <c r="L1" s="72"/>
      <c r="M1" s="39"/>
      <c r="W1" s="61"/>
      <c r="X1" s="73"/>
      <c r="Y1" s="74"/>
      <c r="Z1" s="75"/>
      <c r="AA1" s="76"/>
      <c r="AB1" s="73"/>
      <c r="AC1" s="61"/>
      <c r="AD1" s="61"/>
      <c r="AE1" s="73"/>
      <c r="AF1" s="61"/>
      <c r="AG1" s="61"/>
      <c r="AH1" s="61"/>
    </row>
    <row r="2" spans="1:34" ht="51" x14ac:dyDescent="0.2">
      <c r="A2" s="52" t="s">
        <v>135</v>
      </c>
      <c r="B2" s="53">
        <v>45659</v>
      </c>
      <c r="C2" s="54"/>
      <c r="D2" s="54"/>
      <c r="E2" s="54"/>
      <c r="F2" s="54"/>
      <c r="G2" s="54"/>
      <c r="H2" s="54"/>
      <c r="I2" s="54"/>
      <c r="J2" s="55" t="s">
        <v>141</v>
      </c>
      <c r="K2" s="56"/>
      <c r="L2" s="52" t="s">
        <v>136</v>
      </c>
      <c r="M2" s="53">
        <v>45659</v>
      </c>
      <c r="N2" s="54"/>
      <c r="O2" s="54"/>
      <c r="P2" s="54"/>
      <c r="Q2" s="54"/>
      <c r="R2" s="54"/>
      <c r="S2" s="54"/>
      <c r="T2" s="54"/>
      <c r="U2" s="54"/>
      <c r="V2" s="54"/>
      <c r="W2" s="55" t="s">
        <v>141</v>
      </c>
      <c r="X2" s="57" t="s">
        <v>192</v>
      </c>
      <c r="Y2" s="58" t="s">
        <v>142</v>
      </c>
      <c r="Z2" s="59" t="s">
        <v>193</v>
      </c>
      <c r="AA2" s="60" t="s">
        <v>194</v>
      </c>
      <c r="AB2" s="57" t="s">
        <v>165</v>
      </c>
      <c r="AC2" s="55" t="s">
        <v>195</v>
      </c>
      <c r="AD2" s="55" t="s">
        <v>196</v>
      </c>
      <c r="AE2" s="57" t="s">
        <v>197</v>
      </c>
      <c r="AF2" s="55" t="s">
        <v>198</v>
      </c>
      <c r="AG2" s="61"/>
      <c r="AH2" s="77" t="s">
        <v>233</v>
      </c>
    </row>
    <row r="3" spans="1:34" ht="12.75" x14ac:dyDescent="0.2">
      <c r="A3" s="55" t="s">
        <v>199</v>
      </c>
      <c r="B3" s="62">
        <v>0.05</v>
      </c>
      <c r="C3" s="62">
        <v>0.1</v>
      </c>
      <c r="D3" s="62">
        <v>0.2</v>
      </c>
      <c r="E3" s="62">
        <v>0.5</v>
      </c>
      <c r="F3" s="62">
        <v>1</v>
      </c>
      <c r="G3" s="62">
        <v>2</v>
      </c>
      <c r="H3" s="62">
        <v>5</v>
      </c>
      <c r="I3" s="62">
        <v>10</v>
      </c>
      <c r="K3" s="56"/>
      <c r="L3" s="55" t="s">
        <v>199</v>
      </c>
      <c r="M3" s="62">
        <v>0.05</v>
      </c>
      <c r="N3" s="62">
        <v>0.1</v>
      </c>
      <c r="O3" s="62">
        <v>0.2</v>
      </c>
      <c r="P3" s="62">
        <v>0.5</v>
      </c>
      <c r="Q3" s="62">
        <v>1</v>
      </c>
      <c r="R3" s="62">
        <v>2</v>
      </c>
      <c r="S3" s="62">
        <v>5</v>
      </c>
      <c r="T3" s="62">
        <v>10</v>
      </c>
      <c r="U3" s="62">
        <v>20</v>
      </c>
      <c r="V3" s="62">
        <v>50</v>
      </c>
      <c r="W3" s="54"/>
      <c r="X3" s="54"/>
      <c r="Z3" s="63"/>
      <c r="AA3" s="64"/>
      <c r="AB3" s="54"/>
      <c r="AC3" s="54"/>
      <c r="AD3" s="54"/>
      <c r="AE3" s="54"/>
      <c r="AF3" s="54"/>
      <c r="AH3" s="41"/>
    </row>
    <row r="4" spans="1:34" ht="12.75" x14ac:dyDescent="0.2">
      <c r="A4" s="55" t="s">
        <v>200</v>
      </c>
      <c r="B4" s="38">
        <v>90</v>
      </c>
      <c r="C4" s="65">
        <v>16</v>
      </c>
      <c r="D4" s="65">
        <v>2</v>
      </c>
      <c r="E4" s="65">
        <v>7</v>
      </c>
      <c r="F4" s="65">
        <v>8</v>
      </c>
      <c r="G4" s="65">
        <v>6</v>
      </c>
      <c r="H4" s="65">
        <v>2</v>
      </c>
      <c r="I4" s="65"/>
      <c r="J4" s="54"/>
      <c r="K4" s="56"/>
      <c r="L4" s="55" t="s">
        <v>200</v>
      </c>
      <c r="M4" s="38">
        <v>91</v>
      </c>
      <c r="N4" s="65">
        <v>13</v>
      </c>
      <c r="O4" s="65">
        <v>13</v>
      </c>
      <c r="P4" s="65">
        <v>11</v>
      </c>
      <c r="Q4" s="65">
        <v>6</v>
      </c>
      <c r="R4" s="65">
        <v>3</v>
      </c>
      <c r="S4" s="65">
        <v>5</v>
      </c>
      <c r="T4" s="65">
        <v>1</v>
      </c>
      <c r="U4" s="65">
        <v>8</v>
      </c>
      <c r="V4" s="65">
        <v>3</v>
      </c>
      <c r="W4" s="65"/>
      <c r="X4" s="54"/>
      <c r="Z4" s="63"/>
      <c r="AA4" s="64"/>
      <c r="AB4" s="54"/>
      <c r="AC4" s="54"/>
      <c r="AD4" s="54"/>
      <c r="AE4" s="54"/>
      <c r="AF4" s="54"/>
      <c r="AH4" s="41"/>
    </row>
    <row r="5" spans="1:34" ht="12.75" x14ac:dyDescent="0.2">
      <c r="A5" s="55" t="s">
        <v>141</v>
      </c>
      <c r="B5" s="65">
        <f t="shared" ref="B5:I5" si="0">B4*B3</f>
        <v>4.5</v>
      </c>
      <c r="C5" s="65">
        <f t="shared" si="0"/>
        <v>1.6</v>
      </c>
      <c r="D5" s="65">
        <f t="shared" si="0"/>
        <v>0.4</v>
      </c>
      <c r="E5" s="65">
        <f t="shared" si="0"/>
        <v>3.5</v>
      </c>
      <c r="F5" s="65">
        <f t="shared" si="0"/>
        <v>8</v>
      </c>
      <c r="G5" s="65">
        <f t="shared" si="0"/>
        <v>12</v>
      </c>
      <c r="H5" s="65">
        <f t="shared" si="0"/>
        <v>10</v>
      </c>
      <c r="I5" s="65">
        <f t="shared" si="0"/>
        <v>0</v>
      </c>
      <c r="J5" s="54">
        <f>SUM(B5:I5)</f>
        <v>40</v>
      </c>
      <c r="K5" s="56"/>
      <c r="L5" s="55" t="s">
        <v>141</v>
      </c>
      <c r="M5" s="70">
        <f t="shared" ref="M5:V5" si="1">M4*M3</f>
        <v>4.55</v>
      </c>
      <c r="N5" s="70">
        <f t="shared" si="1"/>
        <v>1.3</v>
      </c>
      <c r="O5" s="70">
        <f t="shared" si="1"/>
        <v>2.6</v>
      </c>
      <c r="P5" s="70">
        <f t="shared" si="1"/>
        <v>5.5</v>
      </c>
      <c r="Q5" s="70">
        <f t="shared" si="1"/>
        <v>6</v>
      </c>
      <c r="R5" s="70">
        <f t="shared" si="1"/>
        <v>6</v>
      </c>
      <c r="S5" s="70">
        <f t="shared" si="1"/>
        <v>25</v>
      </c>
      <c r="T5" s="70">
        <f t="shared" si="1"/>
        <v>10</v>
      </c>
      <c r="U5" s="70">
        <f t="shared" si="1"/>
        <v>160</v>
      </c>
      <c r="V5" s="70">
        <f t="shared" si="1"/>
        <v>150</v>
      </c>
      <c r="W5" s="54">
        <f>SUM(M5:V5)</f>
        <v>370.95</v>
      </c>
      <c r="X5" s="55">
        <f>W5-J5</f>
        <v>330.95</v>
      </c>
      <c r="Y5" s="63">
        <v>149.80000000000001</v>
      </c>
      <c r="Z5" s="63">
        <v>24.1</v>
      </c>
      <c r="AA5" s="66">
        <f>X5+Z5</f>
        <v>355.05</v>
      </c>
      <c r="AB5" s="55">
        <v>90</v>
      </c>
      <c r="AC5" s="55">
        <f>Y5-AB5</f>
        <v>59.800000000000011</v>
      </c>
      <c r="AD5" s="55">
        <f>X5-Y5</f>
        <v>181.14999999999998</v>
      </c>
      <c r="AE5" s="55">
        <v>51.15</v>
      </c>
      <c r="AF5" s="55">
        <f>AD5-AE5</f>
        <v>129.99999999999997</v>
      </c>
      <c r="AG5" s="61"/>
      <c r="AH5" s="77">
        <f>(SUM(Y5:Z5)/(1+10/100))*(10/100)</f>
        <v>15.80909090909091</v>
      </c>
    </row>
    <row r="6" spans="1:34" ht="12.75" x14ac:dyDescent="0.2">
      <c r="AE6" s="38" t="s">
        <v>234</v>
      </c>
      <c r="AH6" s="41"/>
    </row>
    <row r="7" spans="1:34" ht="12.75" x14ac:dyDescent="0.2">
      <c r="AH7" s="41"/>
    </row>
    <row r="8" spans="1:34" ht="51" x14ac:dyDescent="0.2">
      <c r="A8" s="52" t="s">
        <v>135</v>
      </c>
      <c r="B8" s="53">
        <v>45660</v>
      </c>
      <c r="C8" s="54"/>
      <c r="D8" s="54"/>
      <c r="E8" s="54"/>
      <c r="F8" s="54"/>
      <c r="G8" s="54"/>
      <c r="H8" s="54"/>
      <c r="I8" s="54"/>
      <c r="J8" s="55" t="s">
        <v>141</v>
      </c>
      <c r="K8" s="56"/>
      <c r="L8" s="52" t="s">
        <v>136</v>
      </c>
      <c r="M8" s="53">
        <v>45660</v>
      </c>
      <c r="N8" s="54"/>
      <c r="O8" s="54"/>
      <c r="P8" s="54"/>
      <c r="Q8" s="54"/>
      <c r="R8" s="54"/>
      <c r="S8" s="54"/>
      <c r="T8" s="54"/>
      <c r="U8" s="54"/>
      <c r="V8" s="54"/>
      <c r="W8" s="55" t="s">
        <v>141</v>
      </c>
      <c r="X8" s="57" t="s">
        <v>192</v>
      </c>
      <c r="Y8" s="58" t="s">
        <v>142</v>
      </c>
      <c r="Z8" s="59" t="s">
        <v>193</v>
      </c>
      <c r="AA8" s="60" t="s">
        <v>194</v>
      </c>
      <c r="AB8" s="57" t="s">
        <v>165</v>
      </c>
      <c r="AC8" s="55" t="s">
        <v>195</v>
      </c>
      <c r="AD8" s="55" t="s">
        <v>196</v>
      </c>
      <c r="AE8" s="57" t="s">
        <v>197</v>
      </c>
      <c r="AF8" s="55" t="s">
        <v>198</v>
      </c>
      <c r="AG8" s="61"/>
      <c r="AH8" s="77"/>
    </row>
    <row r="9" spans="1:34" ht="12.75" x14ac:dyDescent="0.2">
      <c r="A9" s="55" t="s">
        <v>199</v>
      </c>
      <c r="B9" s="62">
        <v>0.05</v>
      </c>
      <c r="C9" s="62">
        <v>0.1</v>
      </c>
      <c r="D9" s="62">
        <v>0.2</v>
      </c>
      <c r="E9" s="62">
        <v>0.5</v>
      </c>
      <c r="F9" s="62">
        <v>1</v>
      </c>
      <c r="G9" s="62">
        <v>2</v>
      </c>
      <c r="H9" s="62">
        <v>5</v>
      </c>
      <c r="I9" s="62">
        <v>10</v>
      </c>
      <c r="K9" s="56"/>
      <c r="L9" s="55" t="s">
        <v>199</v>
      </c>
      <c r="M9" s="62">
        <v>0.05</v>
      </c>
      <c r="N9" s="62">
        <v>0.1</v>
      </c>
      <c r="O9" s="62">
        <v>0.2</v>
      </c>
      <c r="P9" s="62">
        <v>0.5</v>
      </c>
      <c r="Q9" s="62">
        <v>1</v>
      </c>
      <c r="R9" s="62">
        <v>2</v>
      </c>
      <c r="S9" s="62">
        <v>5</v>
      </c>
      <c r="T9" s="62">
        <v>10</v>
      </c>
      <c r="U9" s="62">
        <v>20</v>
      </c>
      <c r="V9" s="62">
        <v>50</v>
      </c>
      <c r="W9" s="54"/>
      <c r="X9" s="54"/>
      <c r="Z9" s="63"/>
      <c r="AA9" s="64"/>
      <c r="AB9" s="54"/>
      <c r="AC9" s="54"/>
      <c r="AD9" s="54"/>
      <c r="AE9" s="54"/>
      <c r="AF9" s="54"/>
      <c r="AH9" s="41"/>
    </row>
    <row r="10" spans="1:34" ht="12.75" x14ac:dyDescent="0.2">
      <c r="A10" s="55" t="s">
        <v>200</v>
      </c>
      <c r="B10" s="38">
        <v>91</v>
      </c>
      <c r="C10" s="65">
        <v>13</v>
      </c>
      <c r="D10" s="65">
        <v>13</v>
      </c>
      <c r="E10" s="65">
        <v>11</v>
      </c>
      <c r="F10" s="65">
        <v>7</v>
      </c>
      <c r="G10" s="65">
        <v>5</v>
      </c>
      <c r="H10" s="65">
        <v>2</v>
      </c>
      <c r="I10" s="65"/>
      <c r="J10" s="54"/>
      <c r="K10" s="56"/>
      <c r="L10" s="55" t="s">
        <v>200</v>
      </c>
      <c r="M10" s="38">
        <v>72</v>
      </c>
      <c r="N10" s="65">
        <v>15</v>
      </c>
      <c r="O10" s="65">
        <v>18</v>
      </c>
      <c r="P10" s="65">
        <v>11</v>
      </c>
      <c r="Q10" s="65">
        <v>10</v>
      </c>
      <c r="R10" s="65">
        <v>5</v>
      </c>
      <c r="S10" s="65">
        <v>3</v>
      </c>
      <c r="T10" s="65">
        <v>6</v>
      </c>
      <c r="U10" s="65">
        <v>11</v>
      </c>
      <c r="V10" s="65">
        <v>1</v>
      </c>
      <c r="W10" s="65"/>
      <c r="X10" s="54"/>
      <c r="Z10" s="63"/>
      <c r="AA10" s="64"/>
      <c r="AB10" s="54"/>
      <c r="AC10" s="54"/>
      <c r="AD10" s="54"/>
      <c r="AE10" s="54"/>
      <c r="AF10" s="54"/>
      <c r="AH10" s="41"/>
    </row>
    <row r="11" spans="1:34" ht="12.75" x14ac:dyDescent="0.2">
      <c r="A11" s="55" t="s">
        <v>141</v>
      </c>
      <c r="B11" s="65">
        <f t="shared" ref="B11:I11" si="2">B10*B9</f>
        <v>4.55</v>
      </c>
      <c r="C11" s="65">
        <f t="shared" si="2"/>
        <v>1.3</v>
      </c>
      <c r="D11" s="65">
        <f t="shared" si="2"/>
        <v>2.6</v>
      </c>
      <c r="E11" s="65">
        <f t="shared" si="2"/>
        <v>5.5</v>
      </c>
      <c r="F11" s="65">
        <f t="shared" si="2"/>
        <v>7</v>
      </c>
      <c r="G11" s="65">
        <f t="shared" si="2"/>
        <v>10</v>
      </c>
      <c r="H11" s="65">
        <f t="shared" si="2"/>
        <v>10</v>
      </c>
      <c r="I11" s="65">
        <f t="shared" si="2"/>
        <v>0</v>
      </c>
      <c r="J11" s="54">
        <f>SUM(B11:I11)</f>
        <v>40.950000000000003</v>
      </c>
      <c r="K11" s="56"/>
      <c r="L11" s="55" t="s">
        <v>141</v>
      </c>
      <c r="M11" s="70">
        <f t="shared" ref="M11:V11" si="3">M10*M9</f>
        <v>3.6</v>
      </c>
      <c r="N11" s="70">
        <f t="shared" si="3"/>
        <v>1.5</v>
      </c>
      <c r="O11" s="70">
        <f t="shared" si="3"/>
        <v>3.6</v>
      </c>
      <c r="P11" s="70">
        <f t="shared" si="3"/>
        <v>5.5</v>
      </c>
      <c r="Q11" s="70">
        <f t="shared" si="3"/>
        <v>10</v>
      </c>
      <c r="R11" s="70">
        <f t="shared" si="3"/>
        <v>10</v>
      </c>
      <c r="S11" s="70">
        <f t="shared" si="3"/>
        <v>15</v>
      </c>
      <c r="T11" s="70">
        <f t="shared" si="3"/>
        <v>60</v>
      </c>
      <c r="U11" s="70">
        <f t="shared" si="3"/>
        <v>220</v>
      </c>
      <c r="V11" s="70">
        <f t="shared" si="3"/>
        <v>50</v>
      </c>
      <c r="W11" s="54">
        <f>SUM(M11:V11)</f>
        <v>379.2</v>
      </c>
      <c r="X11" s="55">
        <f>W11-J11</f>
        <v>338.25</v>
      </c>
      <c r="Y11" s="63">
        <v>147.5</v>
      </c>
      <c r="Z11" s="63">
        <v>231.3</v>
      </c>
      <c r="AA11" s="66">
        <f>X11+Z11</f>
        <v>569.54999999999995</v>
      </c>
      <c r="AB11" s="55">
        <v>100</v>
      </c>
      <c r="AC11" s="55">
        <f>Y11-AB11</f>
        <v>47.5</v>
      </c>
      <c r="AD11" s="55">
        <f>X11-Y11</f>
        <v>190.75</v>
      </c>
      <c r="AE11" s="55">
        <v>50</v>
      </c>
      <c r="AF11" s="55">
        <f>AD11-AE11</f>
        <v>140.75</v>
      </c>
      <c r="AG11" s="61"/>
      <c r="AH11" s="77">
        <f>(SUM(Y11:Z11)/(1+10/100))*(10/100)</f>
        <v>34.436363636363637</v>
      </c>
    </row>
    <row r="12" spans="1:34" ht="12.75" x14ac:dyDescent="0.2">
      <c r="AB12" s="38" t="s">
        <v>218</v>
      </c>
      <c r="AC12" s="38">
        <v>-17.5</v>
      </c>
      <c r="AF12" s="38">
        <v>-50</v>
      </c>
      <c r="AH12" s="41"/>
    </row>
    <row r="13" spans="1:34" ht="12.75" x14ac:dyDescent="0.2">
      <c r="AH13" s="41"/>
    </row>
    <row r="14" spans="1:34" ht="51" x14ac:dyDescent="0.2">
      <c r="A14" s="52" t="s">
        <v>135</v>
      </c>
      <c r="B14" s="53">
        <v>45661</v>
      </c>
      <c r="C14" s="54"/>
      <c r="D14" s="54"/>
      <c r="E14" s="54"/>
      <c r="F14" s="54"/>
      <c r="G14" s="54"/>
      <c r="H14" s="54"/>
      <c r="I14" s="54"/>
      <c r="J14" s="55" t="s">
        <v>141</v>
      </c>
      <c r="K14" s="56"/>
      <c r="L14" s="52" t="s">
        <v>136</v>
      </c>
      <c r="M14" s="53">
        <v>45661</v>
      </c>
      <c r="N14" s="54"/>
      <c r="O14" s="54"/>
      <c r="P14" s="54"/>
      <c r="Q14" s="54"/>
      <c r="R14" s="54"/>
      <c r="S14" s="54"/>
      <c r="T14" s="54"/>
      <c r="U14" s="54"/>
      <c r="V14" s="54"/>
      <c r="W14" s="55" t="s">
        <v>141</v>
      </c>
      <c r="X14" s="57" t="s">
        <v>192</v>
      </c>
      <c r="Y14" s="58" t="s">
        <v>142</v>
      </c>
      <c r="Z14" s="59" t="s">
        <v>193</v>
      </c>
      <c r="AA14" s="60" t="s">
        <v>194</v>
      </c>
      <c r="AB14" s="57" t="s">
        <v>165</v>
      </c>
      <c r="AC14" s="55" t="s">
        <v>195</v>
      </c>
      <c r="AD14" s="55" t="s">
        <v>196</v>
      </c>
      <c r="AE14" s="57" t="s">
        <v>197</v>
      </c>
      <c r="AF14" s="55" t="s">
        <v>198</v>
      </c>
      <c r="AG14" s="61"/>
      <c r="AH14" s="77"/>
    </row>
    <row r="15" spans="1:34" ht="12.75" x14ac:dyDescent="0.2">
      <c r="A15" s="55" t="s">
        <v>199</v>
      </c>
      <c r="B15" s="62">
        <v>0.05</v>
      </c>
      <c r="C15" s="62">
        <v>0.1</v>
      </c>
      <c r="D15" s="62">
        <v>0.2</v>
      </c>
      <c r="E15" s="62">
        <v>0.5</v>
      </c>
      <c r="F15" s="62">
        <v>1</v>
      </c>
      <c r="G15" s="62">
        <v>2</v>
      </c>
      <c r="H15" s="62">
        <v>5</v>
      </c>
      <c r="I15" s="62">
        <v>10</v>
      </c>
      <c r="K15" s="56"/>
      <c r="L15" s="55" t="s">
        <v>199</v>
      </c>
      <c r="M15" s="62">
        <v>0.05</v>
      </c>
      <c r="N15" s="62">
        <v>0.1</v>
      </c>
      <c r="O15" s="62">
        <v>0.2</v>
      </c>
      <c r="P15" s="62">
        <v>0.5</v>
      </c>
      <c r="Q15" s="62">
        <v>1</v>
      </c>
      <c r="R15" s="62">
        <v>2</v>
      </c>
      <c r="S15" s="62">
        <v>5</v>
      </c>
      <c r="T15" s="62">
        <v>10</v>
      </c>
      <c r="U15" s="62">
        <v>20</v>
      </c>
      <c r="V15" s="62">
        <v>50</v>
      </c>
      <c r="W15" s="54"/>
      <c r="X15" s="54"/>
      <c r="Y15" s="54"/>
      <c r="Z15" s="63"/>
      <c r="AA15" s="64"/>
      <c r="AB15" s="54"/>
      <c r="AC15" s="54"/>
      <c r="AD15" s="54"/>
      <c r="AE15" s="54"/>
      <c r="AF15" s="54"/>
      <c r="AH15" s="41"/>
    </row>
    <row r="16" spans="1:34" ht="12.75" x14ac:dyDescent="0.2">
      <c r="A16" s="55" t="s">
        <v>200</v>
      </c>
      <c r="B16" s="38">
        <v>72</v>
      </c>
      <c r="C16" s="65">
        <v>15</v>
      </c>
      <c r="D16" s="65">
        <v>18</v>
      </c>
      <c r="E16" s="65">
        <v>11</v>
      </c>
      <c r="F16" s="65">
        <v>10</v>
      </c>
      <c r="G16" s="65">
        <v>5</v>
      </c>
      <c r="H16" s="65">
        <v>2</v>
      </c>
      <c r="I16" s="65"/>
      <c r="J16" s="54"/>
      <c r="K16" s="56"/>
      <c r="L16" s="55" t="s">
        <v>200</v>
      </c>
      <c r="M16" s="38">
        <v>80</v>
      </c>
      <c r="N16" s="38">
        <v>13</v>
      </c>
      <c r="O16" s="65">
        <v>11</v>
      </c>
      <c r="P16" s="65">
        <v>14</v>
      </c>
      <c r="Q16" s="65">
        <v>4</v>
      </c>
      <c r="R16" s="65">
        <v>4</v>
      </c>
      <c r="S16" s="65">
        <v>8</v>
      </c>
      <c r="T16" s="65">
        <v>5</v>
      </c>
      <c r="U16" s="65">
        <v>5</v>
      </c>
      <c r="V16" s="65">
        <v>2</v>
      </c>
      <c r="W16" s="65"/>
      <c r="X16" s="54"/>
      <c r="Y16" s="54"/>
      <c r="Z16" s="63"/>
      <c r="AA16" s="64"/>
      <c r="AB16" s="54"/>
      <c r="AC16" s="54"/>
      <c r="AD16" s="54"/>
      <c r="AE16" s="54"/>
      <c r="AF16" s="54"/>
      <c r="AH16" s="41"/>
    </row>
    <row r="17" spans="1:34" ht="12.75" x14ac:dyDescent="0.2">
      <c r="A17" s="55" t="s">
        <v>141</v>
      </c>
      <c r="B17" s="65">
        <f t="shared" ref="B17:I17" si="4">B16*B15</f>
        <v>3.6</v>
      </c>
      <c r="C17" s="65">
        <f t="shared" si="4"/>
        <v>1.5</v>
      </c>
      <c r="D17" s="65">
        <f t="shared" si="4"/>
        <v>3.6</v>
      </c>
      <c r="E17" s="65">
        <f t="shared" si="4"/>
        <v>5.5</v>
      </c>
      <c r="F17" s="65">
        <f t="shared" si="4"/>
        <v>10</v>
      </c>
      <c r="G17" s="65">
        <f t="shared" si="4"/>
        <v>10</v>
      </c>
      <c r="H17" s="65">
        <f t="shared" si="4"/>
        <v>10</v>
      </c>
      <c r="I17" s="65">
        <f t="shared" si="4"/>
        <v>0</v>
      </c>
      <c r="J17" s="54">
        <f>SUM(B17:I17)</f>
        <v>44.2</v>
      </c>
      <c r="K17" s="56"/>
      <c r="L17" s="55" t="s">
        <v>141</v>
      </c>
      <c r="M17" s="70">
        <f t="shared" ref="M17:V17" si="5">M16*M15</f>
        <v>4</v>
      </c>
      <c r="N17" s="70">
        <f t="shared" si="5"/>
        <v>1.3</v>
      </c>
      <c r="O17" s="70">
        <f t="shared" si="5"/>
        <v>2.2000000000000002</v>
      </c>
      <c r="P17" s="70">
        <f t="shared" si="5"/>
        <v>7</v>
      </c>
      <c r="Q17" s="70">
        <f t="shared" si="5"/>
        <v>4</v>
      </c>
      <c r="R17" s="70">
        <f t="shared" si="5"/>
        <v>8</v>
      </c>
      <c r="S17" s="70">
        <f t="shared" si="5"/>
        <v>40</v>
      </c>
      <c r="T17" s="70">
        <f t="shared" si="5"/>
        <v>50</v>
      </c>
      <c r="U17" s="70">
        <f t="shared" si="5"/>
        <v>100</v>
      </c>
      <c r="V17" s="70">
        <f t="shared" si="5"/>
        <v>100</v>
      </c>
      <c r="W17" s="54">
        <f>SUM(M17:V17)</f>
        <v>316.5</v>
      </c>
      <c r="X17" s="55">
        <f>W17-J17</f>
        <v>272.3</v>
      </c>
      <c r="Y17" s="63">
        <v>77.3</v>
      </c>
      <c r="Z17" s="63">
        <v>20.2</v>
      </c>
      <c r="AA17" s="66">
        <f>X17+Z17</f>
        <v>292.5</v>
      </c>
      <c r="AB17" s="55">
        <v>30</v>
      </c>
      <c r="AC17" s="55">
        <f>Y17-AB17</f>
        <v>47.3</v>
      </c>
      <c r="AD17" s="55">
        <f>X17-Y17</f>
        <v>195</v>
      </c>
      <c r="AE17" s="55">
        <v>40</v>
      </c>
      <c r="AF17" s="55">
        <f>AD17-AE17</f>
        <v>155</v>
      </c>
      <c r="AG17" s="61"/>
      <c r="AH17" s="77">
        <f>(SUM(Y17:Z17)/(1+10/100))*(10/100)</f>
        <v>8.8636363636363633</v>
      </c>
    </row>
    <row r="18" spans="1:34" ht="12.75" x14ac:dyDescent="0.2">
      <c r="AC18" s="38">
        <v>-17.3</v>
      </c>
      <c r="AH18" s="41"/>
    </row>
    <row r="19" spans="1:34" ht="12.75" x14ac:dyDescent="0.2">
      <c r="AH19" s="41"/>
    </row>
    <row r="20" spans="1:34" ht="51" x14ac:dyDescent="0.2">
      <c r="A20" s="52" t="s">
        <v>135</v>
      </c>
      <c r="B20" s="53">
        <v>45662</v>
      </c>
      <c r="C20" s="54"/>
      <c r="D20" s="54"/>
      <c r="E20" s="54"/>
      <c r="F20" s="54"/>
      <c r="G20" s="54"/>
      <c r="H20" s="54"/>
      <c r="I20" s="54"/>
      <c r="J20" s="55" t="s">
        <v>141</v>
      </c>
      <c r="K20" s="56"/>
      <c r="L20" s="52" t="s">
        <v>136</v>
      </c>
      <c r="M20" s="53">
        <v>45662</v>
      </c>
      <c r="N20" s="54"/>
      <c r="O20" s="54"/>
      <c r="P20" s="54"/>
      <c r="Q20" s="54"/>
      <c r="R20" s="54"/>
      <c r="S20" s="54"/>
      <c r="T20" s="54"/>
      <c r="U20" s="54"/>
      <c r="V20" s="54"/>
      <c r="W20" s="55" t="s">
        <v>141</v>
      </c>
      <c r="X20" s="57" t="s">
        <v>192</v>
      </c>
      <c r="Y20" s="58" t="s">
        <v>142</v>
      </c>
      <c r="Z20" s="59" t="s">
        <v>193</v>
      </c>
      <c r="AA20" s="60" t="s">
        <v>194</v>
      </c>
      <c r="AB20" s="57" t="s">
        <v>165</v>
      </c>
      <c r="AC20" s="55" t="s">
        <v>195</v>
      </c>
      <c r="AD20" s="55" t="s">
        <v>196</v>
      </c>
      <c r="AE20" s="57" t="s">
        <v>197</v>
      </c>
      <c r="AF20" s="55" t="s">
        <v>198</v>
      </c>
      <c r="AG20" s="61"/>
      <c r="AH20" s="77"/>
    </row>
    <row r="21" spans="1:34" ht="12.75" x14ac:dyDescent="0.2">
      <c r="A21" s="55" t="s">
        <v>199</v>
      </c>
      <c r="B21" s="62">
        <v>0.05</v>
      </c>
      <c r="C21" s="62">
        <v>0.1</v>
      </c>
      <c r="D21" s="62">
        <v>0.2</v>
      </c>
      <c r="E21" s="62">
        <v>0.5</v>
      </c>
      <c r="F21" s="62">
        <v>1</v>
      </c>
      <c r="G21" s="62">
        <v>2</v>
      </c>
      <c r="H21" s="62">
        <v>5</v>
      </c>
      <c r="I21" s="62">
        <v>10</v>
      </c>
      <c r="K21" s="56"/>
      <c r="L21" s="55" t="s">
        <v>199</v>
      </c>
      <c r="M21" s="62">
        <v>0.05</v>
      </c>
      <c r="N21" s="62">
        <v>0.1</v>
      </c>
      <c r="O21" s="62">
        <v>0.2</v>
      </c>
      <c r="P21" s="62">
        <v>0.5</v>
      </c>
      <c r="Q21" s="62">
        <v>1</v>
      </c>
      <c r="R21" s="62">
        <v>2</v>
      </c>
      <c r="S21" s="62">
        <v>5</v>
      </c>
      <c r="T21" s="62">
        <v>10</v>
      </c>
      <c r="U21" s="62">
        <v>20</v>
      </c>
      <c r="V21" s="62">
        <v>50</v>
      </c>
      <c r="W21" s="54"/>
      <c r="X21" s="54"/>
      <c r="Z21" s="63"/>
      <c r="AA21" s="64"/>
      <c r="AB21" s="54"/>
      <c r="AC21" s="54"/>
      <c r="AD21" s="54"/>
      <c r="AE21" s="54"/>
      <c r="AF21" s="54"/>
      <c r="AH21" s="41"/>
    </row>
    <row r="22" spans="1:34" ht="12.75" x14ac:dyDescent="0.2">
      <c r="A22" s="55" t="s">
        <v>200</v>
      </c>
      <c r="B22" s="38">
        <v>80</v>
      </c>
      <c r="C22" s="38">
        <v>13</v>
      </c>
      <c r="D22" s="65">
        <v>11</v>
      </c>
      <c r="E22" s="65">
        <v>14</v>
      </c>
      <c r="F22" s="65">
        <v>4</v>
      </c>
      <c r="G22" s="65">
        <v>4</v>
      </c>
      <c r="H22" s="65">
        <v>2</v>
      </c>
      <c r="I22" s="65"/>
      <c r="J22" s="54"/>
      <c r="K22" s="56"/>
      <c r="L22" s="55" t="s">
        <v>200</v>
      </c>
      <c r="M22" s="38">
        <v>80</v>
      </c>
      <c r="N22" s="38">
        <v>12</v>
      </c>
      <c r="O22" s="65">
        <v>5</v>
      </c>
      <c r="P22" s="65">
        <v>13</v>
      </c>
      <c r="Q22" s="65">
        <v>8</v>
      </c>
      <c r="R22" s="65">
        <v>2</v>
      </c>
      <c r="S22" s="65">
        <v>8</v>
      </c>
      <c r="T22" s="65">
        <v>3</v>
      </c>
      <c r="U22" s="65">
        <v>3</v>
      </c>
      <c r="V22" s="65">
        <v>0</v>
      </c>
      <c r="W22" s="65"/>
      <c r="X22" s="54"/>
      <c r="Z22" s="63"/>
      <c r="AA22" s="64"/>
      <c r="AB22" s="54"/>
      <c r="AC22" s="54"/>
      <c r="AD22" s="54"/>
      <c r="AE22" s="54"/>
      <c r="AF22" s="54"/>
      <c r="AH22" s="41"/>
    </row>
    <row r="23" spans="1:34" ht="12.75" x14ac:dyDescent="0.2">
      <c r="A23" s="55" t="s">
        <v>141</v>
      </c>
      <c r="B23" s="65">
        <f t="shared" ref="B23:I23" si="6">B22*B21</f>
        <v>4</v>
      </c>
      <c r="C23" s="65">
        <f t="shared" si="6"/>
        <v>1.3</v>
      </c>
      <c r="D23" s="65">
        <f t="shared" si="6"/>
        <v>2.2000000000000002</v>
      </c>
      <c r="E23" s="65">
        <f t="shared" si="6"/>
        <v>7</v>
      </c>
      <c r="F23" s="65">
        <f t="shared" si="6"/>
        <v>4</v>
      </c>
      <c r="G23" s="65">
        <f t="shared" si="6"/>
        <v>8</v>
      </c>
      <c r="H23" s="65">
        <f t="shared" si="6"/>
        <v>10</v>
      </c>
      <c r="I23" s="65">
        <f t="shared" si="6"/>
        <v>0</v>
      </c>
      <c r="J23" s="54">
        <f>SUM(B23:I23)</f>
        <v>36.5</v>
      </c>
      <c r="K23" s="56"/>
      <c r="L23" s="55" t="s">
        <v>141</v>
      </c>
      <c r="M23" s="70">
        <f t="shared" ref="M23:V23" si="7">M22*M21</f>
        <v>4</v>
      </c>
      <c r="N23" s="70">
        <f t="shared" si="7"/>
        <v>1.2000000000000002</v>
      </c>
      <c r="O23" s="70">
        <f t="shared" si="7"/>
        <v>1</v>
      </c>
      <c r="P23" s="70">
        <f t="shared" si="7"/>
        <v>6.5</v>
      </c>
      <c r="Q23" s="70">
        <f t="shared" si="7"/>
        <v>8</v>
      </c>
      <c r="R23" s="70">
        <f t="shared" si="7"/>
        <v>4</v>
      </c>
      <c r="S23" s="70">
        <f t="shared" si="7"/>
        <v>40</v>
      </c>
      <c r="T23" s="70">
        <f t="shared" si="7"/>
        <v>30</v>
      </c>
      <c r="U23" s="70">
        <f t="shared" si="7"/>
        <v>60</v>
      </c>
      <c r="V23" s="70">
        <f t="shared" si="7"/>
        <v>0</v>
      </c>
      <c r="W23" s="54">
        <f>SUM(M23:V23)</f>
        <v>154.69999999999999</v>
      </c>
      <c r="X23" s="55">
        <f>W23-J23</f>
        <v>118.19999999999999</v>
      </c>
      <c r="Y23" s="63">
        <v>85.8</v>
      </c>
      <c r="Z23" s="63">
        <v>10.3</v>
      </c>
      <c r="AA23" s="66">
        <f>X23+Z23</f>
        <v>128.5</v>
      </c>
      <c r="AB23" s="55">
        <v>50</v>
      </c>
      <c r="AC23" s="55">
        <f>Y23-AB23</f>
        <v>35.799999999999997</v>
      </c>
      <c r="AD23" s="55">
        <f>X23-Y23</f>
        <v>32.399999999999991</v>
      </c>
      <c r="AE23" s="55">
        <v>7.4</v>
      </c>
      <c r="AF23" s="55">
        <f>AD23-AE23</f>
        <v>24.999999999999993</v>
      </c>
      <c r="AG23" s="61"/>
      <c r="AH23" s="77">
        <f>(SUM(Y23:Z23)/(1+10/100))*(10/100)</f>
        <v>8.7363636363636346</v>
      </c>
    </row>
    <row r="24" spans="1:34" ht="12.75" x14ac:dyDescent="0.2">
      <c r="AE24" s="38" t="s">
        <v>235</v>
      </c>
      <c r="AH24" s="41"/>
    </row>
    <row r="25" spans="1:34" ht="12.75" x14ac:dyDescent="0.2">
      <c r="AH25" s="41"/>
    </row>
    <row r="26" spans="1:34" ht="51" x14ac:dyDescent="0.2">
      <c r="A26" s="52" t="s">
        <v>135</v>
      </c>
      <c r="B26" s="53">
        <v>45663</v>
      </c>
      <c r="C26" s="54"/>
      <c r="D26" s="54"/>
      <c r="E26" s="54"/>
      <c r="F26" s="54"/>
      <c r="G26" s="54"/>
      <c r="H26" s="54"/>
      <c r="I26" s="54"/>
      <c r="J26" s="55" t="s">
        <v>141</v>
      </c>
      <c r="K26" s="56"/>
      <c r="L26" s="52" t="s">
        <v>136</v>
      </c>
      <c r="M26" s="53">
        <v>45663</v>
      </c>
      <c r="N26" s="54"/>
      <c r="O26" s="54"/>
      <c r="P26" s="54"/>
      <c r="Q26" s="54"/>
      <c r="R26" s="54"/>
      <c r="S26" s="54"/>
      <c r="T26" s="54"/>
      <c r="U26" s="54"/>
      <c r="V26" s="54"/>
      <c r="W26" s="55" t="s">
        <v>141</v>
      </c>
      <c r="X26" s="57" t="s">
        <v>192</v>
      </c>
      <c r="Y26" s="58" t="s">
        <v>142</v>
      </c>
      <c r="Z26" s="59" t="s">
        <v>193</v>
      </c>
      <c r="AA26" s="60" t="s">
        <v>194</v>
      </c>
      <c r="AB26" s="57" t="s">
        <v>165</v>
      </c>
      <c r="AC26" s="55" t="s">
        <v>195</v>
      </c>
      <c r="AD26" s="55" t="s">
        <v>196</v>
      </c>
      <c r="AE26" s="57" t="s">
        <v>197</v>
      </c>
      <c r="AF26" s="55" t="s">
        <v>198</v>
      </c>
      <c r="AG26" s="61"/>
      <c r="AH26" s="77"/>
    </row>
    <row r="27" spans="1:34" ht="12.75" x14ac:dyDescent="0.2">
      <c r="A27" s="55" t="s">
        <v>199</v>
      </c>
      <c r="B27" s="62">
        <v>0.05</v>
      </c>
      <c r="C27" s="62">
        <v>0.1</v>
      </c>
      <c r="D27" s="62">
        <v>0.2</v>
      </c>
      <c r="E27" s="62">
        <v>0.5</v>
      </c>
      <c r="F27" s="62">
        <v>1</v>
      </c>
      <c r="G27" s="62">
        <v>2</v>
      </c>
      <c r="H27" s="62">
        <v>5</v>
      </c>
      <c r="I27" s="62">
        <v>10</v>
      </c>
      <c r="K27" s="56"/>
      <c r="L27" s="55" t="s">
        <v>199</v>
      </c>
      <c r="M27" s="62">
        <v>0.05</v>
      </c>
      <c r="N27" s="62">
        <v>0.1</v>
      </c>
      <c r="O27" s="62">
        <v>0.2</v>
      </c>
      <c r="P27" s="62">
        <v>0.5</v>
      </c>
      <c r="Q27" s="62">
        <v>1</v>
      </c>
      <c r="R27" s="62">
        <v>2</v>
      </c>
      <c r="S27" s="62">
        <v>5</v>
      </c>
      <c r="T27" s="62">
        <v>10</v>
      </c>
      <c r="U27" s="62">
        <v>20</v>
      </c>
      <c r="V27" s="62">
        <v>50</v>
      </c>
      <c r="W27" s="54"/>
      <c r="X27" s="54"/>
      <c r="Z27" s="63"/>
      <c r="AA27" s="64"/>
      <c r="AB27" s="54"/>
      <c r="AC27" s="54"/>
      <c r="AD27" s="54"/>
      <c r="AE27" s="54"/>
      <c r="AF27" s="54"/>
      <c r="AH27" s="41"/>
    </row>
    <row r="28" spans="1:34" ht="12.75" x14ac:dyDescent="0.2">
      <c r="A28" s="55" t="s">
        <v>200</v>
      </c>
      <c r="B28" s="38">
        <v>80</v>
      </c>
      <c r="C28" s="38">
        <v>13</v>
      </c>
      <c r="D28" s="65">
        <v>6</v>
      </c>
      <c r="E28" s="65">
        <v>14</v>
      </c>
      <c r="F28" s="65">
        <v>13</v>
      </c>
      <c r="G28" s="65">
        <v>2</v>
      </c>
      <c r="H28" s="65">
        <v>2</v>
      </c>
      <c r="I28" s="65"/>
      <c r="J28" s="54"/>
      <c r="K28" s="56"/>
      <c r="L28" s="55" t="s">
        <v>200</v>
      </c>
      <c r="M28" s="38">
        <v>80</v>
      </c>
      <c r="N28" s="38">
        <v>21</v>
      </c>
      <c r="O28" s="65">
        <v>10</v>
      </c>
      <c r="P28" s="65">
        <v>19</v>
      </c>
      <c r="Q28" s="65">
        <v>9</v>
      </c>
      <c r="R28" s="65">
        <v>4</v>
      </c>
      <c r="S28" s="65">
        <v>10</v>
      </c>
      <c r="T28" s="65">
        <v>3</v>
      </c>
      <c r="U28" s="65">
        <v>4</v>
      </c>
      <c r="V28" s="65">
        <v>0</v>
      </c>
      <c r="W28" s="65"/>
      <c r="X28" s="54"/>
      <c r="Z28" s="63"/>
      <c r="AA28" s="64"/>
      <c r="AB28" s="54"/>
      <c r="AC28" s="54"/>
      <c r="AD28" s="54"/>
      <c r="AE28" s="54"/>
      <c r="AF28" s="54"/>
      <c r="AH28" s="41"/>
    </row>
    <row r="29" spans="1:34" ht="12.75" x14ac:dyDescent="0.2">
      <c r="A29" s="55" t="s">
        <v>141</v>
      </c>
      <c r="B29" s="65">
        <f t="shared" ref="B29:I29" si="8">B28*B27</f>
        <v>4</v>
      </c>
      <c r="C29" s="65">
        <f t="shared" si="8"/>
        <v>1.3</v>
      </c>
      <c r="D29" s="65">
        <f t="shared" si="8"/>
        <v>1.2000000000000002</v>
      </c>
      <c r="E29" s="65">
        <f t="shared" si="8"/>
        <v>7</v>
      </c>
      <c r="F29" s="65">
        <f t="shared" si="8"/>
        <v>13</v>
      </c>
      <c r="G29" s="65">
        <f t="shared" si="8"/>
        <v>4</v>
      </c>
      <c r="H29" s="65">
        <f t="shared" si="8"/>
        <v>10</v>
      </c>
      <c r="I29" s="65">
        <f t="shared" si="8"/>
        <v>0</v>
      </c>
      <c r="J29" s="54">
        <f>SUM(B29:I29)</f>
        <v>40.5</v>
      </c>
      <c r="K29" s="56"/>
      <c r="L29" s="55" t="s">
        <v>141</v>
      </c>
      <c r="M29" s="70">
        <f t="shared" ref="M29:V29" si="9">M28*M27</f>
        <v>4</v>
      </c>
      <c r="N29" s="70">
        <f t="shared" si="9"/>
        <v>2.1</v>
      </c>
      <c r="O29" s="70">
        <f t="shared" si="9"/>
        <v>2</v>
      </c>
      <c r="P29" s="70">
        <f t="shared" si="9"/>
        <v>9.5</v>
      </c>
      <c r="Q29" s="70">
        <f t="shared" si="9"/>
        <v>9</v>
      </c>
      <c r="R29" s="70">
        <f t="shared" si="9"/>
        <v>8</v>
      </c>
      <c r="S29" s="70">
        <f t="shared" si="9"/>
        <v>50</v>
      </c>
      <c r="T29" s="70">
        <f t="shared" si="9"/>
        <v>30</v>
      </c>
      <c r="U29" s="70">
        <f t="shared" si="9"/>
        <v>80</v>
      </c>
      <c r="V29" s="70">
        <f t="shared" si="9"/>
        <v>0</v>
      </c>
      <c r="W29" s="54">
        <f>SUM(M29:V29)</f>
        <v>194.6</v>
      </c>
      <c r="X29" s="55">
        <f>W29-J29</f>
        <v>154.1</v>
      </c>
      <c r="Y29" s="63">
        <v>62.1</v>
      </c>
      <c r="Z29" s="63"/>
      <c r="AA29" s="66">
        <f>X29+Z29</f>
        <v>154.1</v>
      </c>
      <c r="AB29" s="55">
        <v>20</v>
      </c>
      <c r="AC29" s="55">
        <f>Y29-AB29</f>
        <v>42.1</v>
      </c>
      <c r="AD29" s="55">
        <f>X29-Y29</f>
        <v>92</v>
      </c>
      <c r="AE29" s="55">
        <v>2</v>
      </c>
      <c r="AF29" s="55">
        <f>AD29-AE29</f>
        <v>90</v>
      </c>
      <c r="AG29" s="61"/>
      <c r="AH29" s="77">
        <f>(SUM(Y29:Z29)/(1+10/100))*(10/100)</f>
        <v>5.6454545454545455</v>
      </c>
    </row>
    <row r="30" spans="1:34" ht="12.75" x14ac:dyDescent="0.2">
      <c r="AC30" s="38">
        <v>-2.1</v>
      </c>
      <c r="AH30" s="41"/>
    </row>
    <row r="31" spans="1:34" ht="12.75" x14ac:dyDescent="0.2">
      <c r="AH31" s="41"/>
    </row>
    <row r="32" spans="1:34" ht="51" x14ac:dyDescent="0.2">
      <c r="A32" s="52" t="s">
        <v>135</v>
      </c>
      <c r="B32" s="53">
        <v>45664</v>
      </c>
      <c r="C32" s="54"/>
      <c r="D32" s="54"/>
      <c r="E32" s="54"/>
      <c r="F32" s="54"/>
      <c r="G32" s="54"/>
      <c r="H32" s="54"/>
      <c r="I32" s="54"/>
      <c r="J32" s="55" t="s">
        <v>141</v>
      </c>
      <c r="K32" s="56"/>
      <c r="L32" s="52" t="s">
        <v>136</v>
      </c>
      <c r="M32" s="53">
        <v>45664</v>
      </c>
      <c r="N32" s="54"/>
      <c r="O32" s="54"/>
      <c r="P32" s="54"/>
      <c r="Q32" s="54"/>
      <c r="R32" s="54"/>
      <c r="S32" s="54"/>
      <c r="T32" s="54"/>
      <c r="U32" s="54"/>
      <c r="V32" s="54"/>
      <c r="W32" s="55" t="s">
        <v>141</v>
      </c>
      <c r="X32" s="57" t="s">
        <v>192</v>
      </c>
      <c r="Y32" s="58" t="s">
        <v>142</v>
      </c>
      <c r="Z32" s="59" t="s">
        <v>193</v>
      </c>
      <c r="AA32" s="60" t="s">
        <v>194</v>
      </c>
      <c r="AB32" s="57" t="s">
        <v>165</v>
      </c>
      <c r="AC32" s="55" t="s">
        <v>195</v>
      </c>
      <c r="AD32" s="55" t="s">
        <v>196</v>
      </c>
      <c r="AE32" s="57" t="s">
        <v>197</v>
      </c>
      <c r="AF32" s="55" t="s">
        <v>198</v>
      </c>
      <c r="AG32" s="61"/>
      <c r="AH32" s="77"/>
    </row>
    <row r="33" spans="1:34" ht="12.75" x14ac:dyDescent="0.2">
      <c r="A33" s="55" t="s">
        <v>199</v>
      </c>
      <c r="B33" s="62">
        <v>0.05</v>
      </c>
      <c r="C33" s="62">
        <v>0.1</v>
      </c>
      <c r="D33" s="62">
        <v>0.2</v>
      </c>
      <c r="E33" s="62">
        <v>0.5</v>
      </c>
      <c r="F33" s="62">
        <v>1</v>
      </c>
      <c r="G33" s="62">
        <v>2</v>
      </c>
      <c r="H33" s="62">
        <v>5</v>
      </c>
      <c r="I33" s="62">
        <v>10</v>
      </c>
      <c r="K33" s="56"/>
      <c r="L33" s="55" t="s">
        <v>199</v>
      </c>
      <c r="M33" s="62">
        <v>0.05</v>
      </c>
      <c r="N33" s="62">
        <v>0.1</v>
      </c>
      <c r="O33" s="62">
        <v>0.2</v>
      </c>
      <c r="P33" s="62">
        <v>0.5</v>
      </c>
      <c r="Q33" s="62">
        <v>1</v>
      </c>
      <c r="R33" s="62">
        <v>2</v>
      </c>
      <c r="S33" s="62">
        <v>5</v>
      </c>
      <c r="T33" s="62">
        <v>10</v>
      </c>
      <c r="U33" s="62">
        <v>20</v>
      </c>
      <c r="V33" s="62">
        <v>50</v>
      </c>
      <c r="W33" s="54"/>
      <c r="X33" s="54"/>
      <c r="Z33" s="63"/>
      <c r="AA33" s="64"/>
      <c r="AB33" s="54"/>
      <c r="AC33" s="54"/>
      <c r="AD33" s="54"/>
      <c r="AE33" s="54"/>
      <c r="AF33" s="54"/>
      <c r="AH33" s="41"/>
    </row>
    <row r="34" spans="1:34" ht="12.75" x14ac:dyDescent="0.2">
      <c r="A34" s="55" t="s">
        <v>200</v>
      </c>
      <c r="B34" s="38">
        <v>80</v>
      </c>
      <c r="C34" s="38">
        <v>21</v>
      </c>
      <c r="D34" s="65">
        <v>10</v>
      </c>
      <c r="E34" s="65">
        <v>19</v>
      </c>
      <c r="F34" s="65">
        <v>9</v>
      </c>
      <c r="G34" s="65">
        <v>4</v>
      </c>
      <c r="H34" s="65">
        <v>2</v>
      </c>
      <c r="I34" s="65"/>
      <c r="J34" s="54"/>
      <c r="K34" s="56"/>
      <c r="L34" s="55" t="s">
        <v>200</v>
      </c>
      <c r="M34" s="38">
        <v>81</v>
      </c>
      <c r="N34" s="38">
        <v>43</v>
      </c>
      <c r="O34" s="65">
        <v>8</v>
      </c>
      <c r="P34" s="65">
        <v>19</v>
      </c>
      <c r="Q34" s="65">
        <v>10</v>
      </c>
      <c r="R34" s="65">
        <v>14</v>
      </c>
      <c r="S34" s="65">
        <v>14</v>
      </c>
      <c r="T34" s="65">
        <v>6</v>
      </c>
      <c r="U34" s="65">
        <v>3</v>
      </c>
      <c r="V34" s="65"/>
      <c r="W34" s="65"/>
      <c r="X34" s="54"/>
      <c r="Z34" s="63"/>
      <c r="AA34" s="64"/>
      <c r="AB34" s="54"/>
      <c r="AC34" s="54"/>
      <c r="AD34" s="54"/>
      <c r="AE34" s="54"/>
      <c r="AF34" s="54"/>
      <c r="AH34" s="41"/>
    </row>
    <row r="35" spans="1:34" ht="12.75" x14ac:dyDescent="0.2">
      <c r="A35" s="55" t="s">
        <v>141</v>
      </c>
      <c r="B35" s="65">
        <f t="shared" ref="B35:I35" si="10">B34*B33</f>
        <v>4</v>
      </c>
      <c r="C35" s="65">
        <f t="shared" si="10"/>
        <v>2.1</v>
      </c>
      <c r="D35" s="65">
        <f t="shared" si="10"/>
        <v>2</v>
      </c>
      <c r="E35" s="65">
        <f t="shared" si="10"/>
        <v>9.5</v>
      </c>
      <c r="F35" s="65">
        <f t="shared" si="10"/>
        <v>9</v>
      </c>
      <c r="G35" s="65">
        <f t="shared" si="10"/>
        <v>8</v>
      </c>
      <c r="H35" s="65">
        <f t="shared" si="10"/>
        <v>10</v>
      </c>
      <c r="I35" s="65">
        <f t="shared" si="10"/>
        <v>0</v>
      </c>
      <c r="J35" s="54">
        <f>SUM(B35:I35)</f>
        <v>44.6</v>
      </c>
      <c r="K35" s="56"/>
      <c r="L35" s="55" t="s">
        <v>141</v>
      </c>
      <c r="M35" s="70">
        <f t="shared" ref="M35:V35" si="11">M34*M33</f>
        <v>4.05</v>
      </c>
      <c r="N35" s="70">
        <f t="shared" si="11"/>
        <v>4.3</v>
      </c>
      <c r="O35" s="70">
        <f t="shared" si="11"/>
        <v>1.6</v>
      </c>
      <c r="P35" s="70">
        <f t="shared" si="11"/>
        <v>9.5</v>
      </c>
      <c r="Q35" s="70">
        <f t="shared" si="11"/>
        <v>10</v>
      </c>
      <c r="R35" s="70">
        <f t="shared" si="11"/>
        <v>28</v>
      </c>
      <c r="S35" s="70">
        <f t="shared" si="11"/>
        <v>70</v>
      </c>
      <c r="T35" s="70">
        <f t="shared" si="11"/>
        <v>60</v>
      </c>
      <c r="U35" s="70">
        <f t="shared" si="11"/>
        <v>60</v>
      </c>
      <c r="V35" s="70">
        <f t="shared" si="11"/>
        <v>0</v>
      </c>
      <c r="W35" s="54">
        <f>SUM(M35:V35)</f>
        <v>247.45</v>
      </c>
      <c r="X35" s="55">
        <f>W35-J35</f>
        <v>202.85</v>
      </c>
      <c r="Y35" s="63">
        <v>96.9</v>
      </c>
      <c r="Z35" s="63">
        <v>15.2</v>
      </c>
      <c r="AA35" s="66">
        <f>X35+Z35</f>
        <v>218.04999999999998</v>
      </c>
      <c r="AB35" s="55">
        <v>40</v>
      </c>
      <c r="AC35" s="55">
        <f>Y35-AB35</f>
        <v>56.900000000000006</v>
      </c>
      <c r="AD35" s="55">
        <f>X35-Y35</f>
        <v>105.94999999999999</v>
      </c>
      <c r="AE35" s="55">
        <v>60</v>
      </c>
      <c r="AF35" s="55">
        <f>AD35-AE35</f>
        <v>45.949999999999989</v>
      </c>
      <c r="AG35" s="61"/>
      <c r="AH35" s="77">
        <f>(SUM(Y35:Z35)/(1+10/100))*(10/100)</f>
        <v>10.190909090909091</v>
      </c>
    </row>
    <row r="36" spans="1:34" ht="12.75" x14ac:dyDescent="0.2">
      <c r="AH36" s="41"/>
    </row>
    <row r="37" spans="1:34" ht="12.75" x14ac:dyDescent="0.2">
      <c r="AH37" s="41"/>
    </row>
    <row r="38" spans="1:34" ht="51" x14ac:dyDescent="0.2">
      <c r="A38" s="52" t="s">
        <v>135</v>
      </c>
      <c r="B38" s="53">
        <v>45665</v>
      </c>
      <c r="C38" s="54"/>
      <c r="D38" s="54"/>
      <c r="E38" s="54"/>
      <c r="F38" s="54"/>
      <c r="G38" s="54"/>
      <c r="H38" s="54"/>
      <c r="I38" s="54"/>
      <c r="J38" s="55" t="s">
        <v>141</v>
      </c>
      <c r="K38" s="56"/>
      <c r="L38" s="52" t="s">
        <v>136</v>
      </c>
      <c r="M38" s="53">
        <v>45665</v>
      </c>
      <c r="N38" s="54"/>
      <c r="O38" s="54"/>
      <c r="P38" s="54"/>
      <c r="Q38" s="54"/>
      <c r="R38" s="54"/>
      <c r="S38" s="54"/>
      <c r="T38" s="54"/>
      <c r="U38" s="54"/>
      <c r="V38" s="54"/>
      <c r="W38" s="55" t="s">
        <v>141</v>
      </c>
      <c r="X38" s="57" t="s">
        <v>192</v>
      </c>
      <c r="Y38" s="58" t="s">
        <v>142</v>
      </c>
      <c r="Z38" s="59" t="s">
        <v>193</v>
      </c>
      <c r="AA38" s="60" t="s">
        <v>194</v>
      </c>
      <c r="AB38" s="57" t="s">
        <v>165</v>
      </c>
      <c r="AC38" s="55" t="s">
        <v>195</v>
      </c>
      <c r="AD38" s="55" t="s">
        <v>196</v>
      </c>
      <c r="AE38" s="57" t="s">
        <v>197</v>
      </c>
      <c r="AF38" s="55" t="s">
        <v>198</v>
      </c>
      <c r="AG38" s="61"/>
      <c r="AH38" s="77"/>
    </row>
    <row r="39" spans="1:34" ht="12.75" x14ac:dyDescent="0.2">
      <c r="A39" s="55" t="s">
        <v>199</v>
      </c>
      <c r="B39" s="62">
        <v>0.05</v>
      </c>
      <c r="C39" s="62">
        <v>0.1</v>
      </c>
      <c r="D39" s="62">
        <v>0.2</v>
      </c>
      <c r="E39" s="62">
        <v>0.5</v>
      </c>
      <c r="F39" s="62">
        <v>1</v>
      </c>
      <c r="G39" s="62">
        <v>2</v>
      </c>
      <c r="H39" s="62">
        <v>5</v>
      </c>
      <c r="I39" s="62">
        <v>10</v>
      </c>
      <c r="K39" s="56"/>
      <c r="L39" s="55" t="s">
        <v>199</v>
      </c>
      <c r="M39" s="62">
        <v>0.05</v>
      </c>
      <c r="N39" s="62">
        <v>0.1</v>
      </c>
      <c r="O39" s="62">
        <v>0.2</v>
      </c>
      <c r="P39" s="62">
        <v>0.5</v>
      </c>
      <c r="Q39" s="62">
        <v>1</v>
      </c>
      <c r="R39" s="62">
        <v>2</v>
      </c>
      <c r="S39" s="62">
        <v>5</v>
      </c>
      <c r="T39" s="62">
        <v>10</v>
      </c>
      <c r="U39" s="62">
        <v>20</v>
      </c>
      <c r="V39" s="62">
        <v>50</v>
      </c>
      <c r="W39" s="54"/>
      <c r="X39" s="54"/>
      <c r="Z39" s="63"/>
      <c r="AA39" s="64"/>
      <c r="AB39" s="54"/>
      <c r="AC39" s="54"/>
      <c r="AD39" s="54"/>
      <c r="AE39" s="54"/>
      <c r="AF39" s="54"/>
      <c r="AH39" s="41"/>
    </row>
    <row r="40" spans="1:34" ht="12.75" x14ac:dyDescent="0.2">
      <c r="A40" s="55" t="s">
        <v>200</v>
      </c>
      <c r="B40" s="38">
        <v>81</v>
      </c>
      <c r="C40" s="38">
        <v>43</v>
      </c>
      <c r="D40" s="65">
        <v>8</v>
      </c>
      <c r="E40" s="65">
        <v>10</v>
      </c>
      <c r="F40" s="65">
        <v>10</v>
      </c>
      <c r="G40" s="65">
        <v>5</v>
      </c>
      <c r="H40" s="65">
        <v>2</v>
      </c>
      <c r="I40" s="65"/>
      <c r="J40" s="54"/>
      <c r="K40" s="56"/>
      <c r="L40" s="55" t="s">
        <v>200</v>
      </c>
      <c r="M40" s="38">
        <v>83</v>
      </c>
      <c r="N40" s="38">
        <v>51</v>
      </c>
      <c r="O40" s="65">
        <v>6</v>
      </c>
      <c r="P40" s="65">
        <v>17</v>
      </c>
      <c r="Q40" s="65">
        <v>14</v>
      </c>
      <c r="R40" s="65">
        <v>7</v>
      </c>
      <c r="S40" s="65">
        <v>5</v>
      </c>
      <c r="T40" s="65">
        <v>7</v>
      </c>
      <c r="U40" s="65">
        <v>5</v>
      </c>
      <c r="V40" s="65"/>
      <c r="W40" s="65"/>
      <c r="X40" s="54"/>
      <c r="Z40" s="63"/>
      <c r="AA40" s="64"/>
      <c r="AB40" s="54"/>
      <c r="AC40" s="54"/>
      <c r="AD40" s="54"/>
      <c r="AE40" s="54"/>
      <c r="AF40" s="54"/>
      <c r="AH40" s="41"/>
    </row>
    <row r="41" spans="1:34" ht="12.75" x14ac:dyDescent="0.2">
      <c r="A41" s="55" t="s">
        <v>141</v>
      </c>
      <c r="B41" s="65">
        <f t="shared" ref="B41:I41" si="12">B40*B39</f>
        <v>4.05</v>
      </c>
      <c r="C41" s="65">
        <f t="shared" si="12"/>
        <v>4.3</v>
      </c>
      <c r="D41" s="65">
        <f t="shared" si="12"/>
        <v>1.6</v>
      </c>
      <c r="E41" s="65">
        <f t="shared" si="12"/>
        <v>5</v>
      </c>
      <c r="F41" s="65">
        <f t="shared" si="12"/>
        <v>10</v>
      </c>
      <c r="G41" s="65">
        <f t="shared" si="12"/>
        <v>10</v>
      </c>
      <c r="H41" s="65">
        <f t="shared" si="12"/>
        <v>10</v>
      </c>
      <c r="I41" s="65">
        <f t="shared" si="12"/>
        <v>0</v>
      </c>
      <c r="J41" s="54">
        <f>SUM(B41:I41)</f>
        <v>44.95</v>
      </c>
      <c r="K41" s="56"/>
      <c r="L41" s="55" t="s">
        <v>141</v>
      </c>
      <c r="M41" s="70">
        <f t="shared" ref="M41:V41" si="13">M40*M39</f>
        <v>4.1500000000000004</v>
      </c>
      <c r="N41" s="70">
        <f t="shared" si="13"/>
        <v>5.1000000000000005</v>
      </c>
      <c r="O41" s="70">
        <f t="shared" si="13"/>
        <v>1.2000000000000002</v>
      </c>
      <c r="P41" s="70">
        <f t="shared" si="13"/>
        <v>8.5</v>
      </c>
      <c r="Q41" s="70">
        <f t="shared" si="13"/>
        <v>14</v>
      </c>
      <c r="R41" s="70">
        <f t="shared" si="13"/>
        <v>14</v>
      </c>
      <c r="S41" s="70">
        <f t="shared" si="13"/>
        <v>25</v>
      </c>
      <c r="T41" s="70">
        <f t="shared" si="13"/>
        <v>70</v>
      </c>
      <c r="U41" s="70">
        <f t="shared" si="13"/>
        <v>100</v>
      </c>
      <c r="V41" s="70">
        <f t="shared" si="13"/>
        <v>0</v>
      </c>
      <c r="W41" s="54">
        <f>SUM(M41:V41)</f>
        <v>241.95</v>
      </c>
      <c r="X41" s="55">
        <f>W41-J41</f>
        <v>197</v>
      </c>
      <c r="Y41" s="63">
        <v>121.7</v>
      </c>
      <c r="Z41" s="63">
        <v>23.7</v>
      </c>
      <c r="AA41" s="66">
        <f>X41+Z41</f>
        <v>220.7</v>
      </c>
      <c r="AB41" s="55">
        <v>60</v>
      </c>
      <c r="AC41" s="55">
        <f>Y41-AB41</f>
        <v>61.7</v>
      </c>
      <c r="AD41" s="55">
        <f>X41-Y41</f>
        <v>75.3</v>
      </c>
      <c r="AE41" s="55"/>
      <c r="AF41" s="55">
        <f>AD41-AE41</f>
        <v>75.3</v>
      </c>
      <c r="AG41" s="61"/>
      <c r="AH41" s="77">
        <f>(SUM(Y41:Z41)/(1+10/100))*(10/100)</f>
        <v>13.218181818181819</v>
      </c>
    </row>
    <row r="42" spans="1:34" ht="12.75" x14ac:dyDescent="0.2">
      <c r="AH42" s="41"/>
    </row>
    <row r="43" spans="1:34" ht="12.75" x14ac:dyDescent="0.2">
      <c r="AH43" s="41"/>
    </row>
    <row r="44" spans="1:34" ht="51" x14ac:dyDescent="0.2">
      <c r="A44" s="52" t="s">
        <v>135</v>
      </c>
      <c r="B44" s="78">
        <v>45666</v>
      </c>
      <c r="C44" s="54"/>
      <c r="D44" s="54"/>
      <c r="E44" s="54"/>
      <c r="F44" s="54"/>
      <c r="G44" s="54"/>
      <c r="H44" s="54"/>
      <c r="I44" s="54"/>
      <c r="J44" s="55" t="s">
        <v>141</v>
      </c>
      <c r="K44" s="56"/>
      <c r="L44" s="52" t="s">
        <v>136</v>
      </c>
      <c r="M44" s="53">
        <v>45666</v>
      </c>
      <c r="N44" s="54"/>
      <c r="O44" s="54"/>
      <c r="P44" s="54"/>
      <c r="Q44" s="54"/>
      <c r="R44" s="54"/>
      <c r="S44" s="54"/>
      <c r="T44" s="54"/>
      <c r="U44" s="54"/>
      <c r="V44" s="54"/>
      <c r="W44" s="55" t="s">
        <v>141</v>
      </c>
      <c r="X44" s="57" t="s">
        <v>192</v>
      </c>
      <c r="Y44" s="58" t="s">
        <v>142</v>
      </c>
      <c r="Z44" s="59" t="s">
        <v>193</v>
      </c>
      <c r="AA44" s="60" t="s">
        <v>194</v>
      </c>
      <c r="AB44" s="57" t="s">
        <v>165</v>
      </c>
      <c r="AC44" s="55" t="s">
        <v>195</v>
      </c>
      <c r="AD44" s="55" t="s">
        <v>196</v>
      </c>
      <c r="AE44" s="57" t="s">
        <v>197</v>
      </c>
      <c r="AF44" s="55" t="s">
        <v>198</v>
      </c>
      <c r="AG44" s="61"/>
      <c r="AH44" s="77"/>
    </row>
    <row r="45" spans="1:34" ht="12.75" x14ac:dyDescent="0.2">
      <c r="A45" s="55" t="s">
        <v>199</v>
      </c>
      <c r="B45" s="62">
        <v>0.05</v>
      </c>
      <c r="C45" s="62">
        <v>0.1</v>
      </c>
      <c r="D45" s="62">
        <v>0.2</v>
      </c>
      <c r="E45" s="62">
        <v>0.5</v>
      </c>
      <c r="F45" s="62">
        <v>1</v>
      </c>
      <c r="G45" s="62">
        <v>2</v>
      </c>
      <c r="H45" s="62">
        <v>5</v>
      </c>
      <c r="I45" s="62">
        <v>10</v>
      </c>
      <c r="K45" s="56"/>
      <c r="L45" s="55" t="s">
        <v>199</v>
      </c>
      <c r="M45" s="62">
        <v>0.05</v>
      </c>
      <c r="N45" s="62">
        <v>0.1</v>
      </c>
      <c r="O45" s="62">
        <v>0.2</v>
      </c>
      <c r="P45" s="62">
        <v>0.5</v>
      </c>
      <c r="Q45" s="62">
        <v>1</v>
      </c>
      <c r="R45" s="62">
        <v>2</v>
      </c>
      <c r="S45" s="62">
        <v>5</v>
      </c>
      <c r="T45" s="62">
        <v>10</v>
      </c>
      <c r="U45" s="62">
        <v>20</v>
      </c>
      <c r="V45" s="62">
        <v>50</v>
      </c>
      <c r="W45" s="54"/>
      <c r="X45" s="54"/>
      <c r="Z45" s="63"/>
      <c r="AA45" s="64"/>
      <c r="AB45" s="54"/>
      <c r="AC45" s="54"/>
      <c r="AD45" s="54"/>
      <c r="AE45" s="54"/>
      <c r="AF45" s="54"/>
      <c r="AH45" s="41"/>
    </row>
    <row r="46" spans="1:34" ht="12.75" x14ac:dyDescent="0.2">
      <c r="A46" s="55" t="s">
        <v>200</v>
      </c>
      <c r="B46" s="38">
        <v>83</v>
      </c>
      <c r="C46" s="38">
        <v>51</v>
      </c>
      <c r="D46" s="65">
        <v>6</v>
      </c>
      <c r="E46" s="65">
        <v>10</v>
      </c>
      <c r="F46" s="65">
        <v>10</v>
      </c>
      <c r="G46" s="65">
        <v>5</v>
      </c>
      <c r="H46" s="65">
        <v>2</v>
      </c>
      <c r="I46" s="65"/>
      <c r="J46" s="54"/>
      <c r="K46" s="56"/>
      <c r="L46" s="55" t="s">
        <v>200</v>
      </c>
      <c r="M46" s="38">
        <v>79</v>
      </c>
      <c r="N46" s="38">
        <v>35</v>
      </c>
      <c r="O46" s="65">
        <v>7</v>
      </c>
      <c r="P46" s="65"/>
      <c r="Q46" s="65">
        <v>1</v>
      </c>
      <c r="R46" s="65">
        <v>11</v>
      </c>
      <c r="S46" s="65">
        <v>18</v>
      </c>
      <c r="T46" s="65">
        <v>4</v>
      </c>
      <c r="U46" s="65">
        <v>3</v>
      </c>
      <c r="V46" s="65">
        <v>2</v>
      </c>
      <c r="W46" s="65"/>
      <c r="X46" s="54"/>
      <c r="Z46" s="63"/>
      <c r="AA46" s="64"/>
      <c r="AB46" s="54"/>
      <c r="AC46" s="54"/>
      <c r="AD46" s="54"/>
      <c r="AE46" s="54"/>
      <c r="AF46" s="54"/>
      <c r="AH46" s="41"/>
    </row>
    <row r="47" spans="1:34" ht="12.75" x14ac:dyDescent="0.2">
      <c r="A47" s="55" t="s">
        <v>141</v>
      </c>
      <c r="B47" s="65">
        <f t="shared" ref="B47:I47" si="14">B46*B45</f>
        <v>4.1500000000000004</v>
      </c>
      <c r="C47" s="65">
        <f t="shared" si="14"/>
        <v>5.1000000000000005</v>
      </c>
      <c r="D47" s="65">
        <f t="shared" si="14"/>
        <v>1.2000000000000002</v>
      </c>
      <c r="E47" s="65">
        <f t="shared" si="14"/>
        <v>5</v>
      </c>
      <c r="F47" s="65">
        <f t="shared" si="14"/>
        <v>10</v>
      </c>
      <c r="G47" s="65">
        <f t="shared" si="14"/>
        <v>10</v>
      </c>
      <c r="H47" s="65">
        <f t="shared" si="14"/>
        <v>10</v>
      </c>
      <c r="I47" s="65">
        <f t="shared" si="14"/>
        <v>0</v>
      </c>
      <c r="J47" s="54">
        <f>SUM(B47:I47)</f>
        <v>45.45</v>
      </c>
      <c r="K47" s="56"/>
      <c r="L47" s="55" t="s">
        <v>141</v>
      </c>
      <c r="M47" s="70">
        <f t="shared" ref="M47:V47" si="15">M46*M45</f>
        <v>3.95</v>
      </c>
      <c r="N47" s="70">
        <f t="shared" si="15"/>
        <v>3.5</v>
      </c>
      <c r="O47" s="70">
        <f t="shared" si="15"/>
        <v>1.4000000000000001</v>
      </c>
      <c r="P47" s="70">
        <f t="shared" si="15"/>
        <v>0</v>
      </c>
      <c r="Q47" s="70">
        <f t="shared" si="15"/>
        <v>1</v>
      </c>
      <c r="R47" s="70">
        <f t="shared" si="15"/>
        <v>22</v>
      </c>
      <c r="S47" s="70">
        <f t="shared" si="15"/>
        <v>90</v>
      </c>
      <c r="T47" s="70">
        <f t="shared" si="15"/>
        <v>40</v>
      </c>
      <c r="U47" s="70">
        <f t="shared" si="15"/>
        <v>60</v>
      </c>
      <c r="V47" s="70">
        <f t="shared" si="15"/>
        <v>100</v>
      </c>
      <c r="W47" s="54">
        <f>SUM(M47:V47)</f>
        <v>321.85000000000002</v>
      </c>
      <c r="X47" s="55">
        <f>W47-J47</f>
        <v>276.40000000000003</v>
      </c>
      <c r="Y47" s="63">
        <v>142.30000000000001</v>
      </c>
      <c r="Z47" s="63">
        <v>39.200000000000003</v>
      </c>
      <c r="AA47" s="66">
        <f>X47+Z47</f>
        <v>315.60000000000002</v>
      </c>
      <c r="AB47" s="55">
        <v>56</v>
      </c>
      <c r="AC47" s="55">
        <f>Y47-AB47</f>
        <v>86.300000000000011</v>
      </c>
      <c r="AD47" s="55">
        <f>X47-Y47</f>
        <v>134.10000000000002</v>
      </c>
      <c r="AE47" s="55">
        <v>15</v>
      </c>
      <c r="AF47" s="55">
        <f>AD47-AE47</f>
        <v>119.10000000000002</v>
      </c>
      <c r="AG47" s="61"/>
      <c r="AH47" s="77">
        <f>(SUM(Y47:Z47)/(1+10/100))*(10/100)</f>
        <v>16.5</v>
      </c>
    </row>
    <row r="48" spans="1:34" ht="12.75" x14ac:dyDescent="0.2">
      <c r="AC48" s="38">
        <v>-20.3</v>
      </c>
      <c r="AH48" s="41"/>
    </row>
    <row r="49" spans="1:34" ht="12.75" x14ac:dyDescent="0.2">
      <c r="AH49" s="41"/>
    </row>
    <row r="50" spans="1:34" ht="51" x14ac:dyDescent="0.2">
      <c r="A50" s="52" t="s">
        <v>135</v>
      </c>
      <c r="B50" s="53">
        <v>45667</v>
      </c>
      <c r="C50" s="54"/>
      <c r="D50" s="54"/>
      <c r="E50" s="54"/>
      <c r="F50" s="54"/>
      <c r="G50" s="54"/>
      <c r="H50" s="54"/>
      <c r="I50" s="54"/>
      <c r="J50" s="55" t="s">
        <v>141</v>
      </c>
      <c r="K50" s="56"/>
      <c r="L50" s="52" t="s">
        <v>136</v>
      </c>
      <c r="M50" s="53">
        <v>45667</v>
      </c>
      <c r="N50" s="54"/>
      <c r="O50" s="54"/>
      <c r="P50" s="54"/>
      <c r="Q50" s="54"/>
      <c r="R50" s="54"/>
      <c r="S50" s="54"/>
      <c r="T50" s="54"/>
      <c r="U50" s="54"/>
      <c r="V50" s="54"/>
      <c r="W50" s="55" t="s">
        <v>141</v>
      </c>
      <c r="X50" s="57" t="s">
        <v>192</v>
      </c>
      <c r="Y50" s="58" t="s">
        <v>142</v>
      </c>
      <c r="Z50" s="59" t="s">
        <v>193</v>
      </c>
      <c r="AA50" s="60" t="s">
        <v>194</v>
      </c>
      <c r="AB50" s="57" t="s">
        <v>165</v>
      </c>
      <c r="AC50" s="55" t="s">
        <v>195</v>
      </c>
      <c r="AD50" s="55" t="s">
        <v>196</v>
      </c>
      <c r="AE50" s="57" t="s">
        <v>197</v>
      </c>
      <c r="AF50" s="55" t="s">
        <v>198</v>
      </c>
      <c r="AG50" s="61"/>
      <c r="AH50" s="77"/>
    </row>
    <row r="51" spans="1:34" ht="12.75" x14ac:dyDescent="0.2">
      <c r="A51" s="55" t="s">
        <v>199</v>
      </c>
      <c r="B51" s="62">
        <v>0.05</v>
      </c>
      <c r="C51" s="62">
        <v>0.1</v>
      </c>
      <c r="D51" s="62">
        <v>0.2</v>
      </c>
      <c r="E51" s="62">
        <v>0.5</v>
      </c>
      <c r="F51" s="62">
        <v>1</v>
      </c>
      <c r="G51" s="62">
        <v>2</v>
      </c>
      <c r="H51" s="62">
        <v>5</v>
      </c>
      <c r="I51" s="62">
        <v>10</v>
      </c>
      <c r="K51" s="56"/>
      <c r="L51" s="55" t="s">
        <v>199</v>
      </c>
      <c r="M51" s="62">
        <v>0.05</v>
      </c>
      <c r="N51" s="62">
        <v>0.1</v>
      </c>
      <c r="O51" s="62">
        <v>0.2</v>
      </c>
      <c r="P51" s="62">
        <v>0.5</v>
      </c>
      <c r="Q51" s="62">
        <v>1</v>
      </c>
      <c r="R51" s="62">
        <v>2</v>
      </c>
      <c r="S51" s="62">
        <v>5</v>
      </c>
      <c r="T51" s="62">
        <v>10</v>
      </c>
      <c r="U51" s="62">
        <v>20</v>
      </c>
      <c r="V51" s="62">
        <v>50</v>
      </c>
      <c r="W51" s="54"/>
      <c r="X51" s="54"/>
      <c r="Z51" s="63"/>
      <c r="AA51" s="64"/>
      <c r="AB51" s="54"/>
      <c r="AC51" s="54"/>
      <c r="AD51" s="54"/>
      <c r="AE51" s="54"/>
      <c r="AF51" s="54"/>
      <c r="AH51" s="41"/>
    </row>
    <row r="52" spans="1:34" ht="12.75" x14ac:dyDescent="0.2">
      <c r="A52" s="55" t="s">
        <v>200</v>
      </c>
      <c r="B52" s="38">
        <v>79</v>
      </c>
      <c r="C52" s="38">
        <v>35</v>
      </c>
      <c r="D52" s="65">
        <v>7</v>
      </c>
      <c r="E52" s="65">
        <v>8</v>
      </c>
      <c r="F52" s="65">
        <v>5</v>
      </c>
      <c r="G52" s="65">
        <v>7</v>
      </c>
      <c r="H52" s="65">
        <v>2</v>
      </c>
      <c r="I52" s="65"/>
      <c r="J52" s="54"/>
      <c r="K52" s="56"/>
      <c r="L52" s="55" t="s">
        <v>200</v>
      </c>
      <c r="M52" s="38">
        <v>75</v>
      </c>
      <c r="N52" s="38">
        <v>31</v>
      </c>
      <c r="O52" s="65">
        <v>8</v>
      </c>
      <c r="P52" s="65">
        <v>5</v>
      </c>
      <c r="Q52" s="65">
        <v>8</v>
      </c>
      <c r="R52" s="65">
        <v>6</v>
      </c>
      <c r="S52" s="65">
        <v>3</v>
      </c>
      <c r="T52" s="65">
        <v>5</v>
      </c>
      <c r="U52" s="65">
        <v>6</v>
      </c>
      <c r="V52" s="65">
        <v>3</v>
      </c>
      <c r="W52" s="65"/>
      <c r="X52" s="54"/>
      <c r="Z52" s="63"/>
      <c r="AA52" s="64"/>
      <c r="AB52" s="54"/>
      <c r="AC52" s="54"/>
      <c r="AD52" s="54"/>
      <c r="AE52" s="54"/>
      <c r="AF52" s="54"/>
      <c r="AH52" s="41"/>
    </row>
    <row r="53" spans="1:34" ht="12.75" x14ac:dyDescent="0.2">
      <c r="A53" s="55" t="s">
        <v>141</v>
      </c>
      <c r="B53" s="65">
        <f t="shared" ref="B53:I53" si="16">B52*B51</f>
        <v>3.95</v>
      </c>
      <c r="C53" s="65">
        <f t="shared" si="16"/>
        <v>3.5</v>
      </c>
      <c r="D53" s="65">
        <f t="shared" si="16"/>
        <v>1.4000000000000001</v>
      </c>
      <c r="E53" s="65">
        <f t="shared" si="16"/>
        <v>4</v>
      </c>
      <c r="F53" s="65">
        <f t="shared" si="16"/>
        <v>5</v>
      </c>
      <c r="G53" s="65">
        <f t="shared" si="16"/>
        <v>14</v>
      </c>
      <c r="H53" s="65">
        <f t="shared" si="16"/>
        <v>10</v>
      </c>
      <c r="I53" s="65">
        <f t="shared" si="16"/>
        <v>0</v>
      </c>
      <c r="J53" s="54">
        <f>SUM(B53:I53)</f>
        <v>41.85</v>
      </c>
      <c r="K53" s="56"/>
      <c r="L53" s="55" t="s">
        <v>141</v>
      </c>
      <c r="M53" s="70">
        <f t="shared" ref="M53:V53" si="17">M52*M51</f>
        <v>3.75</v>
      </c>
      <c r="N53" s="70">
        <f t="shared" si="17"/>
        <v>3.1</v>
      </c>
      <c r="O53" s="70">
        <f t="shared" si="17"/>
        <v>1.6</v>
      </c>
      <c r="P53" s="70">
        <f t="shared" si="17"/>
        <v>2.5</v>
      </c>
      <c r="Q53" s="70">
        <f t="shared" si="17"/>
        <v>8</v>
      </c>
      <c r="R53" s="70">
        <f t="shared" si="17"/>
        <v>12</v>
      </c>
      <c r="S53" s="70">
        <f t="shared" si="17"/>
        <v>15</v>
      </c>
      <c r="T53" s="70">
        <f t="shared" si="17"/>
        <v>50</v>
      </c>
      <c r="U53" s="70">
        <f t="shared" si="17"/>
        <v>120</v>
      </c>
      <c r="V53" s="70">
        <f t="shared" si="17"/>
        <v>150</v>
      </c>
      <c r="W53" s="54">
        <f>SUM(M53:V53)</f>
        <v>365.95</v>
      </c>
      <c r="X53" s="55">
        <f>W53-J53</f>
        <v>324.09999999999997</v>
      </c>
      <c r="Y53" s="63">
        <v>151.69999999999999</v>
      </c>
      <c r="Z53" s="63">
        <v>33.200000000000003</v>
      </c>
      <c r="AA53" s="66">
        <f>X53+Z53</f>
        <v>357.29999999999995</v>
      </c>
      <c r="AB53" s="55">
        <v>55</v>
      </c>
      <c r="AC53" s="55">
        <f>Y53-AB53</f>
        <v>96.699999999999989</v>
      </c>
      <c r="AD53" s="55">
        <f>X53-Y53</f>
        <v>172.39999999999998</v>
      </c>
      <c r="AE53" s="55">
        <v>72.400000000000006</v>
      </c>
      <c r="AF53" s="55">
        <f>AD53-AE53</f>
        <v>99.999999999999972</v>
      </c>
      <c r="AG53" s="61"/>
      <c r="AH53" s="77">
        <f>(SUM(Y53:Z53)/(1+10/100))*(10/100)</f>
        <v>16.809090909090909</v>
      </c>
    </row>
    <row r="54" spans="1:34" ht="12.75" x14ac:dyDescent="0.2">
      <c r="AC54" s="38">
        <v>-16.7</v>
      </c>
      <c r="AH54" s="41"/>
    </row>
    <row r="55" spans="1:34" ht="12.75" x14ac:dyDescent="0.2">
      <c r="AH55" s="41"/>
    </row>
    <row r="56" spans="1:34" ht="51" x14ac:dyDescent="0.2">
      <c r="A56" s="52" t="s">
        <v>135</v>
      </c>
      <c r="B56" s="53">
        <v>45668</v>
      </c>
      <c r="C56" s="54"/>
      <c r="D56" s="54"/>
      <c r="E56" s="54"/>
      <c r="F56" s="54"/>
      <c r="G56" s="54"/>
      <c r="H56" s="54"/>
      <c r="I56" s="54"/>
      <c r="J56" s="55" t="s">
        <v>141</v>
      </c>
      <c r="K56" s="56"/>
      <c r="L56" s="52" t="s">
        <v>136</v>
      </c>
      <c r="M56" s="53">
        <v>45668</v>
      </c>
      <c r="N56" s="54"/>
      <c r="O56" s="54"/>
      <c r="P56" s="54"/>
      <c r="Q56" s="54"/>
      <c r="R56" s="54"/>
      <c r="S56" s="54"/>
      <c r="T56" s="54"/>
      <c r="U56" s="54"/>
      <c r="V56" s="54"/>
      <c r="W56" s="55" t="s">
        <v>141</v>
      </c>
      <c r="X56" s="57" t="s">
        <v>192</v>
      </c>
      <c r="Y56" s="58" t="s">
        <v>142</v>
      </c>
      <c r="Z56" s="59" t="s">
        <v>193</v>
      </c>
      <c r="AA56" s="60" t="s">
        <v>194</v>
      </c>
      <c r="AB56" s="57" t="s">
        <v>165</v>
      </c>
      <c r="AC56" s="55" t="s">
        <v>195</v>
      </c>
      <c r="AD56" s="55" t="s">
        <v>196</v>
      </c>
      <c r="AE56" s="57" t="s">
        <v>197</v>
      </c>
      <c r="AF56" s="55" t="s">
        <v>198</v>
      </c>
      <c r="AG56" s="61"/>
      <c r="AH56" s="77"/>
    </row>
    <row r="57" spans="1:34" ht="12.75" x14ac:dyDescent="0.2">
      <c r="A57" s="55" t="s">
        <v>199</v>
      </c>
      <c r="B57" s="62">
        <v>0.05</v>
      </c>
      <c r="C57" s="62">
        <v>0.1</v>
      </c>
      <c r="D57" s="62">
        <v>0.2</v>
      </c>
      <c r="E57" s="62">
        <v>0.5</v>
      </c>
      <c r="F57" s="62">
        <v>1</v>
      </c>
      <c r="G57" s="62">
        <v>2</v>
      </c>
      <c r="H57" s="62">
        <v>5</v>
      </c>
      <c r="I57" s="62">
        <v>10</v>
      </c>
      <c r="K57" s="56"/>
      <c r="L57" s="55" t="s">
        <v>199</v>
      </c>
      <c r="M57" s="62">
        <v>0.05</v>
      </c>
      <c r="N57" s="62">
        <v>0.1</v>
      </c>
      <c r="O57" s="62">
        <v>0.2</v>
      </c>
      <c r="P57" s="62">
        <v>0.5</v>
      </c>
      <c r="Q57" s="62">
        <v>1</v>
      </c>
      <c r="R57" s="62">
        <v>2</v>
      </c>
      <c r="S57" s="62">
        <v>5</v>
      </c>
      <c r="T57" s="62">
        <v>10</v>
      </c>
      <c r="U57" s="62">
        <v>20</v>
      </c>
      <c r="V57" s="62">
        <v>50</v>
      </c>
      <c r="W57" s="54"/>
      <c r="X57" s="54"/>
      <c r="Z57" s="63"/>
      <c r="AA57" s="64"/>
      <c r="AB57" s="54"/>
      <c r="AC57" s="54"/>
      <c r="AD57" s="54"/>
      <c r="AE57" s="54"/>
      <c r="AF57" s="54"/>
      <c r="AH57" s="41"/>
    </row>
    <row r="58" spans="1:34" ht="12.75" x14ac:dyDescent="0.2">
      <c r="A58" s="55" t="s">
        <v>200</v>
      </c>
      <c r="B58" s="38">
        <v>75</v>
      </c>
      <c r="C58" s="38">
        <v>31</v>
      </c>
      <c r="D58" s="65">
        <v>8</v>
      </c>
      <c r="E58" s="65">
        <v>5</v>
      </c>
      <c r="F58" s="65">
        <v>8</v>
      </c>
      <c r="G58" s="65">
        <v>6</v>
      </c>
      <c r="H58" s="65">
        <v>2</v>
      </c>
      <c r="I58" s="65"/>
      <c r="J58" s="54"/>
      <c r="K58" s="56"/>
      <c r="L58" s="55" t="s">
        <v>200</v>
      </c>
      <c r="M58" s="38">
        <v>79</v>
      </c>
      <c r="N58" s="38">
        <v>34</v>
      </c>
      <c r="O58" s="65">
        <v>9</v>
      </c>
      <c r="P58" s="65">
        <v>9</v>
      </c>
      <c r="Q58" s="65">
        <v>8</v>
      </c>
      <c r="R58" s="65">
        <v>3</v>
      </c>
      <c r="S58" s="65">
        <v>6</v>
      </c>
      <c r="T58" s="65">
        <v>8</v>
      </c>
      <c r="U58" s="65">
        <v>7</v>
      </c>
      <c r="V58" s="65">
        <v>0</v>
      </c>
      <c r="W58" s="65"/>
      <c r="X58" s="54"/>
      <c r="Z58" s="63"/>
      <c r="AA58" s="64"/>
      <c r="AB58" s="54"/>
      <c r="AC58" s="54"/>
      <c r="AD58" s="54"/>
      <c r="AE58" s="54"/>
      <c r="AF58" s="54"/>
      <c r="AH58" s="41"/>
    </row>
    <row r="59" spans="1:34" ht="12.75" x14ac:dyDescent="0.2">
      <c r="A59" s="55" t="s">
        <v>141</v>
      </c>
      <c r="B59" s="65">
        <f t="shared" ref="B59:I59" si="18">B58*B57</f>
        <v>3.75</v>
      </c>
      <c r="C59" s="65">
        <f t="shared" si="18"/>
        <v>3.1</v>
      </c>
      <c r="D59" s="65">
        <f t="shared" si="18"/>
        <v>1.6</v>
      </c>
      <c r="E59" s="65">
        <f t="shared" si="18"/>
        <v>2.5</v>
      </c>
      <c r="F59" s="65">
        <f t="shared" si="18"/>
        <v>8</v>
      </c>
      <c r="G59" s="65">
        <f t="shared" si="18"/>
        <v>12</v>
      </c>
      <c r="H59" s="65">
        <f t="shared" si="18"/>
        <v>10</v>
      </c>
      <c r="I59" s="65">
        <f t="shared" si="18"/>
        <v>0</v>
      </c>
      <c r="J59" s="54">
        <f>SUM(B59:I59)</f>
        <v>40.950000000000003</v>
      </c>
      <c r="K59" s="56"/>
      <c r="L59" s="55" t="s">
        <v>141</v>
      </c>
      <c r="M59" s="70">
        <f t="shared" ref="M59:V59" si="19">M58*M57</f>
        <v>3.95</v>
      </c>
      <c r="N59" s="70">
        <f t="shared" si="19"/>
        <v>3.4000000000000004</v>
      </c>
      <c r="O59" s="70">
        <f t="shared" si="19"/>
        <v>1.8</v>
      </c>
      <c r="P59" s="70">
        <f t="shared" si="19"/>
        <v>4.5</v>
      </c>
      <c r="Q59" s="70">
        <f t="shared" si="19"/>
        <v>8</v>
      </c>
      <c r="R59" s="70">
        <f t="shared" si="19"/>
        <v>6</v>
      </c>
      <c r="S59" s="70">
        <f t="shared" si="19"/>
        <v>30</v>
      </c>
      <c r="T59" s="70">
        <f t="shared" si="19"/>
        <v>80</v>
      </c>
      <c r="U59" s="70">
        <f t="shared" si="19"/>
        <v>140</v>
      </c>
      <c r="V59" s="70">
        <f t="shared" si="19"/>
        <v>0</v>
      </c>
      <c r="W59" s="54">
        <f>SUM(M59:V59)</f>
        <v>277.64999999999998</v>
      </c>
      <c r="X59" s="55">
        <f>W59-J59</f>
        <v>236.7</v>
      </c>
      <c r="Y59" s="63">
        <v>116.6</v>
      </c>
      <c r="Z59" s="63">
        <v>11.1</v>
      </c>
      <c r="AA59" s="66">
        <f>X59+Z59</f>
        <v>247.79999999999998</v>
      </c>
      <c r="AB59" s="55">
        <v>40</v>
      </c>
      <c r="AC59" s="55">
        <f>Y59-AB59</f>
        <v>76.599999999999994</v>
      </c>
      <c r="AD59" s="55">
        <f>X59-Y59</f>
        <v>120.1</v>
      </c>
      <c r="AE59" s="55">
        <v>30</v>
      </c>
      <c r="AF59" s="55">
        <f>AD59-AE59</f>
        <v>90.1</v>
      </c>
      <c r="AG59" s="61"/>
      <c r="AH59" s="77">
        <f>(SUM(Y59:Z59)/(1+10/100))*(10/100)</f>
        <v>11.609090909090908</v>
      </c>
    </row>
    <row r="60" spans="1:34" ht="12.75" x14ac:dyDescent="0.2">
      <c r="AB60" s="38" t="s">
        <v>167</v>
      </c>
      <c r="AE60" s="38" t="s">
        <v>167</v>
      </c>
      <c r="AH60" s="41"/>
    </row>
    <row r="61" spans="1:34" ht="12.75" x14ac:dyDescent="0.2">
      <c r="AH61" s="41"/>
    </row>
    <row r="62" spans="1:34" ht="51" x14ac:dyDescent="0.2">
      <c r="A62" s="52" t="s">
        <v>135</v>
      </c>
      <c r="B62" s="53">
        <v>45670</v>
      </c>
      <c r="C62" s="54"/>
      <c r="D62" s="54"/>
      <c r="E62" s="54"/>
      <c r="F62" s="54"/>
      <c r="G62" s="54"/>
      <c r="H62" s="54"/>
      <c r="I62" s="54"/>
      <c r="J62" s="55" t="s">
        <v>141</v>
      </c>
      <c r="K62" s="56"/>
      <c r="L62" s="52" t="s">
        <v>136</v>
      </c>
      <c r="M62" s="53">
        <v>45670</v>
      </c>
      <c r="N62" s="54"/>
      <c r="O62" s="54"/>
      <c r="P62" s="54"/>
      <c r="Q62" s="54"/>
      <c r="R62" s="54"/>
      <c r="S62" s="54"/>
      <c r="T62" s="54"/>
      <c r="U62" s="54"/>
      <c r="V62" s="54"/>
      <c r="W62" s="55" t="s">
        <v>141</v>
      </c>
      <c r="X62" s="57" t="s">
        <v>192</v>
      </c>
      <c r="Y62" s="58" t="s">
        <v>142</v>
      </c>
      <c r="Z62" s="59" t="s">
        <v>193</v>
      </c>
      <c r="AA62" s="60" t="s">
        <v>194</v>
      </c>
      <c r="AB62" s="57" t="s">
        <v>165</v>
      </c>
      <c r="AC62" s="55" t="s">
        <v>195</v>
      </c>
      <c r="AD62" s="55" t="s">
        <v>196</v>
      </c>
      <c r="AE62" s="57" t="s">
        <v>197</v>
      </c>
      <c r="AF62" s="55" t="s">
        <v>198</v>
      </c>
      <c r="AG62" s="61"/>
      <c r="AH62" s="77"/>
    </row>
    <row r="63" spans="1:34" ht="12.75" x14ac:dyDescent="0.2">
      <c r="A63" s="55" t="s">
        <v>199</v>
      </c>
      <c r="B63" s="62">
        <v>0.05</v>
      </c>
      <c r="C63" s="62">
        <v>0.1</v>
      </c>
      <c r="D63" s="62">
        <v>0.2</v>
      </c>
      <c r="E63" s="62">
        <v>0.5</v>
      </c>
      <c r="F63" s="62">
        <v>1</v>
      </c>
      <c r="G63" s="62">
        <v>2</v>
      </c>
      <c r="H63" s="62">
        <v>5</v>
      </c>
      <c r="I63" s="62">
        <v>10</v>
      </c>
      <c r="K63" s="56"/>
      <c r="L63" s="55" t="s">
        <v>199</v>
      </c>
      <c r="M63" s="62">
        <v>0.05</v>
      </c>
      <c r="N63" s="62">
        <v>0.1</v>
      </c>
      <c r="O63" s="62">
        <v>0.2</v>
      </c>
      <c r="P63" s="62">
        <v>0.5</v>
      </c>
      <c r="Q63" s="62">
        <v>1</v>
      </c>
      <c r="R63" s="62">
        <v>2</v>
      </c>
      <c r="S63" s="62">
        <v>5</v>
      </c>
      <c r="T63" s="62">
        <v>10</v>
      </c>
      <c r="U63" s="62">
        <v>20</v>
      </c>
      <c r="V63" s="62">
        <v>50</v>
      </c>
      <c r="W63" s="54"/>
      <c r="X63" s="54"/>
      <c r="Z63" s="63"/>
      <c r="AA63" s="64"/>
      <c r="AB63" s="54"/>
      <c r="AC63" s="54"/>
      <c r="AD63" s="54"/>
      <c r="AE63" s="54"/>
      <c r="AF63" s="54"/>
      <c r="AH63" s="41"/>
    </row>
    <row r="64" spans="1:34" ht="12.75" x14ac:dyDescent="0.2">
      <c r="A64" s="55" t="s">
        <v>200</v>
      </c>
      <c r="B64" s="38">
        <v>79</v>
      </c>
      <c r="C64" s="38">
        <v>34</v>
      </c>
      <c r="D64" s="65">
        <v>9</v>
      </c>
      <c r="E64" s="65">
        <v>9</v>
      </c>
      <c r="F64" s="65">
        <v>8</v>
      </c>
      <c r="G64" s="65">
        <v>3</v>
      </c>
      <c r="H64" s="65">
        <v>2</v>
      </c>
      <c r="I64" s="65"/>
      <c r="J64" s="54"/>
      <c r="K64" s="56"/>
      <c r="L64" s="55" t="s">
        <v>200</v>
      </c>
      <c r="M64" s="38">
        <v>73</v>
      </c>
      <c r="N64" s="38">
        <v>38</v>
      </c>
      <c r="O64" s="65">
        <v>8</v>
      </c>
      <c r="P64" s="65">
        <v>11</v>
      </c>
      <c r="Q64" s="65">
        <v>8</v>
      </c>
      <c r="R64" s="65">
        <v>4</v>
      </c>
      <c r="S64" s="65">
        <v>4</v>
      </c>
      <c r="T64" s="65">
        <v>3</v>
      </c>
      <c r="U64" s="65">
        <v>4</v>
      </c>
      <c r="V64" s="65">
        <v>3</v>
      </c>
      <c r="W64" s="65"/>
      <c r="X64" s="54"/>
      <c r="Z64" s="63"/>
      <c r="AA64" s="64"/>
      <c r="AB64" s="54"/>
      <c r="AC64" s="54"/>
      <c r="AD64" s="54"/>
      <c r="AE64" s="54"/>
      <c r="AF64" s="54"/>
      <c r="AH64" s="41"/>
    </row>
    <row r="65" spans="1:34" ht="12.75" x14ac:dyDescent="0.2">
      <c r="A65" s="55" t="s">
        <v>141</v>
      </c>
      <c r="B65" s="65">
        <f t="shared" ref="B65:I65" si="20">B64*B63</f>
        <v>3.95</v>
      </c>
      <c r="C65" s="65">
        <f t="shared" si="20"/>
        <v>3.4000000000000004</v>
      </c>
      <c r="D65" s="65">
        <f t="shared" si="20"/>
        <v>1.8</v>
      </c>
      <c r="E65" s="65">
        <f t="shared" si="20"/>
        <v>4.5</v>
      </c>
      <c r="F65" s="65">
        <f t="shared" si="20"/>
        <v>8</v>
      </c>
      <c r="G65" s="65">
        <f t="shared" si="20"/>
        <v>6</v>
      </c>
      <c r="H65" s="65">
        <f t="shared" si="20"/>
        <v>10</v>
      </c>
      <c r="I65" s="65">
        <f t="shared" si="20"/>
        <v>0</v>
      </c>
      <c r="J65" s="54">
        <f>SUM(B65:I65)</f>
        <v>37.65</v>
      </c>
      <c r="K65" s="56"/>
      <c r="L65" s="55" t="s">
        <v>141</v>
      </c>
      <c r="M65" s="70">
        <f t="shared" ref="M65:V65" si="21">M64*M63</f>
        <v>3.6500000000000004</v>
      </c>
      <c r="N65" s="70">
        <f t="shared" si="21"/>
        <v>3.8000000000000003</v>
      </c>
      <c r="O65" s="70">
        <f t="shared" si="21"/>
        <v>1.6</v>
      </c>
      <c r="P65" s="70">
        <f t="shared" si="21"/>
        <v>5.5</v>
      </c>
      <c r="Q65" s="70">
        <f t="shared" si="21"/>
        <v>8</v>
      </c>
      <c r="R65" s="70">
        <f t="shared" si="21"/>
        <v>8</v>
      </c>
      <c r="S65" s="70">
        <f t="shared" si="21"/>
        <v>20</v>
      </c>
      <c r="T65" s="70">
        <f t="shared" si="21"/>
        <v>30</v>
      </c>
      <c r="U65" s="70">
        <f t="shared" si="21"/>
        <v>80</v>
      </c>
      <c r="V65" s="70">
        <f t="shared" si="21"/>
        <v>150</v>
      </c>
      <c r="W65" s="54">
        <f>SUM(M65:V65)</f>
        <v>310.55</v>
      </c>
      <c r="X65" s="55">
        <f>W65-J65</f>
        <v>272.90000000000003</v>
      </c>
      <c r="Y65" s="63">
        <v>133.30000000000001</v>
      </c>
      <c r="Z65" s="63">
        <v>23.7</v>
      </c>
      <c r="AA65" s="66">
        <f>X65+Z65</f>
        <v>296.60000000000002</v>
      </c>
      <c r="AB65" s="55">
        <v>50</v>
      </c>
      <c r="AC65" s="55">
        <f>Y65-AB65</f>
        <v>83.300000000000011</v>
      </c>
      <c r="AD65" s="55">
        <f>X65-Y65</f>
        <v>139.60000000000002</v>
      </c>
      <c r="AE65" s="55">
        <v>39.6</v>
      </c>
      <c r="AF65" s="55">
        <f>AD65-AE65</f>
        <v>100.00000000000003</v>
      </c>
      <c r="AG65" s="61" t="s">
        <v>236</v>
      </c>
      <c r="AH65" s="77">
        <f>(SUM(Y65:Z65)/(1+10/100))*(10/100)</f>
        <v>14.272727272727273</v>
      </c>
    </row>
    <row r="66" spans="1:34" ht="12.75" x14ac:dyDescent="0.2">
      <c r="AB66" s="38" t="s">
        <v>177</v>
      </c>
      <c r="AC66" s="38">
        <v>-23.3</v>
      </c>
      <c r="AG66" s="38" t="s">
        <v>237</v>
      </c>
      <c r="AH66" s="41"/>
    </row>
    <row r="67" spans="1:34" ht="12.75" x14ac:dyDescent="0.2">
      <c r="AB67" s="38">
        <v>0</v>
      </c>
      <c r="AH67" s="41"/>
    </row>
    <row r="68" spans="1:34" ht="51" x14ac:dyDescent="0.2">
      <c r="A68" s="52" t="s">
        <v>135</v>
      </c>
      <c r="B68" s="53">
        <v>45671</v>
      </c>
      <c r="C68" s="54"/>
      <c r="D68" s="54"/>
      <c r="E68" s="54"/>
      <c r="F68" s="54"/>
      <c r="G68" s="54"/>
      <c r="H68" s="54"/>
      <c r="I68" s="54"/>
      <c r="J68" s="55" t="s">
        <v>141</v>
      </c>
      <c r="K68" s="56"/>
      <c r="L68" s="52" t="s">
        <v>136</v>
      </c>
      <c r="M68" s="53">
        <v>45671</v>
      </c>
      <c r="N68" s="54"/>
      <c r="O68" s="54"/>
      <c r="P68" s="54"/>
      <c r="Q68" s="54"/>
      <c r="R68" s="54"/>
      <c r="S68" s="54"/>
      <c r="T68" s="54"/>
      <c r="U68" s="54"/>
      <c r="V68" s="54"/>
      <c r="W68" s="55" t="s">
        <v>141</v>
      </c>
      <c r="X68" s="57" t="s">
        <v>192</v>
      </c>
      <c r="Y68" s="58" t="s">
        <v>142</v>
      </c>
      <c r="Z68" s="59" t="s">
        <v>193</v>
      </c>
      <c r="AA68" s="60" t="s">
        <v>194</v>
      </c>
      <c r="AB68" s="57" t="s">
        <v>165</v>
      </c>
      <c r="AC68" s="55" t="s">
        <v>195</v>
      </c>
      <c r="AD68" s="55" t="s">
        <v>196</v>
      </c>
      <c r="AE68" s="57" t="s">
        <v>197</v>
      </c>
      <c r="AF68" s="55" t="s">
        <v>198</v>
      </c>
      <c r="AG68" s="61"/>
      <c r="AH68" s="77"/>
    </row>
    <row r="69" spans="1:34" ht="12.75" x14ac:dyDescent="0.2">
      <c r="A69" s="55" t="s">
        <v>199</v>
      </c>
      <c r="B69" s="62">
        <v>0.05</v>
      </c>
      <c r="C69" s="62">
        <v>0.1</v>
      </c>
      <c r="D69" s="62">
        <v>0.2</v>
      </c>
      <c r="E69" s="62">
        <v>0.5</v>
      </c>
      <c r="F69" s="62">
        <v>1</v>
      </c>
      <c r="G69" s="62">
        <v>2</v>
      </c>
      <c r="H69" s="62">
        <v>5</v>
      </c>
      <c r="I69" s="62">
        <v>10</v>
      </c>
      <c r="K69" s="56"/>
      <c r="L69" s="55" t="s">
        <v>199</v>
      </c>
      <c r="M69" s="62">
        <v>0.05</v>
      </c>
      <c r="N69" s="62">
        <v>0.1</v>
      </c>
      <c r="O69" s="62">
        <v>0.2</v>
      </c>
      <c r="P69" s="62">
        <v>0.5</v>
      </c>
      <c r="Q69" s="62">
        <v>1</v>
      </c>
      <c r="R69" s="62">
        <v>2</v>
      </c>
      <c r="S69" s="62">
        <v>5</v>
      </c>
      <c r="T69" s="62">
        <v>10</v>
      </c>
      <c r="U69" s="62">
        <v>20</v>
      </c>
      <c r="V69" s="62">
        <v>50</v>
      </c>
      <c r="W69" s="54"/>
      <c r="X69" s="54"/>
      <c r="Z69" s="63"/>
      <c r="AA69" s="64"/>
      <c r="AB69" s="54"/>
      <c r="AC69" s="54"/>
      <c r="AD69" s="54"/>
      <c r="AE69" s="54"/>
      <c r="AF69" s="54"/>
      <c r="AH69" s="41"/>
    </row>
    <row r="70" spans="1:34" ht="12.75" x14ac:dyDescent="0.2">
      <c r="A70" s="55" t="s">
        <v>200</v>
      </c>
      <c r="B70" s="38">
        <v>73</v>
      </c>
      <c r="C70" s="38">
        <v>38</v>
      </c>
      <c r="D70" s="65">
        <v>8</v>
      </c>
      <c r="E70" s="65">
        <v>11</v>
      </c>
      <c r="F70" s="65">
        <v>8</v>
      </c>
      <c r="G70" s="65">
        <v>4</v>
      </c>
      <c r="H70" s="65">
        <v>2</v>
      </c>
      <c r="I70" s="65"/>
      <c r="J70" s="54"/>
      <c r="K70" s="56"/>
      <c r="L70" s="55" t="s">
        <v>200</v>
      </c>
      <c r="M70" s="38">
        <v>71</v>
      </c>
      <c r="N70" s="38">
        <v>33</v>
      </c>
      <c r="O70" s="65">
        <v>12</v>
      </c>
      <c r="P70" s="65">
        <v>8</v>
      </c>
      <c r="Q70" s="65">
        <v>10</v>
      </c>
      <c r="R70" s="65">
        <v>4</v>
      </c>
      <c r="S70" s="65">
        <v>11</v>
      </c>
      <c r="T70" s="65">
        <v>3</v>
      </c>
      <c r="U70" s="65">
        <v>2</v>
      </c>
      <c r="V70" s="65">
        <v>2</v>
      </c>
      <c r="W70" s="65"/>
      <c r="X70" s="54"/>
      <c r="Z70" s="63"/>
      <c r="AA70" s="64"/>
      <c r="AB70" s="54"/>
      <c r="AC70" s="54"/>
      <c r="AD70" s="54"/>
      <c r="AE70" s="54"/>
      <c r="AF70" s="54"/>
      <c r="AH70" s="41"/>
    </row>
    <row r="71" spans="1:34" ht="12.75" x14ac:dyDescent="0.2">
      <c r="A71" s="55" t="s">
        <v>141</v>
      </c>
      <c r="B71" s="65">
        <f t="shared" ref="B71:I71" si="22">B70*B69</f>
        <v>3.6500000000000004</v>
      </c>
      <c r="C71" s="65">
        <f t="shared" si="22"/>
        <v>3.8000000000000003</v>
      </c>
      <c r="D71" s="65">
        <f t="shared" si="22"/>
        <v>1.6</v>
      </c>
      <c r="E71" s="65">
        <f t="shared" si="22"/>
        <v>5.5</v>
      </c>
      <c r="F71" s="65">
        <f t="shared" si="22"/>
        <v>8</v>
      </c>
      <c r="G71" s="65">
        <f t="shared" si="22"/>
        <v>8</v>
      </c>
      <c r="H71" s="65">
        <f t="shared" si="22"/>
        <v>10</v>
      </c>
      <c r="I71" s="65">
        <f t="shared" si="22"/>
        <v>0</v>
      </c>
      <c r="J71" s="54">
        <f>SUM(B71:I71)</f>
        <v>40.549999999999997</v>
      </c>
      <c r="K71" s="56"/>
      <c r="L71" s="55" t="s">
        <v>141</v>
      </c>
      <c r="M71" s="70">
        <f t="shared" ref="M71:V71" si="23">M70*M69</f>
        <v>3.5500000000000003</v>
      </c>
      <c r="N71" s="70">
        <f t="shared" si="23"/>
        <v>3.3000000000000003</v>
      </c>
      <c r="O71" s="70">
        <f t="shared" si="23"/>
        <v>2.4000000000000004</v>
      </c>
      <c r="P71" s="70">
        <f t="shared" si="23"/>
        <v>4</v>
      </c>
      <c r="Q71" s="70">
        <f t="shared" si="23"/>
        <v>10</v>
      </c>
      <c r="R71" s="70">
        <f t="shared" si="23"/>
        <v>8</v>
      </c>
      <c r="S71" s="70">
        <f t="shared" si="23"/>
        <v>55</v>
      </c>
      <c r="T71" s="70">
        <f t="shared" si="23"/>
        <v>30</v>
      </c>
      <c r="U71" s="70">
        <f t="shared" si="23"/>
        <v>40</v>
      </c>
      <c r="V71" s="70">
        <f t="shared" si="23"/>
        <v>100</v>
      </c>
      <c r="W71" s="54">
        <f>SUM(M71:V71)</f>
        <v>256.25</v>
      </c>
      <c r="X71" s="55">
        <f>W71-J71</f>
        <v>215.7</v>
      </c>
      <c r="Y71" s="63">
        <v>86.9</v>
      </c>
      <c r="Z71" s="63">
        <v>34.299999999999997</v>
      </c>
      <c r="AA71" s="66">
        <f>X71+Z71</f>
        <v>250</v>
      </c>
      <c r="AB71" s="55">
        <v>35</v>
      </c>
      <c r="AC71" s="55">
        <f>Y71-AB71</f>
        <v>51.900000000000006</v>
      </c>
      <c r="AD71" s="55">
        <f>X71-Y71</f>
        <v>128.79999999999998</v>
      </c>
      <c r="AE71" s="55">
        <v>28.8</v>
      </c>
      <c r="AF71" s="55">
        <f>AD71-AE71</f>
        <v>99.999999999999986</v>
      </c>
      <c r="AG71" s="61"/>
      <c r="AH71" s="77">
        <f>(SUM(Y71:Z71)/(1+10/100))*(10/100)</f>
        <v>11.018181818181818</v>
      </c>
    </row>
    <row r="72" spans="1:34" ht="12.75" x14ac:dyDescent="0.2">
      <c r="AE72" s="38" t="s">
        <v>177</v>
      </c>
      <c r="AH72" s="41"/>
    </row>
    <row r="73" spans="1:34" ht="12.75" x14ac:dyDescent="0.2">
      <c r="AH73" s="41"/>
    </row>
    <row r="74" spans="1:34" ht="51" x14ac:dyDescent="0.2">
      <c r="A74" s="52" t="s">
        <v>135</v>
      </c>
      <c r="B74" s="53">
        <v>45672</v>
      </c>
      <c r="C74" s="54"/>
      <c r="D74" s="54"/>
      <c r="E74" s="54"/>
      <c r="F74" s="54"/>
      <c r="G74" s="54"/>
      <c r="H74" s="54"/>
      <c r="I74" s="54"/>
      <c r="J74" s="55" t="s">
        <v>141</v>
      </c>
      <c r="K74" s="56"/>
      <c r="L74" s="52" t="s">
        <v>136</v>
      </c>
      <c r="M74" s="53">
        <v>45672</v>
      </c>
      <c r="N74" s="54"/>
      <c r="O74" s="54"/>
      <c r="P74" s="54"/>
      <c r="Q74" s="54"/>
      <c r="R74" s="54"/>
      <c r="S74" s="54"/>
      <c r="T74" s="54"/>
      <c r="U74" s="54"/>
      <c r="V74" s="54"/>
      <c r="W74" s="55" t="s">
        <v>141</v>
      </c>
      <c r="X74" s="57" t="s">
        <v>192</v>
      </c>
      <c r="Y74" s="58" t="s">
        <v>142</v>
      </c>
      <c r="Z74" s="59" t="s">
        <v>193</v>
      </c>
      <c r="AA74" s="60" t="s">
        <v>194</v>
      </c>
      <c r="AB74" s="57" t="s">
        <v>165</v>
      </c>
      <c r="AC74" s="55" t="s">
        <v>195</v>
      </c>
      <c r="AD74" s="55" t="s">
        <v>196</v>
      </c>
      <c r="AE74" s="57" t="s">
        <v>197</v>
      </c>
      <c r="AF74" s="55" t="s">
        <v>198</v>
      </c>
      <c r="AG74" s="61"/>
      <c r="AH74" s="77"/>
    </row>
    <row r="75" spans="1:34" ht="12.75" x14ac:dyDescent="0.2">
      <c r="A75" s="55" t="s">
        <v>199</v>
      </c>
      <c r="B75" s="62">
        <v>0.05</v>
      </c>
      <c r="C75" s="62">
        <v>0.1</v>
      </c>
      <c r="D75" s="62">
        <v>0.2</v>
      </c>
      <c r="E75" s="62">
        <v>0.5</v>
      </c>
      <c r="F75" s="62">
        <v>1</v>
      </c>
      <c r="G75" s="62">
        <v>2</v>
      </c>
      <c r="H75" s="62">
        <v>5</v>
      </c>
      <c r="I75" s="62">
        <v>10</v>
      </c>
      <c r="K75" s="56"/>
      <c r="L75" s="55" t="s">
        <v>199</v>
      </c>
      <c r="M75" s="62">
        <v>0.05</v>
      </c>
      <c r="N75" s="62">
        <v>0.1</v>
      </c>
      <c r="O75" s="62">
        <v>0.2</v>
      </c>
      <c r="P75" s="62">
        <v>0.5</v>
      </c>
      <c r="Q75" s="62">
        <v>1</v>
      </c>
      <c r="R75" s="62">
        <v>2</v>
      </c>
      <c r="S75" s="62">
        <v>5</v>
      </c>
      <c r="T75" s="62">
        <v>10</v>
      </c>
      <c r="U75" s="62">
        <v>20</v>
      </c>
      <c r="V75" s="62">
        <v>50</v>
      </c>
      <c r="W75" s="54"/>
      <c r="X75" s="54"/>
      <c r="Z75" s="63"/>
      <c r="AA75" s="64"/>
      <c r="AB75" s="54"/>
      <c r="AC75" s="54"/>
      <c r="AD75" s="54"/>
      <c r="AE75" s="54"/>
      <c r="AF75" s="54"/>
      <c r="AH75" s="41"/>
    </row>
    <row r="76" spans="1:34" ht="12.75" x14ac:dyDescent="0.2">
      <c r="A76" s="55" t="s">
        <v>200</v>
      </c>
      <c r="B76" s="38">
        <v>71</v>
      </c>
      <c r="C76" s="38">
        <v>33</v>
      </c>
      <c r="D76" s="65">
        <v>12</v>
      </c>
      <c r="E76" s="65">
        <v>8</v>
      </c>
      <c r="F76" s="65">
        <v>10</v>
      </c>
      <c r="G76" s="65">
        <v>4</v>
      </c>
      <c r="H76" s="65">
        <v>2</v>
      </c>
      <c r="I76" s="65"/>
      <c r="J76" s="54"/>
      <c r="K76" s="56"/>
      <c r="L76" s="55" t="s">
        <v>200</v>
      </c>
      <c r="M76" s="38">
        <v>76</v>
      </c>
      <c r="N76" s="38">
        <v>21</v>
      </c>
      <c r="O76" s="65">
        <v>18</v>
      </c>
      <c r="P76" s="65">
        <v>8</v>
      </c>
      <c r="Q76" s="65">
        <v>7</v>
      </c>
      <c r="R76" s="65">
        <v>5</v>
      </c>
      <c r="S76" s="65">
        <v>8</v>
      </c>
      <c r="T76" s="65">
        <v>8</v>
      </c>
      <c r="U76" s="65">
        <v>3</v>
      </c>
      <c r="V76" s="65">
        <v>2</v>
      </c>
      <c r="W76" s="65"/>
      <c r="X76" s="54"/>
      <c r="Z76" s="63"/>
      <c r="AA76" s="64"/>
      <c r="AB76" s="54"/>
      <c r="AC76" s="54"/>
      <c r="AD76" s="54"/>
      <c r="AE76" s="54"/>
      <c r="AF76" s="54"/>
      <c r="AH76" s="41"/>
    </row>
    <row r="77" spans="1:34" ht="12.75" x14ac:dyDescent="0.2">
      <c r="A77" s="55" t="s">
        <v>141</v>
      </c>
      <c r="B77" s="65">
        <f t="shared" ref="B77:I77" si="24">B76*B75</f>
        <v>3.5500000000000003</v>
      </c>
      <c r="C77" s="65">
        <f t="shared" si="24"/>
        <v>3.3000000000000003</v>
      </c>
      <c r="D77" s="65">
        <f t="shared" si="24"/>
        <v>2.4000000000000004</v>
      </c>
      <c r="E77" s="65">
        <f t="shared" si="24"/>
        <v>4</v>
      </c>
      <c r="F77" s="65">
        <f t="shared" si="24"/>
        <v>10</v>
      </c>
      <c r="G77" s="65">
        <f t="shared" si="24"/>
        <v>8</v>
      </c>
      <c r="H77" s="65">
        <f t="shared" si="24"/>
        <v>10</v>
      </c>
      <c r="I77" s="65">
        <f t="shared" si="24"/>
        <v>0</v>
      </c>
      <c r="J77" s="54">
        <f>SUM(B77:I77)</f>
        <v>41.25</v>
      </c>
      <c r="K77" s="56"/>
      <c r="L77" s="55" t="s">
        <v>141</v>
      </c>
      <c r="M77" s="70">
        <f t="shared" ref="M77:V77" si="25">M76*M75</f>
        <v>3.8000000000000003</v>
      </c>
      <c r="N77" s="70">
        <f t="shared" si="25"/>
        <v>2.1</v>
      </c>
      <c r="O77" s="70">
        <f t="shared" si="25"/>
        <v>3.6</v>
      </c>
      <c r="P77" s="70">
        <f t="shared" si="25"/>
        <v>4</v>
      </c>
      <c r="Q77" s="70">
        <f t="shared" si="25"/>
        <v>7</v>
      </c>
      <c r="R77" s="70">
        <f t="shared" si="25"/>
        <v>10</v>
      </c>
      <c r="S77" s="70">
        <f t="shared" si="25"/>
        <v>40</v>
      </c>
      <c r="T77" s="70">
        <f t="shared" si="25"/>
        <v>80</v>
      </c>
      <c r="U77" s="70">
        <f t="shared" si="25"/>
        <v>60</v>
      </c>
      <c r="V77" s="70">
        <f t="shared" si="25"/>
        <v>100</v>
      </c>
      <c r="W77" s="54">
        <f>SUM(M77:V77)</f>
        <v>310.5</v>
      </c>
      <c r="X77" s="55">
        <f>W77-J77</f>
        <v>269.25</v>
      </c>
      <c r="Y77" s="63">
        <v>104</v>
      </c>
      <c r="Z77" s="63">
        <v>48.7</v>
      </c>
      <c r="AA77" s="66">
        <f>X77+Z77</f>
        <v>317.95</v>
      </c>
      <c r="AB77" s="55">
        <v>45</v>
      </c>
      <c r="AC77" s="55">
        <f>Y77-AB77</f>
        <v>59</v>
      </c>
      <c r="AD77" s="55">
        <f>X77-Y77</f>
        <v>165.25</v>
      </c>
      <c r="AE77" s="55">
        <v>46</v>
      </c>
      <c r="AF77" s="55">
        <f>AD77-AE77</f>
        <v>119.25</v>
      </c>
      <c r="AH77" s="77">
        <f>(SUM(Y77:Z77)/(1+10/100))*(10/100)</f>
        <v>13.881818181818179</v>
      </c>
    </row>
    <row r="78" spans="1:34" ht="12.75" x14ac:dyDescent="0.2">
      <c r="AE78" s="38"/>
      <c r="AF78" s="38">
        <v>-50</v>
      </c>
      <c r="AG78" s="61" t="s">
        <v>238</v>
      </c>
      <c r="AH78" s="77"/>
    </row>
    <row r="79" spans="1:34" ht="12.75" x14ac:dyDescent="0.2">
      <c r="AH79" s="41"/>
    </row>
    <row r="80" spans="1:34" ht="51" x14ac:dyDescent="0.2">
      <c r="A80" s="52" t="s">
        <v>135</v>
      </c>
      <c r="B80" s="53">
        <v>45673</v>
      </c>
      <c r="C80" s="54"/>
      <c r="D80" s="54"/>
      <c r="E80" s="54"/>
      <c r="F80" s="54"/>
      <c r="G80" s="54"/>
      <c r="H80" s="54"/>
      <c r="I80" s="54"/>
      <c r="J80" s="55" t="s">
        <v>141</v>
      </c>
      <c r="K80" s="56"/>
      <c r="L80" s="52" t="s">
        <v>136</v>
      </c>
      <c r="M80" s="53">
        <v>45673</v>
      </c>
      <c r="N80" s="54"/>
      <c r="O80" s="54"/>
      <c r="P80" s="54"/>
      <c r="Q80" s="54"/>
      <c r="R80" s="54"/>
      <c r="S80" s="54"/>
      <c r="T80" s="54"/>
      <c r="U80" s="54"/>
      <c r="V80" s="54"/>
      <c r="W80" s="55" t="s">
        <v>141</v>
      </c>
      <c r="X80" s="57" t="s">
        <v>192</v>
      </c>
      <c r="Y80" s="58" t="s">
        <v>142</v>
      </c>
      <c r="Z80" s="59" t="s">
        <v>193</v>
      </c>
      <c r="AA80" s="60" t="s">
        <v>194</v>
      </c>
      <c r="AB80" s="57" t="s">
        <v>165</v>
      </c>
      <c r="AC80" s="55" t="s">
        <v>195</v>
      </c>
      <c r="AD80" s="55" t="s">
        <v>196</v>
      </c>
      <c r="AE80" s="57" t="s">
        <v>197</v>
      </c>
      <c r="AF80" s="55" t="s">
        <v>198</v>
      </c>
      <c r="AG80" s="61"/>
      <c r="AH80" s="77"/>
    </row>
    <row r="81" spans="1:34" ht="12.75" x14ac:dyDescent="0.2">
      <c r="A81" s="55" t="s">
        <v>199</v>
      </c>
      <c r="B81" s="62">
        <v>0.05</v>
      </c>
      <c r="C81" s="62">
        <v>0.1</v>
      </c>
      <c r="D81" s="62">
        <v>0.2</v>
      </c>
      <c r="E81" s="62">
        <v>0.5</v>
      </c>
      <c r="F81" s="62">
        <v>1</v>
      </c>
      <c r="G81" s="62">
        <v>2</v>
      </c>
      <c r="H81" s="62">
        <v>5</v>
      </c>
      <c r="I81" s="62">
        <v>10</v>
      </c>
      <c r="K81" s="56"/>
      <c r="L81" s="55" t="s">
        <v>199</v>
      </c>
      <c r="M81" s="62">
        <v>0.05</v>
      </c>
      <c r="N81" s="62">
        <v>0.1</v>
      </c>
      <c r="O81" s="62">
        <v>0.2</v>
      </c>
      <c r="P81" s="62">
        <v>0.5</v>
      </c>
      <c r="Q81" s="62">
        <v>1</v>
      </c>
      <c r="R81" s="62">
        <v>2</v>
      </c>
      <c r="S81" s="62">
        <v>5</v>
      </c>
      <c r="T81" s="62">
        <v>10</v>
      </c>
      <c r="U81" s="62">
        <v>20</v>
      </c>
      <c r="V81" s="62">
        <v>50</v>
      </c>
      <c r="W81" s="54"/>
      <c r="X81" s="54"/>
      <c r="Z81" s="63"/>
      <c r="AA81" s="64"/>
      <c r="AB81" s="54"/>
      <c r="AC81" s="54"/>
      <c r="AD81" s="54"/>
      <c r="AE81" s="54"/>
      <c r="AF81" s="54"/>
      <c r="AH81" s="41"/>
    </row>
    <row r="82" spans="1:34" ht="12.75" x14ac:dyDescent="0.2">
      <c r="A82" s="55" t="s">
        <v>200</v>
      </c>
      <c r="B82" s="38">
        <v>76</v>
      </c>
      <c r="C82" s="38">
        <v>21</v>
      </c>
      <c r="D82" s="65">
        <v>18</v>
      </c>
      <c r="E82" s="65">
        <v>8</v>
      </c>
      <c r="F82" s="65">
        <v>7</v>
      </c>
      <c r="G82" s="65">
        <v>5</v>
      </c>
      <c r="H82" s="65">
        <v>2</v>
      </c>
      <c r="I82" s="65"/>
      <c r="J82" s="54"/>
      <c r="K82" s="56"/>
      <c r="L82" s="55" t="s">
        <v>200</v>
      </c>
      <c r="M82" s="38">
        <v>75</v>
      </c>
      <c r="N82" s="38">
        <v>15</v>
      </c>
      <c r="O82" s="65">
        <v>10</v>
      </c>
      <c r="P82" s="65">
        <v>1</v>
      </c>
      <c r="Q82" s="65">
        <v>7</v>
      </c>
      <c r="R82" s="65">
        <v>8</v>
      </c>
      <c r="S82" s="65">
        <v>1</v>
      </c>
      <c r="T82" s="65">
        <v>2</v>
      </c>
      <c r="U82" s="65">
        <v>11</v>
      </c>
      <c r="V82" s="65"/>
      <c r="W82" s="65"/>
      <c r="X82" s="54"/>
      <c r="Z82" s="63"/>
      <c r="AA82" s="64"/>
      <c r="AB82" s="54"/>
      <c r="AC82" s="54"/>
      <c r="AD82" s="54"/>
      <c r="AE82" s="54"/>
      <c r="AF82" s="54"/>
      <c r="AH82" s="41"/>
    </row>
    <row r="83" spans="1:34" ht="12.75" x14ac:dyDescent="0.2">
      <c r="A83" s="55" t="s">
        <v>141</v>
      </c>
      <c r="B83" s="65">
        <f t="shared" ref="B83:I83" si="26">B82*B81</f>
        <v>3.8000000000000003</v>
      </c>
      <c r="C83" s="65">
        <f t="shared" si="26"/>
        <v>2.1</v>
      </c>
      <c r="D83" s="65">
        <f t="shared" si="26"/>
        <v>3.6</v>
      </c>
      <c r="E83" s="65">
        <f t="shared" si="26"/>
        <v>4</v>
      </c>
      <c r="F83" s="65">
        <f t="shared" si="26"/>
        <v>7</v>
      </c>
      <c r="G83" s="65">
        <f t="shared" si="26"/>
        <v>10</v>
      </c>
      <c r="H83" s="65">
        <f t="shared" si="26"/>
        <v>10</v>
      </c>
      <c r="I83" s="65">
        <f t="shared" si="26"/>
        <v>0</v>
      </c>
      <c r="J83" s="54">
        <f>SUM(B83:I83)</f>
        <v>40.5</v>
      </c>
      <c r="K83" s="56"/>
      <c r="L83" s="55" t="s">
        <v>141</v>
      </c>
      <c r="M83" s="70">
        <f t="shared" ref="M83:V83" si="27">M82*M81</f>
        <v>3.75</v>
      </c>
      <c r="N83" s="70">
        <f t="shared" si="27"/>
        <v>1.5</v>
      </c>
      <c r="O83" s="70">
        <f t="shared" si="27"/>
        <v>2</v>
      </c>
      <c r="P83" s="70">
        <f t="shared" si="27"/>
        <v>0.5</v>
      </c>
      <c r="Q83" s="70">
        <f t="shared" si="27"/>
        <v>7</v>
      </c>
      <c r="R83" s="70">
        <f t="shared" si="27"/>
        <v>16</v>
      </c>
      <c r="S83" s="70">
        <f t="shared" si="27"/>
        <v>5</v>
      </c>
      <c r="T83" s="70">
        <f t="shared" si="27"/>
        <v>20</v>
      </c>
      <c r="U83" s="70">
        <f t="shared" si="27"/>
        <v>220</v>
      </c>
      <c r="V83" s="70">
        <f t="shared" si="27"/>
        <v>0</v>
      </c>
      <c r="W83" s="54">
        <f>SUM(M83:V83)</f>
        <v>275.75</v>
      </c>
      <c r="X83" s="55">
        <f>W83-J83</f>
        <v>235.25</v>
      </c>
      <c r="Y83" s="63">
        <v>126</v>
      </c>
      <c r="Z83" s="63">
        <v>42.4</v>
      </c>
      <c r="AA83" s="66">
        <f>X83+Z83</f>
        <v>277.64999999999998</v>
      </c>
      <c r="AB83" s="55">
        <v>50</v>
      </c>
      <c r="AC83" s="55">
        <f>Y83-AB83</f>
        <v>76</v>
      </c>
      <c r="AD83" s="55">
        <f>X83-Y83</f>
        <v>109.25</v>
      </c>
      <c r="AE83" s="55">
        <f>AD83*0.2</f>
        <v>21.85</v>
      </c>
      <c r="AF83" s="55">
        <f>AD83-AE83</f>
        <v>87.4</v>
      </c>
      <c r="AG83" s="61"/>
      <c r="AH83" s="77">
        <f>(SUM(Y83:Z83)/(1+10/100))*(10/100)</f>
        <v>15.30909090909091</v>
      </c>
    </row>
    <row r="84" spans="1:34" ht="12.75" x14ac:dyDescent="0.2">
      <c r="AC84" s="38">
        <v>-16</v>
      </c>
      <c r="AH84" s="41"/>
    </row>
    <row r="85" spans="1:34" ht="12.75" x14ac:dyDescent="0.2">
      <c r="AH85" s="41"/>
    </row>
    <row r="86" spans="1:34" ht="51" x14ac:dyDescent="0.2">
      <c r="A86" s="52" t="s">
        <v>135</v>
      </c>
      <c r="B86" s="53">
        <v>45674</v>
      </c>
      <c r="C86" s="54"/>
      <c r="D86" s="54"/>
      <c r="E86" s="54"/>
      <c r="F86" s="54"/>
      <c r="G86" s="54"/>
      <c r="H86" s="54"/>
      <c r="I86" s="54"/>
      <c r="J86" s="55" t="s">
        <v>141</v>
      </c>
      <c r="K86" s="56"/>
      <c r="L86" s="52" t="s">
        <v>136</v>
      </c>
      <c r="M86" s="53">
        <v>45674</v>
      </c>
      <c r="N86" s="54"/>
      <c r="O86" s="54"/>
      <c r="P86" s="54"/>
      <c r="Q86" s="54"/>
      <c r="R86" s="54"/>
      <c r="S86" s="54"/>
      <c r="T86" s="54"/>
      <c r="U86" s="54"/>
      <c r="V86" s="54"/>
      <c r="W86" s="55" t="s">
        <v>141</v>
      </c>
      <c r="X86" s="57" t="s">
        <v>192</v>
      </c>
      <c r="Y86" s="58" t="s">
        <v>142</v>
      </c>
      <c r="Z86" s="59" t="s">
        <v>193</v>
      </c>
      <c r="AA86" s="60" t="s">
        <v>194</v>
      </c>
      <c r="AB86" s="57" t="s">
        <v>165</v>
      </c>
      <c r="AC86" s="55" t="s">
        <v>195</v>
      </c>
      <c r="AD86" s="55" t="s">
        <v>196</v>
      </c>
      <c r="AE86" s="57" t="s">
        <v>197</v>
      </c>
      <c r="AF86" s="55" t="s">
        <v>198</v>
      </c>
      <c r="AG86" s="61"/>
      <c r="AH86" s="77"/>
    </row>
    <row r="87" spans="1:34" ht="12.75" x14ac:dyDescent="0.2">
      <c r="A87" s="55" t="s">
        <v>199</v>
      </c>
      <c r="B87" s="62">
        <v>0.05</v>
      </c>
      <c r="C87" s="62">
        <v>0.1</v>
      </c>
      <c r="D87" s="62">
        <v>0.2</v>
      </c>
      <c r="E87" s="62">
        <v>0.5</v>
      </c>
      <c r="F87" s="62">
        <v>1</v>
      </c>
      <c r="G87" s="62">
        <v>2</v>
      </c>
      <c r="H87" s="62">
        <v>5</v>
      </c>
      <c r="I87" s="62">
        <v>10</v>
      </c>
      <c r="K87" s="56"/>
      <c r="L87" s="55" t="s">
        <v>199</v>
      </c>
      <c r="M87" s="62">
        <v>0.05</v>
      </c>
      <c r="N87" s="62">
        <v>0.1</v>
      </c>
      <c r="O87" s="62">
        <v>0.2</v>
      </c>
      <c r="P87" s="62">
        <v>0.5</v>
      </c>
      <c r="Q87" s="62">
        <v>1</v>
      </c>
      <c r="R87" s="62">
        <v>2</v>
      </c>
      <c r="S87" s="62">
        <v>5</v>
      </c>
      <c r="T87" s="62">
        <v>10</v>
      </c>
      <c r="U87" s="62">
        <v>20</v>
      </c>
      <c r="V87" s="62">
        <v>50</v>
      </c>
      <c r="W87" s="54"/>
      <c r="X87" s="54"/>
      <c r="Z87" s="63"/>
      <c r="AA87" s="64"/>
      <c r="AB87" s="54"/>
      <c r="AC87" s="54"/>
      <c r="AD87" s="54"/>
      <c r="AE87" s="54"/>
      <c r="AF87" s="54"/>
      <c r="AH87" s="41"/>
    </row>
    <row r="88" spans="1:34" ht="12.75" x14ac:dyDescent="0.2">
      <c r="A88" s="55" t="s">
        <v>200</v>
      </c>
      <c r="B88" s="38">
        <v>75</v>
      </c>
      <c r="C88" s="38">
        <v>15</v>
      </c>
      <c r="D88" s="65">
        <v>10</v>
      </c>
      <c r="E88" s="65">
        <v>1</v>
      </c>
      <c r="F88" s="65">
        <v>7</v>
      </c>
      <c r="G88" s="65">
        <v>8</v>
      </c>
      <c r="H88" s="65">
        <v>2</v>
      </c>
      <c r="I88" s="65"/>
      <c r="J88" s="54"/>
      <c r="K88" s="56"/>
      <c r="L88" s="55" t="s">
        <v>200</v>
      </c>
      <c r="M88" s="38">
        <v>79</v>
      </c>
      <c r="N88" s="38">
        <v>25</v>
      </c>
      <c r="O88" s="65">
        <v>15</v>
      </c>
      <c r="P88" s="65">
        <v>4</v>
      </c>
      <c r="Q88" s="65">
        <v>7</v>
      </c>
      <c r="R88" s="65">
        <v>21</v>
      </c>
      <c r="S88" s="65">
        <v>4</v>
      </c>
      <c r="T88" s="65">
        <v>6</v>
      </c>
      <c r="U88" s="65">
        <v>3</v>
      </c>
      <c r="V88" s="65">
        <v>3</v>
      </c>
      <c r="W88" s="65"/>
      <c r="X88" s="54"/>
      <c r="Z88" s="63"/>
      <c r="AA88" s="64"/>
      <c r="AB88" s="54"/>
      <c r="AC88" s="54"/>
      <c r="AD88" s="54"/>
      <c r="AE88" s="54"/>
      <c r="AF88" s="54"/>
      <c r="AH88" s="41"/>
    </row>
    <row r="89" spans="1:34" ht="12.75" x14ac:dyDescent="0.2">
      <c r="A89" s="55" t="s">
        <v>141</v>
      </c>
      <c r="B89" s="65">
        <f t="shared" ref="B89:I89" si="28">B88*B87</f>
        <v>3.75</v>
      </c>
      <c r="C89" s="65">
        <f t="shared" si="28"/>
        <v>1.5</v>
      </c>
      <c r="D89" s="65">
        <f t="shared" si="28"/>
        <v>2</v>
      </c>
      <c r="E89" s="65">
        <f t="shared" si="28"/>
        <v>0.5</v>
      </c>
      <c r="F89" s="65">
        <f t="shared" si="28"/>
        <v>7</v>
      </c>
      <c r="G89" s="65">
        <f t="shared" si="28"/>
        <v>16</v>
      </c>
      <c r="H89" s="65">
        <f t="shared" si="28"/>
        <v>10</v>
      </c>
      <c r="I89" s="65">
        <f t="shared" si="28"/>
        <v>0</v>
      </c>
      <c r="J89" s="54">
        <f>SUM(B89:I89)</f>
        <v>40.75</v>
      </c>
      <c r="K89" s="56"/>
      <c r="L89" s="55" t="s">
        <v>141</v>
      </c>
      <c r="M89" s="70">
        <f t="shared" ref="M89:V89" si="29">M88*M87</f>
        <v>3.95</v>
      </c>
      <c r="N89" s="70">
        <f t="shared" si="29"/>
        <v>2.5</v>
      </c>
      <c r="O89" s="70">
        <f t="shared" si="29"/>
        <v>3</v>
      </c>
      <c r="P89" s="70">
        <f t="shared" si="29"/>
        <v>2</v>
      </c>
      <c r="Q89" s="70">
        <f t="shared" si="29"/>
        <v>7</v>
      </c>
      <c r="R89" s="70">
        <f t="shared" si="29"/>
        <v>42</v>
      </c>
      <c r="S89" s="70">
        <f t="shared" si="29"/>
        <v>20</v>
      </c>
      <c r="T89" s="70">
        <f t="shared" si="29"/>
        <v>60</v>
      </c>
      <c r="U89" s="70">
        <f t="shared" si="29"/>
        <v>60</v>
      </c>
      <c r="V89" s="70">
        <f t="shared" si="29"/>
        <v>150</v>
      </c>
      <c r="W89" s="54">
        <f>SUM(M89:V89)</f>
        <v>350.45</v>
      </c>
      <c r="X89" s="55">
        <f>W89-J89</f>
        <v>309.7</v>
      </c>
      <c r="Y89" s="63">
        <v>97.5</v>
      </c>
      <c r="Z89" s="63">
        <v>59.7</v>
      </c>
      <c r="AA89" s="66">
        <f>X89+Z89</f>
        <v>369.4</v>
      </c>
      <c r="AB89" s="55">
        <v>47</v>
      </c>
      <c r="AC89" s="55">
        <f>Y89-AB89</f>
        <v>50.5</v>
      </c>
      <c r="AD89" s="55">
        <f>X89-Y89</f>
        <v>212.2</v>
      </c>
      <c r="AE89" s="55">
        <v>52</v>
      </c>
      <c r="AF89" s="55">
        <f>AD89-AE89</f>
        <v>160.19999999999999</v>
      </c>
      <c r="AG89" s="61"/>
      <c r="AH89" s="77">
        <f>(SUM(Y89:Z89)/(1+10/100))*(10/100)</f>
        <v>14.290909090909089</v>
      </c>
    </row>
    <row r="90" spans="1:34" ht="12.75" x14ac:dyDescent="0.2">
      <c r="AB90" s="38" t="s">
        <v>177</v>
      </c>
      <c r="AC90" s="38">
        <v>-50</v>
      </c>
      <c r="AH90" s="41"/>
    </row>
    <row r="91" spans="1:34" ht="12.75" x14ac:dyDescent="0.2">
      <c r="AH91" s="41"/>
    </row>
    <row r="92" spans="1:34" ht="51" x14ac:dyDescent="0.2">
      <c r="A92" s="52" t="s">
        <v>135</v>
      </c>
      <c r="B92" s="53">
        <v>45675</v>
      </c>
      <c r="C92" s="54"/>
      <c r="D92" s="54"/>
      <c r="E92" s="54"/>
      <c r="F92" s="54"/>
      <c r="G92" s="54"/>
      <c r="H92" s="54"/>
      <c r="I92" s="54"/>
      <c r="J92" s="55" t="s">
        <v>141</v>
      </c>
      <c r="K92" s="56"/>
      <c r="L92" s="52" t="s">
        <v>136</v>
      </c>
      <c r="M92" s="53">
        <v>45675</v>
      </c>
      <c r="N92" s="54"/>
      <c r="O92" s="54"/>
      <c r="P92" s="54"/>
      <c r="Q92" s="54"/>
      <c r="R92" s="54"/>
      <c r="S92" s="54"/>
      <c r="T92" s="54"/>
      <c r="U92" s="54"/>
      <c r="V92" s="54"/>
      <c r="W92" s="55" t="s">
        <v>141</v>
      </c>
      <c r="X92" s="57" t="s">
        <v>192</v>
      </c>
      <c r="Y92" s="58" t="s">
        <v>142</v>
      </c>
      <c r="Z92" s="59" t="s">
        <v>193</v>
      </c>
      <c r="AA92" s="60" t="s">
        <v>194</v>
      </c>
      <c r="AB92" s="57" t="s">
        <v>165</v>
      </c>
      <c r="AC92" s="55" t="s">
        <v>195</v>
      </c>
      <c r="AD92" s="55" t="s">
        <v>196</v>
      </c>
      <c r="AE92" s="57" t="s">
        <v>197</v>
      </c>
      <c r="AF92" s="55" t="s">
        <v>198</v>
      </c>
      <c r="AG92" s="61"/>
      <c r="AH92" s="77"/>
    </row>
    <row r="93" spans="1:34" ht="12.75" x14ac:dyDescent="0.2">
      <c r="A93" s="55" t="s">
        <v>199</v>
      </c>
      <c r="B93" s="62">
        <v>0.05</v>
      </c>
      <c r="C93" s="62">
        <v>0.1</v>
      </c>
      <c r="D93" s="62">
        <v>0.2</v>
      </c>
      <c r="E93" s="62">
        <v>0.5</v>
      </c>
      <c r="F93" s="62">
        <v>1</v>
      </c>
      <c r="G93" s="62">
        <v>2</v>
      </c>
      <c r="H93" s="62">
        <v>5</v>
      </c>
      <c r="I93" s="62">
        <v>10</v>
      </c>
      <c r="K93" s="56"/>
      <c r="L93" s="55" t="s">
        <v>199</v>
      </c>
      <c r="M93" s="62">
        <v>0.05</v>
      </c>
      <c r="N93" s="62">
        <v>0.1</v>
      </c>
      <c r="O93" s="62">
        <v>0.2</v>
      </c>
      <c r="P93" s="62">
        <v>0.5</v>
      </c>
      <c r="Q93" s="62">
        <v>1</v>
      </c>
      <c r="R93" s="62">
        <v>2</v>
      </c>
      <c r="S93" s="62">
        <v>5</v>
      </c>
      <c r="T93" s="62">
        <v>10</v>
      </c>
      <c r="U93" s="62">
        <v>20</v>
      </c>
      <c r="V93" s="62">
        <v>50</v>
      </c>
      <c r="W93" s="54"/>
      <c r="X93" s="54"/>
      <c r="Z93" s="63"/>
      <c r="AA93" s="64"/>
      <c r="AB93" s="54"/>
      <c r="AC93" s="54"/>
      <c r="AD93" s="54"/>
      <c r="AE93" s="54"/>
      <c r="AF93" s="54"/>
      <c r="AH93" s="41"/>
    </row>
    <row r="94" spans="1:34" ht="12.75" x14ac:dyDescent="0.2">
      <c r="A94" s="55" t="s">
        <v>200</v>
      </c>
      <c r="B94" s="38">
        <v>79</v>
      </c>
      <c r="C94" s="38">
        <v>25</v>
      </c>
      <c r="D94" s="65">
        <v>15</v>
      </c>
      <c r="E94" s="65">
        <v>4</v>
      </c>
      <c r="F94" s="65">
        <v>7</v>
      </c>
      <c r="G94" s="65">
        <v>5</v>
      </c>
      <c r="H94" s="65">
        <v>2</v>
      </c>
      <c r="I94" s="65"/>
      <c r="J94" s="54"/>
      <c r="K94" s="56"/>
      <c r="L94" s="55" t="s">
        <v>200</v>
      </c>
      <c r="M94" s="38">
        <v>75</v>
      </c>
      <c r="N94" s="38">
        <v>16</v>
      </c>
      <c r="O94" s="65">
        <v>14</v>
      </c>
      <c r="P94" s="65">
        <v>3</v>
      </c>
      <c r="Q94" s="65">
        <v>7</v>
      </c>
      <c r="R94" s="65">
        <v>8</v>
      </c>
      <c r="S94" s="65">
        <v>7</v>
      </c>
      <c r="T94" s="65">
        <v>8</v>
      </c>
      <c r="U94" s="65">
        <v>7</v>
      </c>
      <c r="V94" s="65"/>
      <c r="W94" s="65"/>
      <c r="X94" s="54"/>
      <c r="Z94" s="63"/>
      <c r="AA94" s="64"/>
      <c r="AB94" s="54"/>
      <c r="AC94" s="54"/>
      <c r="AD94" s="54"/>
      <c r="AE94" s="54"/>
      <c r="AF94" s="54"/>
      <c r="AH94" s="41"/>
    </row>
    <row r="95" spans="1:34" ht="12.75" x14ac:dyDescent="0.2">
      <c r="A95" s="55" t="s">
        <v>141</v>
      </c>
      <c r="B95" s="65">
        <f t="shared" ref="B95:I95" si="30">B94*B93</f>
        <v>3.95</v>
      </c>
      <c r="C95" s="65">
        <f t="shared" si="30"/>
        <v>2.5</v>
      </c>
      <c r="D95" s="65">
        <f t="shared" si="30"/>
        <v>3</v>
      </c>
      <c r="E95" s="65">
        <f t="shared" si="30"/>
        <v>2</v>
      </c>
      <c r="F95" s="65">
        <f t="shared" si="30"/>
        <v>7</v>
      </c>
      <c r="G95" s="65">
        <f t="shared" si="30"/>
        <v>10</v>
      </c>
      <c r="H95" s="65">
        <f t="shared" si="30"/>
        <v>10</v>
      </c>
      <c r="I95" s="65">
        <f t="shared" si="30"/>
        <v>0</v>
      </c>
      <c r="J95" s="54">
        <f>SUM(B95:I95)</f>
        <v>38.450000000000003</v>
      </c>
      <c r="K95" s="56"/>
      <c r="L95" s="55" t="s">
        <v>141</v>
      </c>
      <c r="M95" s="70">
        <f t="shared" ref="M95:V95" si="31">M94*M93</f>
        <v>3.75</v>
      </c>
      <c r="N95" s="70">
        <f t="shared" si="31"/>
        <v>1.6</v>
      </c>
      <c r="O95" s="70">
        <f t="shared" si="31"/>
        <v>2.8000000000000003</v>
      </c>
      <c r="P95" s="70">
        <f t="shared" si="31"/>
        <v>1.5</v>
      </c>
      <c r="Q95" s="70">
        <f t="shared" si="31"/>
        <v>7</v>
      </c>
      <c r="R95" s="70">
        <f t="shared" si="31"/>
        <v>16</v>
      </c>
      <c r="S95" s="70">
        <f t="shared" si="31"/>
        <v>35</v>
      </c>
      <c r="T95" s="70">
        <f t="shared" si="31"/>
        <v>80</v>
      </c>
      <c r="U95" s="70">
        <f t="shared" si="31"/>
        <v>140</v>
      </c>
      <c r="V95" s="70">
        <f t="shared" si="31"/>
        <v>0</v>
      </c>
      <c r="W95" s="54">
        <f>SUM(M95:V95)</f>
        <v>287.64999999999998</v>
      </c>
      <c r="X95" s="55">
        <f>W95-J95</f>
        <v>249.2</v>
      </c>
      <c r="Y95" s="63">
        <v>160.5</v>
      </c>
      <c r="Z95" s="63">
        <v>109.8</v>
      </c>
      <c r="AA95" s="66">
        <f>X95+Z95</f>
        <v>359</v>
      </c>
      <c r="AB95" s="55">
        <v>80</v>
      </c>
      <c r="AC95" s="55">
        <f>Y95-AB95</f>
        <v>80.5</v>
      </c>
      <c r="AD95" s="55">
        <f>X95-Y95</f>
        <v>88.699999999999989</v>
      </c>
      <c r="AE95" s="55">
        <f>AD95*0.2</f>
        <v>17.739999999999998</v>
      </c>
      <c r="AF95" s="55">
        <f>AD95-AE95</f>
        <v>70.959999999999994</v>
      </c>
      <c r="AG95" s="61"/>
      <c r="AH95" s="77">
        <f>(SUM(Y95:Z95)/(1+10/100))*(10/100)</f>
        <v>24.572727272727274</v>
      </c>
    </row>
    <row r="96" spans="1:34" ht="12.75" x14ac:dyDescent="0.2">
      <c r="Z96" s="38"/>
      <c r="AC96" s="38">
        <v>-15</v>
      </c>
      <c r="AH96" s="41"/>
    </row>
    <row r="97" spans="1:34" ht="12.75" x14ac:dyDescent="0.2">
      <c r="AH97" s="41"/>
    </row>
    <row r="98" spans="1:34" ht="51" x14ac:dyDescent="0.2">
      <c r="A98" s="52" t="s">
        <v>135</v>
      </c>
      <c r="B98" s="53">
        <v>45677</v>
      </c>
      <c r="C98" s="54"/>
      <c r="D98" s="54"/>
      <c r="E98" s="54"/>
      <c r="F98" s="54"/>
      <c r="G98" s="54"/>
      <c r="H98" s="54"/>
      <c r="I98" s="54"/>
      <c r="J98" s="55" t="s">
        <v>141</v>
      </c>
      <c r="K98" s="56"/>
      <c r="L98" s="52" t="s">
        <v>136</v>
      </c>
      <c r="M98" s="53">
        <v>45677</v>
      </c>
      <c r="N98" s="54"/>
      <c r="O98" s="54"/>
      <c r="P98" s="54"/>
      <c r="Q98" s="54"/>
      <c r="R98" s="54"/>
      <c r="S98" s="54"/>
      <c r="T98" s="54"/>
      <c r="U98" s="54"/>
      <c r="V98" s="54"/>
      <c r="W98" s="55" t="s">
        <v>141</v>
      </c>
      <c r="X98" s="57" t="s">
        <v>192</v>
      </c>
      <c r="Y98" s="58" t="s">
        <v>142</v>
      </c>
      <c r="Z98" s="59" t="s">
        <v>193</v>
      </c>
      <c r="AA98" s="60" t="s">
        <v>194</v>
      </c>
      <c r="AB98" s="57" t="s">
        <v>165</v>
      </c>
      <c r="AC98" s="55" t="s">
        <v>195</v>
      </c>
      <c r="AD98" s="55" t="s">
        <v>196</v>
      </c>
      <c r="AE98" s="57" t="s">
        <v>197</v>
      </c>
      <c r="AF98" s="55" t="s">
        <v>198</v>
      </c>
      <c r="AG98" s="61"/>
      <c r="AH98" s="77"/>
    </row>
    <row r="99" spans="1:34" ht="12.75" x14ac:dyDescent="0.2">
      <c r="A99" s="55" t="s">
        <v>199</v>
      </c>
      <c r="B99" s="62">
        <v>0.05</v>
      </c>
      <c r="C99" s="62">
        <v>0.1</v>
      </c>
      <c r="D99" s="62">
        <v>0.2</v>
      </c>
      <c r="E99" s="62">
        <v>0.5</v>
      </c>
      <c r="F99" s="62">
        <v>1</v>
      </c>
      <c r="G99" s="62">
        <v>2</v>
      </c>
      <c r="H99" s="62">
        <v>5</v>
      </c>
      <c r="I99" s="62">
        <v>10</v>
      </c>
      <c r="K99" s="56"/>
      <c r="L99" s="55" t="s">
        <v>199</v>
      </c>
      <c r="M99" s="62">
        <v>0.05</v>
      </c>
      <c r="N99" s="62">
        <v>0.1</v>
      </c>
      <c r="O99" s="62">
        <v>0.2</v>
      </c>
      <c r="P99" s="62">
        <v>0.5</v>
      </c>
      <c r="Q99" s="62">
        <v>1</v>
      </c>
      <c r="R99" s="62">
        <v>2</v>
      </c>
      <c r="S99" s="62">
        <v>5</v>
      </c>
      <c r="T99" s="62">
        <v>10</v>
      </c>
      <c r="U99" s="62">
        <v>20</v>
      </c>
      <c r="V99" s="62">
        <v>50</v>
      </c>
      <c r="W99" s="54"/>
      <c r="X99" s="54"/>
      <c r="Z99" s="63"/>
      <c r="AA99" s="64"/>
      <c r="AB99" s="54"/>
      <c r="AC99" s="54"/>
      <c r="AD99" s="54"/>
      <c r="AE99" s="54"/>
      <c r="AF99" s="54"/>
      <c r="AH99" s="41"/>
    </row>
    <row r="100" spans="1:34" ht="12.75" x14ac:dyDescent="0.2">
      <c r="A100" s="55" t="s">
        <v>200</v>
      </c>
      <c r="B100" s="38">
        <v>75</v>
      </c>
      <c r="C100" s="38">
        <v>16</v>
      </c>
      <c r="D100" s="65">
        <v>14</v>
      </c>
      <c r="E100" s="65">
        <v>3</v>
      </c>
      <c r="F100" s="65">
        <v>7</v>
      </c>
      <c r="G100" s="65">
        <v>8</v>
      </c>
      <c r="H100" s="65">
        <v>2</v>
      </c>
      <c r="I100" s="65"/>
      <c r="J100" s="54"/>
      <c r="K100" s="56"/>
      <c r="L100" s="55" t="s">
        <v>200</v>
      </c>
      <c r="M100" s="38">
        <v>71</v>
      </c>
      <c r="N100" s="38">
        <v>13</v>
      </c>
      <c r="O100" s="65">
        <v>8</v>
      </c>
      <c r="P100" s="65">
        <v>0</v>
      </c>
      <c r="Q100" s="65">
        <v>16</v>
      </c>
      <c r="R100" s="65">
        <v>11</v>
      </c>
      <c r="S100" s="65">
        <v>2</v>
      </c>
      <c r="T100" s="65">
        <v>2</v>
      </c>
      <c r="U100" s="65">
        <v>9</v>
      </c>
      <c r="V100" s="65">
        <v>1</v>
      </c>
      <c r="W100" s="65"/>
      <c r="X100" s="54"/>
      <c r="Z100" s="63"/>
      <c r="AA100" s="64"/>
      <c r="AB100" s="54"/>
      <c r="AC100" s="54"/>
      <c r="AD100" s="54"/>
      <c r="AE100" s="54"/>
      <c r="AF100" s="54"/>
      <c r="AH100" s="41"/>
    </row>
    <row r="101" spans="1:34" ht="12.75" x14ac:dyDescent="0.2">
      <c r="A101" s="55" t="s">
        <v>141</v>
      </c>
      <c r="B101" s="65">
        <f t="shared" ref="B101:I101" si="32">B100*B99</f>
        <v>3.75</v>
      </c>
      <c r="C101" s="65">
        <f t="shared" si="32"/>
        <v>1.6</v>
      </c>
      <c r="D101" s="65">
        <f t="shared" si="32"/>
        <v>2.8000000000000003</v>
      </c>
      <c r="E101" s="65">
        <f t="shared" si="32"/>
        <v>1.5</v>
      </c>
      <c r="F101" s="65">
        <f t="shared" si="32"/>
        <v>7</v>
      </c>
      <c r="G101" s="65">
        <f t="shared" si="32"/>
        <v>16</v>
      </c>
      <c r="H101" s="65">
        <f t="shared" si="32"/>
        <v>10</v>
      </c>
      <c r="I101" s="65">
        <f t="shared" si="32"/>
        <v>0</v>
      </c>
      <c r="J101" s="54">
        <f>SUM(B101:I101)</f>
        <v>42.65</v>
      </c>
      <c r="K101" s="56"/>
      <c r="L101" s="55" t="s">
        <v>141</v>
      </c>
      <c r="M101" s="70">
        <f t="shared" ref="M101:V101" si="33">M100*M99</f>
        <v>3.5500000000000003</v>
      </c>
      <c r="N101" s="70">
        <f t="shared" si="33"/>
        <v>1.3</v>
      </c>
      <c r="O101" s="70">
        <f t="shared" si="33"/>
        <v>1.6</v>
      </c>
      <c r="P101" s="70">
        <f t="shared" si="33"/>
        <v>0</v>
      </c>
      <c r="Q101" s="70">
        <f t="shared" si="33"/>
        <v>16</v>
      </c>
      <c r="R101" s="70">
        <f t="shared" si="33"/>
        <v>22</v>
      </c>
      <c r="S101" s="70">
        <f t="shared" si="33"/>
        <v>10</v>
      </c>
      <c r="T101" s="70">
        <f t="shared" si="33"/>
        <v>20</v>
      </c>
      <c r="U101" s="70">
        <f t="shared" si="33"/>
        <v>180</v>
      </c>
      <c r="V101" s="70">
        <f t="shared" si="33"/>
        <v>50</v>
      </c>
      <c r="W101" s="54">
        <f>SUM(M101:V101)</f>
        <v>304.45</v>
      </c>
      <c r="X101" s="55">
        <f>W101-J101</f>
        <v>261.8</v>
      </c>
      <c r="Y101" s="63">
        <v>100.3</v>
      </c>
      <c r="Z101" s="63">
        <v>54.9</v>
      </c>
      <c r="AA101" s="66">
        <f>X101+Z101</f>
        <v>316.7</v>
      </c>
      <c r="AB101" s="55">
        <v>40</v>
      </c>
      <c r="AC101" s="55">
        <f>Y101-AB101</f>
        <v>60.3</v>
      </c>
      <c r="AD101" s="55">
        <f>X101-Y101</f>
        <v>161.5</v>
      </c>
      <c r="AE101" s="55">
        <v>50.5</v>
      </c>
      <c r="AF101" s="55">
        <f>AD101-AE101</f>
        <v>111</v>
      </c>
      <c r="AG101" s="61"/>
      <c r="AH101" s="77">
        <f>(SUM(Y101:Z101)/(1+10/100))*(10/100)</f>
        <v>14.109090909090908</v>
      </c>
    </row>
    <row r="102" spans="1:34" ht="12.75" x14ac:dyDescent="0.2">
      <c r="AH102" s="41"/>
    </row>
    <row r="103" spans="1:34" ht="12.75" x14ac:dyDescent="0.2">
      <c r="AH103" s="41"/>
    </row>
    <row r="104" spans="1:34" ht="51" x14ac:dyDescent="0.2">
      <c r="A104" s="52" t="s">
        <v>135</v>
      </c>
      <c r="B104" s="53">
        <v>45678</v>
      </c>
      <c r="C104" s="54"/>
      <c r="D104" s="54"/>
      <c r="E104" s="54"/>
      <c r="F104" s="54"/>
      <c r="G104" s="54"/>
      <c r="H104" s="54"/>
      <c r="I104" s="54"/>
      <c r="J104" s="55" t="s">
        <v>141</v>
      </c>
      <c r="K104" s="56"/>
      <c r="L104" s="52" t="s">
        <v>136</v>
      </c>
      <c r="M104" s="53">
        <v>45678</v>
      </c>
      <c r="N104" s="54"/>
      <c r="O104" s="54"/>
      <c r="P104" s="54"/>
      <c r="Q104" s="54"/>
      <c r="R104" s="54"/>
      <c r="S104" s="54"/>
      <c r="T104" s="54"/>
      <c r="U104" s="54"/>
      <c r="V104" s="54"/>
      <c r="W104" s="55" t="s">
        <v>141</v>
      </c>
      <c r="X104" s="57" t="s">
        <v>192</v>
      </c>
      <c r="Y104" s="58" t="s">
        <v>142</v>
      </c>
      <c r="Z104" s="59" t="s">
        <v>193</v>
      </c>
      <c r="AA104" s="60" t="s">
        <v>194</v>
      </c>
      <c r="AB104" s="57" t="s">
        <v>165</v>
      </c>
      <c r="AC104" s="55" t="s">
        <v>195</v>
      </c>
      <c r="AD104" s="55" t="s">
        <v>196</v>
      </c>
      <c r="AE104" s="57" t="s">
        <v>197</v>
      </c>
      <c r="AF104" s="55" t="s">
        <v>198</v>
      </c>
      <c r="AG104" s="61"/>
      <c r="AH104" s="77"/>
    </row>
    <row r="105" spans="1:34" ht="12.75" x14ac:dyDescent="0.2">
      <c r="A105" s="55" t="s">
        <v>199</v>
      </c>
      <c r="B105" s="62">
        <v>0.05</v>
      </c>
      <c r="C105" s="62">
        <v>0.1</v>
      </c>
      <c r="D105" s="62">
        <v>0.2</v>
      </c>
      <c r="E105" s="62">
        <v>0.5</v>
      </c>
      <c r="F105" s="62">
        <v>1</v>
      </c>
      <c r="G105" s="62">
        <v>2</v>
      </c>
      <c r="H105" s="62">
        <v>5</v>
      </c>
      <c r="I105" s="62">
        <v>10</v>
      </c>
      <c r="K105" s="56"/>
      <c r="L105" s="55" t="s">
        <v>199</v>
      </c>
      <c r="M105" s="62">
        <v>0.05</v>
      </c>
      <c r="N105" s="62">
        <v>0.1</v>
      </c>
      <c r="O105" s="62">
        <v>0.2</v>
      </c>
      <c r="P105" s="62">
        <v>0.5</v>
      </c>
      <c r="Q105" s="62">
        <v>1</v>
      </c>
      <c r="R105" s="62">
        <v>2</v>
      </c>
      <c r="S105" s="62">
        <v>5</v>
      </c>
      <c r="T105" s="62">
        <v>10</v>
      </c>
      <c r="U105" s="62">
        <v>20</v>
      </c>
      <c r="V105" s="62">
        <v>50</v>
      </c>
      <c r="W105" s="54"/>
      <c r="X105" s="54"/>
      <c r="Z105" s="63"/>
      <c r="AA105" s="64"/>
      <c r="AB105" s="54"/>
      <c r="AC105" s="54"/>
      <c r="AD105" s="54"/>
      <c r="AE105" s="54"/>
      <c r="AF105" s="54"/>
      <c r="AH105" s="41"/>
    </row>
    <row r="106" spans="1:34" ht="12.75" x14ac:dyDescent="0.2">
      <c r="A106" s="55" t="s">
        <v>200</v>
      </c>
      <c r="B106" s="38">
        <v>71</v>
      </c>
      <c r="C106" s="38">
        <v>13</v>
      </c>
      <c r="D106" s="65">
        <v>8</v>
      </c>
      <c r="E106" s="65">
        <v>0</v>
      </c>
      <c r="F106" s="65">
        <v>10</v>
      </c>
      <c r="G106" s="65">
        <v>7</v>
      </c>
      <c r="H106" s="65">
        <v>2</v>
      </c>
      <c r="I106" s="65"/>
      <c r="J106" s="54"/>
      <c r="K106" s="56"/>
      <c r="L106" s="55" t="s">
        <v>200</v>
      </c>
      <c r="M106" s="38">
        <v>71</v>
      </c>
      <c r="N106" s="38">
        <v>49</v>
      </c>
      <c r="O106" s="65">
        <v>8</v>
      </c>
      <c r="P106" s="65">
        <v>3</v>
      </c>
      <c r="Q106" s="65">
        <v>20</v>
      </c>
      <c r="R106" s="65">
        <v>10</v>
      </c>
      <c r="S106" s="65">
        <v>8</v>
      </c>
      <c r="T106" s="65">
        <v>4</v>
      </c>
      <c r="U106" s="65">
        <v>2</v>
      </c>
      <c r="V106" s="65">
        <v>2</v>
      </c>
      <c r="W106" s="65"/>
      <c r="X106" s="54"/>
      <c r="Z106" s="63"/>
      <c r="AA106" s="64"/>
      <c r="AB106" s="54"/>
      <c r="AC106" s="54"/>
      <c r="AD106" s="54"/>
      <c r="AE106" s="54"/>
      <c r="AF106" s="54"/>
      <c r="AH106" s="41"/>
    </row>
    <row r="107" spans="1:34" ht="12.75" x14ac:dyDescent="0.2">
      <c r="A107" s="55" t="s">
        <v>141</v>
      </c>
      <c r="B107" s="65">
        <f t="shared" ref="B107:I107" si="34">B106*B105</f>
        <v>3.5500000000000003</v>
      </c>
      <c r="C107" s="65">
        <f t="shared" si="34"/>
        <v>1.3</v>
      </c>
      <c r="D107" s="65">
        <f t="shared" si="34"/>
        <v>1.6</v>
      </c>
      <c r="E107" s="65">
        <f t="shared" si="34"/>
        <v>0</v>
      </c>
      <c r="F107" s="65">
        <f t="shared" si="34"/>
        <v>10</v>
      </c>
      <c r="G107" s="65">
        <f t="shared" si="34"/>
        <v>14</v>
      </c>
      <c r="H107" s="65">
        <f t="shared" si="34"/>
        <v>10</v>
      </c>
      <c r="I107" s="65">
        <f t="shared" si="34"/>
        <v>0</v>
      </c>
      <c r="J107" s="54">
        <f>SUM(B107:I107)</f>
        <v>40.450000000000003</v>
      </c>
      <c r="K107" s="56"/>
      <c r="L107" s="55" t="s">
        <v>141</v>
      </c>
      <c r="M107" s="70">
        <f t="shared" ref="M107:V107" si="35">M106*M105</f>
        <v>3.5500000000000003</v>
      </c>
      <c r="N107" s="70">
        <f t="shared" si="35"/>
        <v>4.9000000000000004</v>
      </c>
      <c r="O107" s="70">
        <f t="shared" si="35"/>
        <v>1.6</v>
      </c>
      <c r="P107" s="70">
        <f t="shared" si="35"/>
        <v>1.5</v>
      </c>
      <c r="Q107" s="70">
        <f t="shared" si="35"/>
        <v>20</v>
      </c>
      <c r="R107" s="70">
        <f t="shared" si="35"/>
        <v>20</v>
      </c>
      <c r="S107" s="70">
        <f t="shared" si="35"/>
        <v>40</v>
      </c>
      <c r="T107" s="70">
        <f t="shared" si="35"/>
        <v>40</v>
      </c>
      <c r="U107" s="70">
        <f t="shared" si="35"/>
        <v>40</v>
      </c>
      <c r="V107" s="70">
        <f t="shared" si="35"/>
        <v>100</v>
      </c>
      <c r="W107" s="54">
        <f>SUM(M107:V107)</f>
        <v>271.55</v>
      </c>
      <c r="X107" s="55">
        <f>W107-J107</f>
        <v>231.10000000000002</v>
      </c>
      <c r="Y107" s="63">
        <v>100.3</v>
      </c>
      <c r="Z107" s="63">
        <v>51</v>
      </c>
      <c r="AA107" s="66">
        <f>X107+Z107</f>
        <v>282.10000000000002</v>
      </c>
      <c r="AB107" s="55">
        <v>50</v>
      </c>
      <c r="AC107" s="55">
        <f>Y107-AB107</f>
        <v>50.3</v>
      </c>
      <c r="AD107" s="55">
        <f>X107-Y107</f>
        <v>130.80000000000001</v>
      </c>
      <c r="AE107" s="55">
        <v>20.8</v>
      </c>
      <c r="AF107" s="55">
        <f>AD107-AE107</f>
        <v>110.00000000000001</v>
      </c>
      <c r="AG107" s="61"/>
      <c r="AH107" s="77">
        <f>(SUM(Y107:Z107)/(1+10/100))*(10/100)</f>
        <v>13.754545454545454</v>
      </c>
    </row>
    <row r="108" spans="1:34" ht="12.75" x14ac:dyDescent="0.2">
      <c r="AH108" s="41"/>
    </row>
    <row r="109" spans="1:34" ht="12.75" x14ac:dyDescent="0.2">
      <c r="AH109" s="41"/>
    </row>
    <row r="110" spans="1:34" ht="51" x14ac:dyDescent="0.2">
      <c r="A110" s="52" t="s">
        <v>135</v>
      </c>
      <c r="B110" s="39">
        <v>45679</v>
      </c>
      <c r="C110" s="54"/>
      <c r="D110" s="54"/>
      <c r="E110" s="54"/>
      <c r="F110" s="54"/>
      <c r="G110" s="54"/>
      <c r="H110" s="54"/>
      <c r="I110" s="54"/>
      <c r="J110" s="55" t="s">
        <v>141</v>
      </c>
      <c r="K110" s="56"/>
      <c r="L110" s="52" t="s">
        <v>136</v>
      </c>
      <c r="M110" s="53">
        <v>45679</v>
      </c>
      <c r="N110" s="54"/>
      <c r="O110" s="54"/>
      <c r="P110" s="54"/>
      <c r="Q110" s="54"/>
      <c r="R110" s="54"/>
      <c r="S110" s="54"/>
      <c r="T110" s="54"/>
      <c r="U110" s="54"/>
      <c r="V110" s="54"/>
      <c r="W110" s="55" t="s">
        <v>141</v>
      </c>
      <c r="X110" s="57" t="s">
        <v>192</v>
      </c>
      <c r="Y110" s="58" t="s">
        <v>142</v>
      </c>
      <c r="Z110" s="59" t="s">
        <v>193</v>
      </c>
      <c r="AA110" s="60" t="s">
        <v>194</v>
      </c>
      <c r="AB110" s="57" t="s">
        <v>165</v>
      </c>
      <c r="AC110" s="55" t="s">
        <v>195</v>
      </c>
      <c r="AD110" s="55" t="s">
        <v>196</v>
      </c>
      <c r="AE110" s="57" t="s">
        <v>197</v>
      </c>
      <c r="AF110" s="55" t="s">
        <v>198</v>
      </c>
      <c r="AG110" s="61"/>
      <c r="AH110" s="77"/>
    </row>
    <row r="111" spans="1:34" ht="12.75" x14ac:dyDescent="0.2">
      <c r="A111" s="55" t="s">
        <v>199</v>
      </c>
      <c r="B111" s="62">
        <v>0.05</v>
      </c>
      <c r="C111" s="62">
        <v>0.1</v>
      </c>
      <c r="D111" s="62">
        <v>0.2</v>
      </c>
      <c r="E111" s="62">
        <v>0.5</v>
      </c>
      <c r="F111" s="62">
        <v>1</v>
      </c>
      <c r="G111" s="62">
        <v>2</v>
      </c>
      <c r="H111" s="62">
        <v>5</v>
      </c>
      <c r="I111" s="62">
        <v>10</v>
      </c>
      <c r="K111" s="56"/>
      <c r="L111" s="55" t="s">
        <v>199</v>
      </c>
      <c r="M111" s="62">
        <v>0.05</v>
      </c>
      <c r="N111" s="62">
        <v>0.1</v>
      </c>
      <c r="O111" s="62">
        <v>0.2</v>
      </c>
      <c r="P111" s="62">
        <v>0.5</v>
      </c>
      <c r="Q111" s="62">
        <v>1</v>
      </c>
      <c r="R111" s="62">
        <v>2</v>
      </c>
      <c r="S111" s="62">
        <v>5</v>
      </c>
      <c r="T111" s="62">
        <v>10</v>
      </c>
      <c r="U111" s="62">
        <v>20</v>
      </c>
      <c r="V111" s="62">
        <v>50</v>
      </c>
      <c r="W111" s="54"/>
      <c r="X111" s="54"/>
      <c r="Z111" s="63"/>
      <c r="AA111" s="64"/>
      <c r="AB111" s="54"/>
      <c r="AC111" s="54"/>
      <c r="AD111" s="54"/>
      <c r="AE111" s="54"/>
      <c r="AF111" s="54"/>
      <c r="AH111" s="41"/>
    </row>
    <row r="112" spans="1:34" ht="12.75" x14ac:dyDescent="0.2">
      <c r="A112" s="55" t="s">
        <v>200</v>
      </c>
      <c r="B112" s="38">
        <v>71</v>
      </c>
      <c r="C112" s="38">
        <v>49</v>
      </c>
      <c r="D112" s="65">
        <v>8</v>
      </c>
      <c r="E112" s="65">
        <v>5</v>
      </c>
      <c r="F112" s="65">
        <v>9</v>
      </c>
      <c r="G112" s="65">
        <v>5</v>
      </c>
      <c r="H112" s="65">
        <v>2</v>
      </c>
      <c r="I112" s="65"/>
      <c r="J112" s="54"/>
      <c r="K112" s="56"/>
      <c r="L112" s="55" t="s">
        <v>200</v>
      </c>
      <c r="M112" s="38">
        <v>71</v>
      </c>
      <c r="N112" s="38">
        <v>46</v>
      </c>
      <c r="O112" s="65">
        <v>15</v>
      </c>
      <c r="P112" s="65">
        <v>2</v>
      </c>
      <c r="Q112" s="65">
        <v>10</v>
      </c>
      <c r="R112" s="65">
        <v>5</v>
      </c>
      <c r="S112" s="65">
        <v>12</v>
      </c>
      <c r="T112" s="65">
        <v>6</v>
      </c>
      <c r="U112" s="65">
        <v>10</v>
      </c>
      <c r="V112" s="65">
        <v>1</v>
      </c>
      <c r="W112" s="65"/>
      <c r="X112" s="54"/>
      <c r="Z112" s="63"/>
      <c r="AA112" s="64"/>
      <c r="AB112" s="54"/>
      <c r="AC112" s="54"/>
      <c r="AD112" s="54"/>
      <c r="AE112" s="54"/>
      <c r="AF112" s="54"/>
      <c r="AH112" s="41"/>
    </row>
    <row r="113" spans="1:34" ht="12.75" x14ac:dyDescent="0.2">
      <c r="A113" s="55" t="s">
        <v>141</v>
      </c>
      <c r="B113" s="65">
        <f t="shared" ref="B113:I113" si="36">B112*B111</f>
        <v>3.5500000000000003</v>
      </c>
      <c r="C113" s="65">
        <f t="shared" si="36"/>
        <v>4.9000000000000004</v>
      </c>
      <c r="D113" s="65">
        <f t="shared" si="36"/>
        <v>1.6</v>
      </c>
      <c r="E113" s="65">
        <f t="shared" si="36"/>
        <v>2.5</v>
      </c>
      <c r="F113" s="65">
        <f t="shared" si="36"/>
        <v>9</v>
      </c>
      <c r="G113" s="65">
        <f t="shared" si="36"/>
        <v>10</v>
      </c>
      <c r="H113" s="65">
        <f t="shared" si="36"/>
        <v>10</v>
      </c>
      <c r="I113" s="65">
        <f t="shared" si="36"/>
        <v>0</v>
      </c>
      <c r="J113" s="54">
        <f>SUM(B113:I113)</f>
        <v>41.55</v>
      </c>
      <c r="K113" s="56"/>
      <c r="L113" s="55" t="s">
        <v>141</v>
      </c>
      <c r="M113" s="70">
        <f t="shared" ref="M113:V113" si="37">M112*M111</f>
        <v>3.5500000000000003</v>
      </c>
      <c r="N113" s="70">
        <f t="shared" si="37"/>
        <v>4.6000000000000005</v>
      </c>
      <c r="O113" s="70">
        <f t="shared" si="37"/>
        <v>3</v>
      </c>
      <c r="P113" s="70">
        <f t="shared" si="37"/>
        <v>1</v>
      </c>
      <c r="Q113" s="70">
        <f t="shared" si="37"/>
        <v>10</v>
      </c>
      <c r="R113" s="70">
        <f t="shared" si="37"/>
        <v>10</v>
      </c>
      <c r="S113" s="70">
        <f t="shared" si="37"/>
        <v>60</v>
      </c>
      <c r="T113" s="70">
        <f t="shared" si="37"/>
        <v>60</v>
      </c>
      <c r="U113" s="70">
        <f t="shared" si="37"/>
        <v>200</v>
      </c>
      <c r="V113" s="70">
        <f t="shared" si="37"/>
        <v>50</v>
      </c>
      <c r="W113" s="54">
        <f>SUM(M113:V113)</f>
        <v>402.15</v>
      </c>
      <c r="X113" s="55">
        <f>W113-J113</f>
        <v>360.59999999999997</v>
      </c>
      <c r="Y113" s="63">
        <v>110.8</v>
      </c>
      <c r="Z113" s="63">
        <v>73</v>
      </c>
      <c r="AA113" s="66">
        <f>X113+Z113</f>
        <v>433.59999999999997</v>
      </c>
      <c r="AB113" s="55">
        <v>55</v>
      </c>
      <c r="AC113" s="55">
        <f>Y113-AB113</f>
        <v>55.8</v>
      </c>
      <c r="AD113" s="55">
        <f>X113-Y113</f>
        <v>249.79999999999995</v>
      </c>
      <c r="AE113" s="55">
        <v>59.8</v>
      </c>
      <c r="AF113" s="55">
        <f>AD113-AE113</f>
        <v>189.99999999999994</v>
      </c>
      <c r="AG113" s="61"/>
      <c r="AH113" s="77">
        <f>(SUM(Y113:Z113)/(1+10/100))*(10/100)</f>
        <v>16.709090909090911</v>
      </c>
    </row>
    <row r="114" spans="1:34" ht="12.75" x14ac:dyDescent="0.2">
      <c r="AB114" s="38" t="s">
        <v>167</v>
      </c>
      <c r="AE114" s="38" t="s">
        <v>167</v>
      </c>
      <c r="AH114" s="41"/>
    </row>
    <row r="115" spans="1:34" ht="12.75" x14ac:dyDescent="0.2">
      <c r="AH115" s="41"/>
    </row>
    <row r="116" spans="1:34" ht="51" x14ac:dyDescent="0.2">
      <c r="A116" s="52" t="s">
        <v>135</v>
      </c>
      <c r="B116" s="53">
        <v>45680</v>
      </c>
      <c r="C116" s="54"/>
      <c r="D116" s="54"/>
      <c r="E116" s="54"/>
      <c r="F116" s="54"/>
      <c r="G116" s="54"/>
      <c r="H116" s="54"/>
      <c r="I116" s="54"/>
      <c r="J116" s="55" t="s">
        <v>141</v>
      </c>
      <c r="K116" s="56"/>
      <c r="L116" s="52" t="s">
        <v>136</v>
      </c>
      <c r="M116" s="53">
        <v>45680</v>
      </c>
      <c r="N116" s="54"/>
      <c r="O116" s="54"/>
      <c r="P116" s="54"/>
      <c r="Q116" s="54"/>
      <c r="R116" s="54"/>
      <c r="S116" s="54"/>
      <c r="T116" s="54"/>
      <c r="U116" s="54"/>
      <c r="V116" s="54"/>
      <c r="W116" s="55" t="s">
        <v>141</v>
      </c>
      <c r="X116" s="57" t="s">
        <v>192</v>
      </c>
      <c r="Y116" s="58" t="s">
        <v>142</v>
      </c>
      <c r="Z116" s="59" t="s">
        <v>193</v>
      </c>
      <c r="AA116" s="60" t="s">
        <v>194</v>
      </c>
      <c r="AB116" s="57" t="s">
        <v>165</v>
      </c>
      <c r="AC116" s="55" t="s">
        <v>195</v>
      </c>
      <c r="AD116" s="55" t="s">
        <v>196</v>
      </c>
      <c r="AE116" s="57" t="s">
        <v>197</v>
      </c>
      <c r="AF116" s="55" t="s">
        <v>198</v>
      </c>
      <c r="AG116" s="61"/>
      <c r="AH116" s="77"/>
    </row>
    <row r="117" spans="1:34" ht="12.75" x14ac:dyDescent="0.2">
      <c r="A117" s="55" t="s">
        <v>199</v>
      </c>
      <c r="B117" s="62">
        <v>0.05</v>
      </c>
      <c r="C117" s="62">
        <v>0.1</v>
      </c>
      <c r="D117" s="62">
        <v>0.2</v>
      </c>
      <c r="E117" s="62">
        <v>0.5</v>
      </c>
      <c r="F117" s="62">
        <v>1</v>
      </c>
      <c r="G117" s="62">
        <v>2</v>
      </c>
      <c r="H117" s="62">
        <v>5</v>
      </c>
      <c r="I117" s="62">
        <v>10</v>
      </c>
      <c r="K117" s="56"/>
      <c r="L117" s="55" t="s">
        <v>199</v>
      </c>
      <c r="M117" s="62">
        <v>0.05</v>
      </c>
      <c r="N117" s="62">
        <v>0.1</v>
      </c>
      <c r="O117" s="62">
        <v>0.2</v>
      </c>
      <c r="P117" s="62">
        <v>0.5</v>
      </c>
      <c r="Q117" s="62">
        <v>1</v>
      </c>
      <c r="R117" s="62">
        <v>2</v>
      </c>
      <c r="S117" s="62">
        <v>5</v>
      </c>
      <c r="T117" s="62">
        <v>10</v>
      </c>
      <c r="U117" s="62">
        <v>20</v>
      </c>
      <c r="V117" s="62">
        <v>50</v>
      </c>
      <c r="W117" s="54"/>
      <c r="X117" s="54"/>
      <c r="Z117" s="63"/>
      <c r="AA117" s="64"/>
      <c r="AB117" s="54"/>
      <c r="AC117" s="54"/>
      <c r="AD117" s="54"/>
      <c r="AE117" s="54"/>
      <c r="AF117" s="54"/>
      <c r="AH117" s="41"/>
    </row>
    <row r="118" spans="1:34" ht="12.75" x14ac:dyDescent="0.2">
      <c r="A118" s="55" t="s">
        <v>200</v>
      </c>
      <c r="B118" s="38">
        <v>71</v>
      </c>
      <c r="C118" s="38">
        <v>46</v>
      </c>
      <c r="D118" s="65">
        <v>15</v>
      </c>
      <c r="E118" s="65">
        <v>2</v>
      </c>
      <c r="F118" s="65">
        <v>10</v>
      </c>
      <c r="G118" s="65">
        <v>5</v>
      </c>
      <c r="H118" s="65">
        <v>2</v>
      </c>
      <c r="I118" s="65"/>
      <c r="J118" s="54"/>
      <c r="K118" s="56"/>
      <c r="L118" s="55" t="s">
        <v>200</v>
      </c>
      <c r="M118" s="38">
        <v>74</v>
      </c>
      <c r="N118" s="38">
        <v>8</v>
      </c>
      <c r="O118" s="65">
        <v>4</v>
      </c>
      <c r="P118" s="65">
        <v>2</v>
      </c>
      <c r="Q118" s="65">
        <v>13</v>
      </c>
      <c r="R118" s="65">
        <v>18</v>
      </c>
      <c r="S118" s="65">
        <v>5</v>
      </c>
      <c r="T118" s="65">
        <v>10</v>
      </c>
      <c r="U118" s="65">
        <v>5</v>
      </c>
      <c r="V118" s="65">
        <v>1</v>
      </c>
      <c r="W118" s="65"/>
      <c r="X118" s="54"/>
      <c r="Z118" s="63"/>
      <c r="AA118" s="64"/>
      <c r="AB118" s="54"/>
      <c r="AC118" s="54"/>
      <c r="AD118" s="54"/>
      <c r="AE118" s="54"/>
      <c r="AF118" s="54"/>
      <c r="AH118" s="41"/>
    </row>
    <row r="119" spans="1:34" ht="12.75" x14ac:dyDescent="0.2">
      <c r="A119" s="55" t="s">
        <v>141</v>
      </c>
      <c r="B119" s="65">
        <f t="shared" ref="B119:I119" si="38">B118*B117</f>
        <v>3.5500000000000003</v>
      </c>
      <c r="C119" s="65">
        <f t="shared" si="38"/>
        <v>4.6000000000000005</v>
      </c>
      <c r="D119" s="65">
        <f t="shared" si="38"/>
        <v>3</v>
      </c>
      <c r="E119" s="65">
        <f t="shared" si="38"/>
        <v>1</v>
      </c>
      <c r="F119" s="65">
        <f t="shared" si="38"/>
        <v>10</v>
      </c>
      <c r="G119" s="65">
        <f t="shared" si="38"/>
        <v>10</v>
      </c>
      <c r="H119" s="65">
        <f t="shared" si="38"/>
        <v>10</v>
      </c>
      <c r="I119" s="65">
        <f t="shared" si="38"/>
        <v>0</v>
      </c>
      <c r="J119" s="54">
        <f>SUM(B119:I119)</f>
        <v>42.15</v>
      </c>
      <c r="K119" s="56"/>
      <c r="L119" s="55" t="s">
        <v>141</v>
      </c>
      <c r="M119" s="70">
        <f t="shared" ref="M119:V119" si="39">M118*M117</f>
        <v>3.7</v>
      </c>
      <c r="N119" s="70">
        <f t="shared" si="39"/>
        <v>0.8</v>
      </c>
      <c r="O119" s="70">
        <f t="shared" si="39"/>
        <v>0.8</v>
      </c>
      <c r="P119" s="70">
        <f t="shared" si="39"/>
        <v>1</v>
      </c>
      <c r="Q119" s="70">
        <f t="shared" si="39"/>
        <v>13</v>
      </c>
      <c r="R119" s="70">
        <f t="shared" si="39"/>
        <v>36</v>
      </c>
      <c r="S119" s="70">
        <f t="shared" si="39"/>
        <v>25</v>
      </c>
      <c r="T119" s="70">
        <f t="shared" si="39"/>
        <v>100</v>
      </c>
      <c r="U119" s="70">
        <f t="shared" si="39"/>
        <v>100</v>
      </c>
      <c r="V119" s="70">
        <f t="shared" si="39"/>
        <v>50</v>
      </c>
      <c r="W119" s="54">
        <f>SUM(M119:V119)</f>
        <v>330.3</v>
      </c>
      <c r="X119" s="55">
        <f>W119-J119</f>
        <v>288.15000000000003</v>
      </c>
      <c r="Y119" s="63">
        <v>162.65</v>
      </c>
      <c r="Z119" s="63">
        <v>56.8</v>
      </c>
      <c r="AA119" s="66">
        <f>X119+Z119</f>
        <v>344.95000000000005</v>
      </c>
      <c r="AB119" s="55">
        <v>70</v>
      </c>
      <c r="AC119" s="55">
        <f>Y119-AB119</f>
        <v>92.65</v>
      </c>
      <c r="AD119" s="55">
        <f>X119-Y119</f>
        <v>125.50000000000003</v>
      </c>
      <c r="AE119" s="55">
        <v>0</v>
      </c>
      <c r="AF119" s="55">
        <f>AD119-AE119</f>
        <v>125.50000000000003</v>
      </c>
      <c r="AG119" s="61"/>
      <c r="AH119" s="77">
        <f>(SUM(Y119:Z119)/(1+10/100))*(10/100)</f>
        <v>19.95</v>
      </c>
    </row>
    <row r="120" spans="1:34" ht="12.75" x14ac:dyDescent="0.2">
      <c r="AC120" s="38">
        <v>-22.65</v>
      </c>
      <c r="AF120" s="38">
        <v>-0.5</v>
      </c>
      <c r="AH120" s="41"/>
    </row>
    <row r="121" spans="1:34" ht="12.75" x14ac:dyDescent="0.2">
      <c r="AH121" s="41"/>
    </row>
    <row r="122" spans="1:34" ht="51" x14ac:dyDescent="0.2">
      <c r="A122" s="52" t="s">
        <v>135</v>
      </c>
      <c r="B122" s="53">
        <v>45681</v>
      </c>
      <c r="C122" s="54"/>
      <c r="D122" s="54"/>
      <c r="E122" s="54"/>
      <c r="F122" s="54"/>
      <c r="G122" s="54"/>
      <c r="H122" s="54"/>
      <c r="I122" s="54"/>
      <c r="J122" s="55" t="s">
        <v>141</v>
      </c>
      <c r="K122" s="56"/>
      <c r="L122" s="52" t="s">
        <v>136</v>
      </c>
      <c r="M122" s="53">
        <v>19017</v>
      </c>
      <c r="N122" s="54"/>
      <c r="O122" s="54"/>
      <c r="P122" s="54"/>
      <c r="Q122" s="54"/>
      <c r="R122" s="54"/>
      <c r="S122" s="54"/>
      <c r="T122" s="54"/>
      <c r="U122" s="54"/>
      <c r="V122" s="54"/>
      <c r="W122" s="55" t="s">
        <v>141</v>
      </c>
      <c r="X122" s="57" t="s">
        <v>192</v>
      </c>
      <c r="Y122" s="58" t="s">
        <v>142</v>
      </c>
      <c r="Z122" s="59" t="s">
        <v>193</v>
      </c>
      <c r="AA122" s="60" t="s">
        <v>194</v>
      </c>
      <c r="AB122" s="57" t="s">
        <v>165</v>
      </c>
      <c r="AC122" s="55" t="s">
        <v>195</v>
      </c>
      <c r="AD122" s="55" t="s">
        <v>196</v>
      </c>
      <c r="AE122" s="57" t="s">
        <v>197</v>
      </c>
      <c r="AF122" s="55" t="s">
        <v>198</v>
      </c>
      <c r="AG122" s="61"/>
      <c r="AH122" s="77"/>
    </row>
    <row r="123" spans="1:34" ht="12.75" x14ac:dyDescent="0.2">
      <c r="A123" s="55" t="s">
        <v>199</v>
      </c>
      <c r="B123" s="62">
        <v>0.05</v>
      </c>
      <c r="C123" s="62">
        <v>0.1</v>
      </c>
      <c r="D123" s="62">
        <v>0.2</v>
      </c>
      <c r="E123" s="62">
        <v>0.5</v>
      </c>
      <c r="F123" s="62">
        <v>1</v>
      </c>
      <c r="G123" s="62">
        <v>2</v>
      </c>
      <c r="H123" s="62">
        <v>5</v>
      </c>
      <c r="I123" s="62">
        <v>10</v>
      </c>
      <c r="K123" s="56"/>
      <c r="L123" s="55" t="s">
        <v>199</v>
      </c>
      <c r="M123" s="62">
        <v>0.05</v>
      </c>
      <c r="N123" s="62">
        <v>0.1</v>
      </c>
      <c r="O123" s="62">
        <v>0.2</v>
      </c>
      <c r="P123" s="62">
        <v>0.5</v>
      </c>
      <c r="Q123" s="62">
        <v>1</v>
      </c>
      <c r="R123" s="62">
        <v>2</v>
      </c>
      <c r="S123" s="62">
        <v>5</v>
      </c>
      <c r="T123" s="62">
        <v>10</v>
      </c>
      <c r="U123" s="62">
        <v>20</v>
      </c>
      <c r="V123" s="62">
        <v>50</v>
      </c>
      <c r="W123" s="54"/>
      <c r="X123" s="54"/>
      <c r="Z123" s="63"/>
      <c r="AA123" s="64"/>
      <c r="AB123" s="54"/>
      <c r="AC123" s="54"/>
      <c r="AD123" s="54"/>
      <c r="AE123" s="54"/>
      <c r="AF123" s="54"/>
      <c r="AH123" s="41"/>
    </row>
    <row r="124" spans="1:34" ht="12.75" x14ac:dyDescent="0.2">
      <c r="A124" s="55" t="s">
        <v>200</v>
      </c>
      <c r="B124" s="38">
        <v>74</v>
      </c>
      <c r="C124" s="38">
        <v>8</v>
      </c>
      <c r="D124" s="65">
        <v>4</v>
      </c>
      <c r="E124" s="65">
        <v>2</v>
      </c>
      <c r="F124" s="65">
        <v>13</v>
      </c>
      <c r="G124" s="65">
        <v>6</v>
      </c>
      <c r="H124" s="65">
        <v>2</v>
      </c>
      <c r="I124" s="65"/>
      <c r="J124" s="54"/>
      <c r="K124" s="56"/>
      <c r="L124" s="55" t="s">
        <v>200</v>
      </c>
      <c r="M124" s="38">
        <v>73</v>
      </c>
      <c r="N124" s="38">
        <v>7</v>
      </c>
      <c r="O124" s="65">
        <v>1</v>
      </c>
      <c r="P124" s="65">
        <v>5</v>
      </c>
      <c r="Q124" s="65">
        <v>17</v>
      </c>
      <c r="R124" s="65">
        <v>2</v>
      </c>
      <c r="S124" s="65">
        <v>15</v>
      </c>
      <c r="T124" s="65">
        <v>11</v>
      </c>
      <c r="U124" s="65">
        <v>4</v>
      </c>
      <c r="V124" s="65">
        <v>1</v>
      </c>
      <c r="W124" s="65"/>
      <c r="X124" s="54"/>
      <c r="Z124" s="63"/>
      <c r="AA124" s="64"/>
      <c r="AB124" s="54"/>
      <c r="AC124" s="54"/>
      <c r="AD124" s="54"/>
      <c r="AE124" s="54"/>
      <c r="AF124" s="54"/>
      <c r="AH124" s="41"/>
    </row>
    <row r="125" spans="1:34" ht="12.75" x14ac:dyDescent="0.2">
      <c r="A125" s="55" t="s">
        <v>141</v>
      </c>
      <c r="B125" s="65">
        <f t="shared" ref="B125:I125" si="40">B124*B123</f>
        <v>3.7</v>
      </c>
      <c r="C125" s="65">
        <f t="shared" si="40"/>
        <v>0.8</v>
      </c>
      <c r="D125" s="65">
        <f t="shared" si="40"/>
        <v>0.8</v>
      </c>
      <c r="E125" s="65">
        <f t="shared" si="40"/>
        <v>1</v>
      </c>
      <c r="F125" s="65">
        <f t="shared" si="40"/>
        <v>13</v>
      </c>
      <c r="G125" s="65">
        <f t="shared" si="40"/>
        <v>12</v>
      </c>
      <c r="H125" s="65">
        <f t="shared" si="40"/>
        <v>10</v>
      </c>
      <c r="I125" s="65">
        <f t="shared" si="40"/>
        <v>0</v>
      </c>
      <c r="J125" s="54">
        <f>SUM(B125:I125)</f>
        <v>41.3</v>
      </c>
      <c r="K125" s="56"/>
      <c r="L125" s="55" t="s">
        <v>141</v>
      </c>
      <c r="M125" s="70">
        <f t="shared" ref="M125:V125" si="41">M124*M123</f>
        <v>3.6500000000000004</v>
      </c>
      <c r="N125" s="70">
        <f t="shared" si="41"/>
        <v>0.70000000000000007</v>
      </c>
      <c r="O125" s="70">
        <f t="shared" si="41"/>
        <v>0.2</v>
      </c>
      <c r="P125" s="70">
        <f t="shared" si="41"/>
        <v>2.5</v>
      </c>
      <c r="Q125" s="70">
        <f t="shared" si="41"/>
        <v>17</v>
      </c>
      <c r="R125" s="70">
        <f t="shared" si="41"/>
        <v>4</v>
      </c>
      <c r="S125" s="70">
        <f t="shared" si="41"/>
        <v>75</v>
      </c>
      <c r="T125" s="70">
        <f t="shared" si="41"/>
        <v>110</v>
      </c>
      <c r="U125" s="70">
        <f t="shared" si="41"/>
        <v>80</v>
      </c>
      <c r="V125" s="70">
        <f t="shared" si="41"/>
        <v>50</v>
      </c>
      <c r="W125" s="54">
        <f>SUM(M125:V125)</f>
        <v>343.05</v>
      </c>
      <c r="X125" s="55">
        <f>W125-J125</f>
        <v>301.75</v>
      </c>
      <c r="Y125" s="63">
        <v>82.1</v>
      </c>
      <c r="Z125" s="63">
        <v>40.9</v>
      </c>
      <c r="AA125" s="66">
        <f>X125+Z125</f>
        <v>342.65</v>
      </c>
      <c r="AB125" s="55">
        <v>35</v>
      </c>
      <c r="AC125" s="55">
        <f>Y125-AB125</f>
        <v>47.099999999999994</v>
      </c>
      <c r="AD125" s="55">
        <f>X125-Y125</f>
        <v>219.65</v>
      </c>
      <c r="AE125" s="55">
        <v>50</v>
      </c>
      <c r="AF125" s="55">
        <f>AD125-AE125</f>
        <v>169.65</v>
      </c>
      <c r="AG125" s="61"/>
      <c r="AH125" s="77">
        <f>(SUM(Y125:Z125)/(1+10/100))*(10/100)</f>
        <v>11.181818181818182</v>
      </c>
    </row>
    <row r="126" spans="1:34" ht="12.75" x14ac:dyDescent="0.2">
      <c r="AH126" s="41"/>
    </row>
    <row r="127" spans="1:34" ht="12.75" x14ac:dyDescent="0.2">
      <c r="AH127" s="41"/>
    </row>
    <row r="128" spans="1:34" ht="51" x14ac:dyDescent="0.2">
      <c r="A128" s="52" t="s">
        <v>135</v>
      </c>
      <c r="B128" s="53">
        <v>45682</v>
      </c>
      <c r="C128" s="54"/>
      <c r="D128" s="54"/>
      <c r="E128" s="54"/>
      <c r="F128" s="54"/>
      <c r="G128" s="54"/>
      <c r="H128" s="54"/>
      <c r="I128" s="54"/>
      <c r="J128" s="55" t="s">
        <v>141</v>
      </c>
      <c r="K128" s="56"/>
      <c r="L128" s="52" t="s">
        <v>136</v>
      </c>
      <c r="M128" s="53">
        <v>45682</v>
      </c>
      <c r="N128" s="54"/>
      <c r="O128" s="54"/>
      <c r="P128" s="54"/>
      <c r="Q128" s="54"/>
      <c r="R128" s="54"/>
      <c r="S128" s="54"/>
      <c r="T128" s="54"/>
      <c r="U128" s="54"/>
      <c r="V128" s="54"/>
      <c r="W128" s="55" t="s">
        <v>141</v>
      </c>
      <c r="X128" s="57" t="s">
        <v>192</v>
      </c>
      <c r="Y128" s="58" t="s">
        <v>142</v>
      </c>
      <c r="Z128" s="59" t="s">
        <v>193</v>
      </c>
      <c r="AA128" s="60" t="s">
        <v>194</v>
      </c>
      <c r="AB128" s="57" t="s">
        <v>165</v>
      </c>
      <c r="AC128" s="55" t="s">
        <v>195</v>
      </c>
      <c r="AD128" s="55" t="s">
        <v>196</v>
      </c>
      <c r="AE128" s="57" t="s">
        <v>197</v>
      </c>
      <c r="AF128" s="55" t="s">
        <v>198</v>
      </c>
      <c r="AG128" s="61"/>
      <c r="AH128" s="77"/>
    </row>
    <row r="129" spans="1:34" ht="12.75" x14ac:dyDescent="0.2">
      <c r="A129" s="55" t="s">
        <v>199</v>
      </c>
      <c r="B129" s="62">
        <v>0.05</v>
      </c>
      <c r="C129" s="62">
        <v>0.1</v>
      </c>
      <c r="D129" s="62">
        <v>0.2</v>
      </c>
      <c r="E129" s="62">
        <v>0.5</v>
      </c>
      <c r="F129" s="62">
        <v>1</v>
      </c>
      <c r="G129" s="62">
        <v>2</v>
      </c>
      <c r="H129" s="62">
        <v>5</v>
      </c>
      <c r="I129" s="62">
        <v>10</v>
      </c>
      <c r="K129" s="56"/>
      <c r="L129" s="55" t="s">
        <v>199</v>
      </c>
      <c r="M129" s="62">
        <v>0.05</v>
      </c>
      <c r="N129" s="62">
        <v>0.1</v>
      </c>
      <c r="O129" s="62">
        <v>0.2</v>
      </c>
      <c r="P129" s="62">
        <v>0.5</v>
      </c>
      <c r="Q129" s="62">
        <v>1</v>
      </c>
      <c r="R129" s="62">
        <v>2</v>
      </c>
      <c r="S129" s="62">
        <v>5</v>
      </c>
      <c r="T129" s="62">
        <v>10</v>
      </c>
      <c r="U129" s="62">
        <v>20</v>
      </c>
      <c r="V129" s="62">
        <v>50</v>
      </c>
      <c r="W129" s="54"/>
      <c r="X129" s="54"/>
      <c r="Z129" s="63"/>
      <c r="AA129" s="64"/>
      <c r="AB129" s="54"/>
      <c r="AC129" s="54"/>
      <c r="AD129" s="54"/>
      <c r="AE129" s="54"/>
      <c r="AF129" s="54"/>
      <c r="AH129" s="41"/>
    </row>
    <row r="130" spans="1:34" ht="12.75" x14ac:dyDescent="0.2">
      <c r="A130" s="55" t="s">
        <v>200</v>
      </c>
      <c r="B130" s="38">
        <v>73</v>
      </c>
      <c r="C130" s="38">
        <v>7</v>
      </c>
      <c r="D130" s="65">
        <v>1</v>
      </c>
      <c r="E130" s="65">
        <v>5</v>
      </c>
      <c r="F130" s="65">
        <v>17</v>
      </c>
      <c r="G130" s="65">
        <v>2</v>
      </c>
      <c r="H130" s="65">
        <v>2</v>
      </c>
      <c r="I130" s="65"/>
      <c r="J130" s="54"/>
      <c r="K130" s="56"/>
      <c r="L130" s="55" t="s">
        <v>200</v>
      </c>
      <c r="M130" s="38">
        <v>73</v>
      </c>
      <c r="N130" s="38">
        <v>39</v>
      </c>
      <c r="O130" s="65"/>
      <c r="P130" s="65"/>
      <c r="Q130" s="65">
        <v>3</v>
      </c>
      <c r="R130" s="65">
        <v>1</v>
      </c>
      <c r="S130" s="65">
        <v>7</v>
      </c>
      <c r="T130" s="65">
        <v>8</v>
      </c>
      <c r="U130" s="65">
        <v>6</v>
      </c>
      <c r="V130" s="65">
        <v>2</v>
      </c>
      <c r="W130" s="65"/>
      <c r="X130" s="54"/>
      <c r="Z130" s="63"/>
      <c r="AA130" s="64"/>
      <c r="AB130" s="54"/>
      <c r="AC130" s="54"/>
      <c r="AD130" s="54"/>
      <c r="AE130" s="54"/>
      <c r="AF130" s="54"/>
      <c r="AH130" s="41"/>
    </row>
    <row r="131" spans="1:34" ht="12.75" x14ac:dyDescent="0.2">
      <c r="A131" s="55" t="s">
        <v>141</v>
      </c>
      <c r="B131" s="65">
        <f t="shared" ref="B131:I131" si="42">B130*B129</f>
        <v>3.6500000000000004</v>
      </c>
      <c r="C131" s="65">
        <f t="shared" si="42"/>
        <v>0.70000000000000007</v>
      </c>
      <c r="D131" s="65">
        <f t="shared" si="42"/>
        <v>0.2</v>
      </c>
      <c r="E131" s="65">
        <f t="shared" si="42"/>
        <v>2.5</v>
      </c>
      <c r="F131" s="65">
        <f t="shared" si="42"/>
        <v>17</v>
      </c>
      <c r="G131" s="65">
        <f t="shared" si="42"/>
        <v>4</v>
      </c>
      <c r="H131" s="65">
        <f t="shared" si="42"/>
        <v>10</v>
      </c>
      <c r="I131" s="65">
        <f t="shared" si="42"/>
        <v>0</v>
      </c>
      <c r="J131" s="54">
        <f>SUM(B131:I131)</f>
        <v>38.049999999999997</v>
      </c>
      <c r="K131" s="56"/>
      <c r="L131" s="55" t="s">
        <v>141</v>
      </c>
      <c r="M131" s="70">
        <f t="shared" ref="M131:V131" si="43">M130*M129</f>
        <v>3.6500000000000004</v>
      </c>
      <c r="N131" s="70">
        <f t="shared" si="43"/>
        <v>3.9000000000000004</v>
      </c>
      <c r="O131" s="70">
        <f t="shared" si="43"/>
        <v>0</v>
      </c>
      <c r="P131" s="70">
        <f t="shared" si="43"/>
        <v>0</v>
      </c>
      <c r="Q131" s="70">
        <f t="shared" si="43"/>
        <v>3</v>
      </c>
      <c r="R131" s="70">
        <f t="shared" si="43"/>
        <v>2</v>
      </c>
      <c r="S131" s="70">
        <f t="shared" si="43"/>
        <v>35</v>
      </c>
      <c r="T131" s="70">
        <f t="shared" si="43"/>
        <v>80</v>
      </c>
      <c r="U131" s="70">
        <f t="shared" si="43"/>
        <v>120</v>
      </c>
      <c r="V131" s="70">
        <f t="shared" si="43"/>
        <v>100</v>
      </c>
      <c r="W131" s="54">
        <f>SUM(M131:V131)</f>
        <v>347.55</v>
      </c>
      <c r="X131" s="55">
        <f>W131-J131</f>
        <v>309.5</v>
      </c>
      <c r="Y131" s="63">
        <v>147.30000000000001</v>
      </c>
      <c r="Z131" s="63">
        <v>46.4</v>
      </c>
      <c r="AA131" s="66">
        <f>X131+Z131</f>
        <v>355.9</v>
      </c>
      <c r="AB131" s="55">
        <v>60</v>
      </c>
      <c r="AC131" s="55">
        <f>Y131-AB131</f>
        <v>87.300000000000011</v>
      </c>
      <c r="AD131" s="55">
        <f>X131-Y131</f>
        <v>162.19999999999999</v>
      </c>
      <c r="AE131" s="55">
        <v>22.2</v>
      </c>
      <c r="AF131" s="55">
        <f>AD131-AE131</f>
        <v>140</v>
      </c>
      <c r="AG131" s="61"/>
      <c r="AH131" s="77">
        <f>(SUM(Y131:Z131)/(1+10/100))*(10/100)</f>
        <v>17.609090909090909</v>
      </c>
    </row>
    <row r="132" spans="1:34" ht="12.75" x14ac:dyDescent="0.2">
      <c r="AC132" s="38">
        <v>-17.3</v>
      </c>
      <c r="AH132" s="41"/>
    </row>
    <row r="133" spans="1:34" ht="12.75" x14ac:dyDescent="0.2">
      <c r="AH133" s="41"/>
    </row>
    <row r="134" spans="1:34" ht="51" x14ac:dyDescent="0.2">
      <c r="A134" s="52" t="s">
        <v>135</v>
      </c>
      <c r="B134" s="53">
        <v>45684</v>
      </c>
      <c r="C134" s="54"/>
      <c r="D134" s="54"/>
      <c r="E134" s="54"/>
      <c r="F134" s="54"/>
      <c r="G134" s="54"/>
      <c r="H134" s="54"/>
      <c r="I134" s="54"/>
      <c r="J134" s="55" t="s">
        <v>141</v>
      </c>
      <c r="K134" s="56"/>
      <c r="L134" s="52" t="s">
        <v>136</v>
      </c>
      <c r="M134" s="53">
        <v>45684</v>
      </c>
      <c r="N134" s="54"/>
      <c r="O134" s="54"/>
      <c r="P134" s="54"/>
      <c r="Q134" s="54"/>
      <c r="R134" s="54"/>
      <c r="S134" s="54"/>
      <c r="T134" s="54"/>
      <c r="U134" s="54"/>
      <c r="V134" s="54"/>
      <c r="W134" s="55" t="s">
        <v>141</v>
      </c>
      <c r="X134" s="57" t="s">
        <v>192</v>
      </c>
      <c r="Y134" s="58" t="s">
        <v>142</v>
      </c>
      <c r="Z134" s="59" t="s">
        <v>193</v>
      </c>
      <c r="AA134" s="60" t="s">
        <v>194</v>
      </c>
      <c r="AB134" s="57" t="s">
        <v>165</v>
      </c>
      <c r="AC134" s="55" t="s">
        <v>195</v>
      </c>
      <c r="AD134" s="55" t="s">
        <v>196</v>
      </c>
      <c r="AE134" s="57" t="s">
        <v>197</v>
      </c>
      <c r="AF134" s="55" t="s">
        <v>198</v>
      </c>
      <c r="AG134" s="61"/>
      <c r="AH134" s="77"/>
    </row>
    <row r="135" spans="1:34" ht="12.75" x14ac:dyDescent="0.2">
      <c r="A135" s="55" t="s">
        <v>199</v>
      </c>
      <c r="B135" s="62">
        <v>0.05</v>
      </c>
      <c r="C135" s="62">
        <v>0.1</v>
      </c>
      <c r="D135" s="62">
        <v>0.2</v>
      </c>
      <c r="E135" s="62">
        <v>0.5</v>
      </c>
      <c r="F135" s="62">
        <v>1</v>
      </c>
      <c r="G135" s="62">
        <v>2</v>
      </c>
      <c r="H135" s="62">
        <v>5</v>
      </c>
      <c r="I135" s="62">
        <v>10</v>
      </c>
      <c r="K135" s="56"/>
      <c r="L135" s="55" t="s">
        <v>199</v>
      </c>
      <c r="M135" s="62">
        <v>0.05</v>
      </c>
      <c r="N135" s="62">
        <v>0.1</v>
      </c>
      <c r="O135" s="62">
        <v>0.2</v>
      </c>
      <c r="P135" s="62">
        <v>0.5</v>
      </c>
      <c r="Q135" s="62">
        <v>1</v>
      </c>
      <c r="R135" s="62">
        <v>2</v>
      </c>
      <c r="S135" s="62">
        <v>5</v>
      </c>
      <c r="T135" s="62">
        <v>10</v>
      </c>
      <c r="U135" s="62">
        <v>20</v>
      </c>
      <c r="V135" s="62">
        <v>50</v>
      </c>
      <c r="W135" s="54"/>
      <c r="X135" s="54"/>
      <c r="Z135" s="63"/>
      <c r="AA135" s="64"/>
      <c r="AB135" s="54"/>
      <c r="AC135" s="54"/>
      <c r="AD135" s="54"/>
      <c r="AE135" s="54"/>
      <c r="AF135" s="54"/>
      <c r="AH135" s="41"/>
    </row>
    <row r="136" spans="1:34" ht="12.75" x14ac:dyDescent="0.2">
      <c r="A136" s="55" t="s">
        <v>200</v>
      </c>
      <c r="B136" s="38">
        <v>75</v>
      </c>
      <c r="C136" s="38">
        <v>42</v>
      </c>
      <c r="D136" s="65">
        <v>3</v>
      </c>
      <c r="E136" s="65"/>
      <c r="F136" s="65">
        <v>9</v>
      </c>
      <c r="G136" s="65">
        <v>5</v>
      </c>
      <c r="H136" s="65">
        <v>3</v>
      </c>
      <c r="I136" s="65"/>
      <c r="J136" s="54"/>
      <c r="K136" s="56"/>
      <c r="L136" s="55" t="s">
        <v>200</v>
      </c>
      <c r="M136" s="38">
        <v>75</v>
      </c>
      <c r="N136" s="38">
        <v>41</v>
      </c>
      <c r="O136" s="65">
        <v>16</v>
      </c>
      <c r="P136" s="65">
        <v>2</v>
      </c>
      <c r="Q136" s="65">
        <v>5</v>
      </c>
      <c r="R136" s="65">
        <v>10</v>
      </c>
      <c r="S136" s="65">
        <v>12</v>
      </c>
      <c r="T136" s="65">
        <v>11</v>
      </c>
      <c r="U136" s="65">
        <v>3</v>
      </c>
      <c r="V136" s="65">
        <v>1</v>
      </c>
      <c r="W136" s="65"/>
      <c r="X136" s="54"/>
      <c r="Z136" s="63"/>
      <c r="AA136" s="64"/>
      <c r="AB136" s="54"/>
      <c r="AC136" s="54"/>
      <c r="AD136" s="54"/>
      <c r="AE136" s="54"/>
      <c r="AF136" s="54"/>
      <c r="AH136" s="41"/>
    </row>
    <row r="137" spans="1:34" ht="12.75" x14ac:dyDescent="0.2">
      <c r="A137" s="55" t="s">
        <v>141</v>
      </c>
      <c r="B137" s="65">
        <f t="shared" ref="B137:I137" si="44">B136*B135</f>
        <v>3.75</v>
      </c>
      <c r="C137" s="65">
        <f t="shared" si="44"/>
        <v>4.2</v>
      </c>
      <c r="D137" s="65">
        <f t="shared" si="44"/>
        <v>0.60000000000000009</v>
      </c>
      <c r="E137" s="65">
        <f t="shared" si="44"/>
        <v>0</v>
      </c>
      <c r="F137" s="65">
        <f t="shared" si="44"/>
        <v>9</v>
      </c>
      <c r="G137" s="65">
        <f t="shared" si="44"/>
        <v>10</v>
      </c>
      <c r="H137" s="65">
        <f t="shared" si="44"/>
        <v>15</v>
      </c>
      <c r="I137" s="65">
        <f t="shared" si="44"/>
        <v>0</v>
      </c>
      <c r="J137" s="54">
        <f>SUM(B137:I137)</f>
        <v>42.55</v>
      </c>
      <c r="K137" s="56"/>
      <c r="L137" s="55" t="s">
        <v>141</v>
      </c>
      <c r="M137" s="70">
        <f t="shared" ref="M137:V137" si="45">M136*M135</f>
        <v>3.75</v>
      </c>
      <c r="N137" s="70">
        <f t="shared" si="45"/>
        <v>4.1000000000000005</v>
      </c>
      <c r="O137" s="70">
        <f t="shared" si="45"/>
        <v>3.2</v>
      </c>
      <c r="P137" s="70">
        <f t="shared" si="45"/>
        <v>1</v>
      </c>
      <c r="Q137" s="70">
        <f t="shared" si="45"/>
        <v>5</v>
      </c>
      <c r="R137" s="70">
        <f t="shared" si="45"/>
        <v>20</v>
      </c>
      <c r="S137" s="70">
        <f t="shared" si="45"/>
        <v>60</v>
      </c>
      <c r="T137" s="70">
        <f t="shared" si="45"/>
        <v>110</v>
      </c>
      <c r="U137" s="70">
        <f t="shared" si="45"/>
        <v>60</v>
      </c>
      <c r="V137" s="70">
        <f t="shared" si="45"/>
        <v>50</v>
      </c>
      <c r="W137" s="54">
        <f>SUM(M137:V137)</f>
        <v>317.05</v>
      </c>
      <c r="X137" s="55">
        <f>W137-J137</f>
        <v>274.5</v>
      </c>
      <c r="Y137" s="63">
        <v>152.1</v>
      </c>
      <c r="Z137" s="63">
        <v>51.4</v>
      </c>
      <c r="AA137" s="66">
        <f>X137+Z137</f>
        <v>325.89999999999998</v>
      </c>
      <c r="AB137" s="55">
        <v>60</v>
      </c>
      <c r="AC137" s="55">
        <f>Y137-AB137</f>
        <v>92.1</v>
      </c>
      <c r="AD137" s="55">
        <f>X137-Y137</f>
        <v>122.4</v>
      </c>
      <c r="AE137" s="55">
        <v>22.4</v>
      </c>
      <c r="AF137" s="55">
        <f>AD137-AE137</f>
        <v>100</v>
      </c>
      <c r="AG137" s="61"/>
      <c r="AH137" s="77">
        <f>(SUM(Y137:Z137)/(1+10/100))*(10/100)</f>
        <v>18.499999999999996</v>
      </c>
    </row>
    <row r="138" spans="1:34" ht="12.75" x14ac:dyDescent="0.2">
      <c r="AC138" s="38">
        <v>-20</v>
      </c>
      <c r="AH138" s="41"/>
    </row>
    <row r="139" spans="1:34" ht="12.75" x14ac:dyDescent="0.2">
      <c r="AH139" s="41"/>
    </row>
    <row r="140" spans="1:34" ht="51" x14ac:dyDescent="0.2">
      <c r="A140" s="52" t="s">
        <v>135</v>
      </c>
      <c r="B140" s="53">
        <v>45685</v>
      </c>
      <c r="C140" s="54"/>
      <c r="D140" s="54"/>
      <c r="E140" s="54"/>
      <c r="F140" s="54"/>
      <c r="G140" s="54"/>
      <c r="H140" s="54"/>
      <c r="I140" s="54"/>
      <c r="J140" s="55" t="s">
        <v>141</v>
      </c>
      <c r="K140" s="56"/>
      <c r="L140" s="52" t="s">
        <v>136</v>
      </c>
      <c r="M140" s="53">
        <v>45685</v>
      </c>
      <c r="N140" s="54"/>
      <c r="O140" s="54"/>
      <c r="P140" s="54"/>
      <c r="Q140" s="54"/>
      <c r="R140" s="54"/>
      <c r="S140" s="54"/>
      <c r="T140" s="54"/>
      <c r="U140" s="54"/>
      <c r="V140" s="54"/>
      <c r="W140" s="55" t="s">
        <v>141</v>
      </c>
      <c r="X140" s="57" t="s">
        <v>192</v>
      </c>
      <c r="Y140" s="58" t="s">
        <v>142</v>
      </c>
      <c r="Z140" s="59" t="s">
        <v>193</v>
      </c>
      <c r="AA140" s="60" t="s">
        <v>194</v>
      </c>
      <c r="AB140" s="57" t="s">
        <v>165</v>
      </c>
      <c r="AC140" s="55" t="s">
        <v>195</v>
      </c>
      <c r="AD140" s="55" t="s">
        <v>196</v>
      </c>
      <c r="AE140" s="57" t="s">
        <v>197</v>
      </c>
      <c r="AF140" s="55" t="s">
        <v>198</v>
      </c>
      <c r="AG140" s="61"/>
      <c r="AH140" s="77"/>
    </row>
    <row r="141" spans="1:34" ht="12.75" x14ac:dyDescent="0.2">
      <c r="A141" s="55" t="s">
        <v>199</v>
      </c>
      <c r="B141" s="62">
        <v>0.05</v>
      </c>
      <c r="C141" s="62">
        <v>0.1</v>
      </c>
      <c r="D141" s="62">
        <v>0.2</v>
      </c>
      <c r="E141" s="62">
        <v>0.5</v>
      </c>
      <c r="F141" s="62">
        <v>1</v>
      </c>
      <c r="G141" s="62">
        <v>2</v>
      </c>
      <c r="H141" s="62">
        <v>5</v>
      </c>
      <c r="I141" s="62">
        <v>10</v>
      </c>
      <c r="K141" s="56"/>
      <c r="L141" s="55" t="s">
        <v>199</v>
      </c>
      <c r="M141" s="62">
        <v>0.05</v>
      </c>
      <c r="N141" s="62">
        <v>0.1</v>
      </c>
      <c r="O141" s="62">
        <v>0.2</v>
      </c>
      <c r="P141" s="62">
        <v>0.5</v>
      </c>
      <c r="Q141" s="62">
        <v>1</v>
      </c>
      <c r="R141" s="62">
        <v>2</v>
      </c>
      <c r="S141" s="62">
        <v>5</v>
      </c>
      <c r="T141" s="62">
        <v>10</v>
      </c>
      <c r="U141" s="62">
        <v>20</v>
      </c>
      <c r="V141" s="62">
        <v>50</v>
      </c>
      <c r="W141" s="54"/>
      <c r="X141" s="54"/>
      <c r="Z141" s="63"/>
      <c r="AA141" s="64"/>
      <c r="AB141" s="54"/>
      <c r="AC141" s="54"/>
      <c r="AD141" s="54"/>
      <c r="AE141" s="54"/>
      <c r="AF141" s="54"/>
      <c r="AH141" s="41"/>
    </row>
    <row r="142" spans="1:34" ht="12.75" x14ac:dyDescent="0.2">
      <c r="A142" s="55" t="s">
        <v>200</v>
      </c>
      <c r="B142" s="38">
        <v>75</v>
      </c>
      <c r="C142" s="38">
        <v>41</v>
      </c>
      <c r="D142" s="65">
        <v>16</v>
      </c>
      <c r="E142" s="65">
        <v>2</v>
      </c>
      <c r="F142" s="65">
        <v>5</v>
      </c>
      <c r="G142" s="65">
        <v>7</v>
      </c>
      <c r="H142" s="65">
        <v>2</v>
      </c>
      <c r="I142" s="65"/>
      <c r="J142" s="54"/>
      <c r="K142" s="56"/>
      <c r="L142" s="55" t="s">
        <v>200</v>
      </c>
      <c r="M142" s="38">
        <v>82</v>
      </c>
      <c r="N142" s="38">
        <v>46</v>
      </c>
      <c r="O142" s="65">
        <v>23</v>
      </c>
      <c r="P142" s="65">
        <v>6</v>
      </c>
      <c r="Q142" s="65">
        <v>6</v>
      </c>
      <c r="R142" s="65">
        <v>10</v>
      </c>
      <c r="S142" s="65">
        <v>8</v>
      </c>
      <c r="T142" s="65">
        <v>9</v>
      </c>
      <c r="U142" s="65">
        <v>2</v>
      </c>
      <c r="V142" s="65">
        <v>2</v>
      </c>
      <c r="W142" s="65"/>
      <c r="X142" s="54"/>
      <c r="Z142" s="63"/>
      <c r="AA142" s="64"/>
      <c r="AB142" s="54"/>
      <c r="AC142" s="54"/>
      <c r="AD142" s="54"/>
      <c r="AE142" s="54"/>
      <c r="AF142" s="54"/>
      <c r="AH142" s="41"/>
    </row>
    <row r="143" spans="1:34" ht="12.75" x14ac:dyDescent="0.2">
      <c r="A143" s="55" t="s">
        <v>141</v>
      </c>
      <c r="B143" s="65">
        <f t="shared" ref="B143:I143" si="46">B142*B141</f>
        <v>3.75</v>
      </c>
      <c r="C143" s="65">
        <f t="shared" si="46"/>
        <v>4.1000000000000005</v>
      </c>
      <c r="D143" s="65">
        <f t="shared" si="46"/>
        <v>3.2</v>
      </c>
      <c r="E143" s="65">
        <f t="shared" si="46"/>
        <v>1</v>
      </c>
      <c r="F143" s="65">
        <f t="shared" si="46"/>
        <v>5</v>
      </c>
      <c r="G143" s="65">
        <f t="shared" si="46"/>
        <v>14</v>
      </c>
      <c r="H143" s="65">
        <f t="shared" si="46"/>
        <v>10</v>
      </c>
      <c r="I143" s="65">
        <f t="shared" si="46"/>
        <v>0</v>
      </c>
      <c r="J143" s="54">
        <f>SUM(B143:I143)</f>
        <v>41.05</v>
      </c>
      <c r="K143" s="56"/>
      <c r="L143" s="55" t="s">
        <v>141</v>
      </c>
      <c r="M143" s="70">
        <f t="shared" ref="M143:V143" si="47">M142*M141</f>
        <v>4.1000000000000005</v>
      </c>
      <c r="N143" s="70">
        <f t="shared" si="47"/>
        <v>4.6000000000000005</v>
      </c>
      <c r="O143" s="70">
        <f t="shared" si="47"/>
        <v>4.6000000000000005</v>
      </c>
      <c r="P143" s="70">
        <f t="shared" si="47"/>
        <v>3</v>
      </c>
      <c r="Q143" s="70">
        <f t="shared" si="47"/>
        <v>6</v>
      </c>
      <c r="R143" s="70">
        <f t="shared" si="47"/>
        <v>20</v>
      </c>
      <c r="S143" s="70">
        <f t="shared" si="47"/>
        <v>40</v>
      </c>
      <c r="T143" s="70">
        <f t="shared" si="47"/>
        <v>90</v>
      </c>
      <c r="U143" s="70">
        <f t="shared" si="47"/>
        <v>40</v>
      </c>
      <c r="V143" s="70">
        <f t="shared" si="47"/>
        <v>100</v>
      </c>
      <c r="W143" s="54">
        <f>SUM(M143:V143)</f>
        <v>312.3</v>
      </c>
      <c r="X143" s="55">
        <f>W143-J143</f>
        <v>271.25</v>
      </c>
      <c r="Y143" s="63">
        <v>94.7</v>
      </c>
      <c r="Z143" s="63">
        <v>30.4</v>
      </c>
      <c r="AA143" s="66">
        <f>X143+Z143</f>
        <v>301.64999999999998</v>
      </c>
      <c r="AB143" s="55">
        <v>40</v>
      </c>
      <c r="AC143" s="55">
        <f>Y143-AB143</f>
        <v>54.7</v>
      </c>
      <c r="AD143" s="55">
        <f>X143-Y143</f>
        <v>176.55</v>
      </c>
      <c r="AE143" s="55">
        <v>110</v>
      </c>
      <c r="AF143" s="55">
        <f>AD143-AE143</f>
        <v>66.550000000000011</v>
      </c>
      <c r="AG143" s="61" t="s">
        <v>239</v>
      </c>
      <c r="AH143" s="77">
        <f>(SUM(Y143:Z143)/(1+10/100))*(10/100)</f>
        <v>11.372727272727273</v>
      </c>
    </row>
    <row r="144" spans="1:34" ht="12.75" x14ac:dyDescent="0.2">
      <c r="AC144" s="38">
        <v>-24.7</v>
      </c>
      <c r="AG144" s="38" t="s">
        <v>240</v>
      </c>
      <c r="AH144" s="41"/>
    </row>
    <row r="145" spans="1:34" ht="12.75" x14ac:dyDescent="0.2">
      <c r="AG145" s="38" t="s">
        <v>241</v>
      </c>
      <c r="AH145" s="41"/>
    </row>
    <row r="146" spans="1:34" ht="51" x14ac:dyDescent="0.2">
      <c r="A146" s="52" t="s">
        <v>135</v>
      </c>
      <c r="B146" s="53">
        <v>45686</v>
      </c>
      <c r="C146" s="54"/>
      <c r="D146" s="54"/>
      <c r="E146" s="54"/>
      <c r="F146" s="54"/>
      <c r="G146" s="54"/>
      <c r="H146" s="54"/>
      <c r="I146" s="54"/>
      <c r="J146" s="55" t="s">
        <v>141</v>
      </c>
      <c r="K146" s="56"/>
      <c r="L146" s="52" t="s">
        <v>136</v>
      </c>
      <c r="M146" s="53">
        <v>45686</v>
      </c>
      <c r="N146" s="54"/>
      <c r="O146" s="54"/>
      <c r="P146" s="54"/>
      <c r="Q146" s="54"/>
      <c r="R146" s="54"/>
      <c r="S146" s="54"/>
      <c r="T146" s="54"/>
      <c r="U146" s="54"/>
      <c r="V146" s="54"/>
      <c r="W146" s="55" t="s">
        <v>141</v>
      </c>
      <c r="X146" s="57" t="s">
        <v>192</v>
      </c>
      <c r="Y146" s="58" t="s">
        <v>142</v>
      </c>
      <c r="Z146" s="59" t="s">
        <v>193</v>
      </c>
      <c r="AA146" s="60" t="s">
        <v>194</v>
      </c>
      <c r="AB146" s="57" t="s">
        <v>165</v>
      </c>
      <c r="AC146" s="55" t="s">
        <v>195</v>
      </c>
      <c r="AD146" s="55" t="s">
        <v>196</v>
      </c>
      <c r="AE146" s="57" t="s">
        <v>197</v>
      </c>
      <c r="AF146" s="55" t="s">
        <v>198</v>
      </c>
      <c r="AG146" s="61"/>
    </row>
    <row r="147" spans="1:34" ht="12.75" x14ac:dyDescent="0.2">
      <c r="A147" s="55" t="s">
        <v>199</v>
      </c>
      <c r="B147" s="62">
        <v>0.05</v>
      </c>
      <c r="C147" s="62">
        <v>0.1</v>
      </c>
      <c r="D147" s="62">
        <v>0.2</v>
      </c>
      <c r="E147" s="62">
        <v>0.5</v>
      </c>
      <c r="F147" s="62">
        <v>1</v>
      </c>
      <c r="G147" s="62">
        <v>2</v>
      </c>
      <c r="H147" s="62">
        <v>5</v>
      </c>
      <c r="I147" s="62">
        <v>10</v>
      </c>
      <c r="K147" s="56"/>
      <c r="L147" s="55" t="s">
        <v>199</v>
      </c>
      <c r="M147" s="62">
        <v>0.05</v>
      </c>
      <c r="N147" s="62">
        <v>0.1</v>
      </c>
      <c r="O147" s="62">
        <v>0.2</v>
      </c>
      <c r="P147" s="62">
        <v>0.5</v>
      </c>
      <c r="Q147" s="62">
        <v>1</v>
      </c>
      <c r="R147" s="62">
        <v>2</v>
      </c>
      <c r="S147" s="62">
        <v>5</v>
      </c>
      <c r="T147" s="62">
        <v>10</v>
      </c>
      <c r="U147" s="62">
        <v>20</v>
      </c>
      <c r="V147" s="62">
        <v>50</v>
      </c>
      <c r="W147" s="54"/>
      <c r="X147" s="54"/>
      <c r="Z147" s="63"/>
      <c r="AA147" s="64"/>
      <c r="AB147" s="54"/>
      <c r="AC147" s="54"/>
      <c r="AD147" s="54"/>
      <c r="AE147" s="54"/>
      <c r="AF147" s="54"/>
    </row>
    <row r="148" spans="1:34" ht="12.75" x14ac:dyDescent="0.2">
      <c r="A148" s="55" t="s">
        <v>200</v>
      </c>
      <c r="B148" s="38">
        <v>82</v>
      </c>
      <c r="C148" s="38">
        <v>46</v>
      </c>
      <c r="D148" s="65">
        <v>23</v>
      </c>
      <c r="E148" s="65">
        <v>6</v>
      </c>
      <c r="F148" s="65">
        <v>6</v>
      </c>
      <c r="G148" s="65">
        <v>5</v>
      </c>
      <c r="H148" s="65">
        <v>2</v>
      </c>
      <c r="I148" s="65"/>
      <c r="J148" s="54"/>
      <c r="K148" s="56"/>
      <c r="L148" s="55" t="s">
        <v>200</v>
      </c>
      <c r="M148" s="38">
        <v>80</v>
      </c>
      <c r="N148" s="38">
        <v>52</v>
      </c>
      <c r="O148" s="65">
        <v>28</v>
      </c>
      <c r="P148" s="65">
        <v>16</v>
      </c>
      <c r="Q148" s="65">
        <v>17</v>
      </c>
      <c r="R148" s="65">
        <v>10</v>
      </c>
      <c r="S148" s="65">
        <v>5</v>
      </c>
      <c r="T148" s="65">
        <v>8</v>
      </c>
      <c r="U148" s="65">
        <v>10</v>
      </c>
      <c r="V148" s="65">
        <v>3</v>
      </c>
      <c r="W148" s="65"/>
      <c r="X148" s="54"/>
      <c r="Z148" s="63"/>
      <c r="AA148" s="64"/>
      <c r="AB148" s="54"/>
      <c r="AC148" s="54"/>
      <c r="AD148" s="54"/>
      <c r="AE148" s="54"/>
      <c r="AF148" s="54"/>
    </row>
    <row r="149" spans="1:34" ht="12.75" x14ac:dyDescent="0.2">
      <c r="A149" s="55" t="s">
        <v>141</v>
      </c>
      <c r="B149" s="65">
        <f t="shared" ref="B149:I149" si="48">B148*B147</f>
        <v>4.1000000000000005</v>
      </c>
      <c r="C149" s="65">
        <f t="shared" si="48"/>
        <v>4.6000000000000005</v>
      </c>
      <c r="D149" s="65">
        <f t="shared" si="48"/>
        <v>4.6000000000000005</v>
      </c>
      <c r="E149" s="65">
        <f t="shared" si="48"/>
        <v>3</v>
      </c>
      <c r="F149" s="65">
        <f t="shared" si="48"/>
        <v>6</v>
      </c>
      <c r="G149" s="65">
        <f t="shared" si="48"/>
        <v>10</v>
      </c>
      <c r="H149" s="65">
        <f t="shared" si="48"/>
        <v>10</v>
      </c>
      <c r="I149" s="65">
        <f t="shared" si="48"/>
        <v>0</v>
      </c>
      <c r="J149" s="54">
        <f>SUM(B149:I149)</f>
        <v>42.3</v>
      </c>
      <c r="K149" s="56"/>
      <c r="L149" s="55" t="s">
        <v>141</v>
      </c>
      <c r="M149" s="70">
        <f t="shared" ref="M149:V149" si="49">M148*M147</f>
        <v>4</v>
      </c>
      <c r="N149" s="70">
        <f t="shared" si="49"/>
        <v>5.2</v>
      </c>
      <c r="O149" s="70">
        <f t="shared" si="49"/>
        <v>5.6000000000000005</v>
      </c>
      <c r="P149" s="70">
        <f t="shared" si="49"/>
        <v>8</v>
      </c>
      <c r="Q149" s="70">
        <f t="shared" si="49"/>
        <v>17</v>
      </c>
      <c r="R149" s="70">
        <f t="shared" si="49"/>
        <v>20</v>
      </c>
      <c r="S149" s="70">
        <f t="shared" si="49"/>
        <v>25</v>
      </c>
      <c r="T149" s="70">
        <f t="shared" si="49"/>
        <v>80</v>
      </c>
      <c r="U149" s="70">
        <f t="shared" si="49"/>
        <v>200</v>
      </c>
      <c r="V149" s="70">
        <f t="shared" si="49"/>
        <v>150</v>
      </c>
      <c r="W149" s="54">
        <f>SUM(M149:V149)</f>
        <v>514.79999999999995</v>
      </c>
      <c r="X149" s="55">
        <f>W149-J149</f>
        <v>472.49999999999994</v>
      </c>
      <c r="Y149" s="63">
        <v>189</v>
      </c>
      <c r="Z149" s="63">
        <v>30.3</v>
      </c>
      <c r="AA149" s="66">
        <f>X149+Z149</f>
        <v>502.79999999999995</v>
      </c>
      <c r="AB149" s="55">
        <v>70</v>
      </c>
      <c r="AC149" s="55">
        <f>Y149-AB149</f>
        <v>119</v>
      </c>
      <c r="AD149" s="55">
        <f>X149-Y149</f>
        <v>283.49999999999994</v>
      </c>
      <c r="AE149" s="55">
        <v>0</v>
      </c>
      <c r="AF149" s="55">
        <f>AD149-AE149</f>
        <v>283.49999999999994</v>
      </c>
      <c r="AG149" s="61"/>
      <c r="AH149" s="77">
        <f>(SUM(Y149:Z149)/(1+10/100))*(10/100)</f>
        <v>19.936363636363637</v>
      </c>
    </row>
    <row r="150" spans="1:34" ht="12.75" x14ac:dyDescent="0.2">
      <c r="AB150" s="38" t="s">
        <v>177</v>
      </c>
      <c r="AC150" s="38">
        <v>-19</v>
      </c>
      <c r="AH150" s="41"/>
    </row>
    <row r="151" spans="1:34" ht="12.75" x14ac:dyDescent="0.2">
      <c r="AH151" s="41"/>
    </row>
    <row r="152" spans="1:34" ht="51" x14ac:dyDescent="0.2">
      <c r="A152" s="52" t="s">
        <v>135</v>
      </c>
      <c r="B152" s="53">
        <v>45687</v>
      </c>
      <c r="C152" s="54"/>
      <c r="D152" s="54"/>
      <c r="E152" s="54"/>
      <c r="F152" s="54"/>
      <c r="G152" s="54"/>
      <c r="H152" s="54"/>
      <c r="I152" s="54"/>
      <c r="J152" s="55" t="s">
        <v>141</v>
      </c>
      <c r="K152" s="56"/>
      <c r="L152" s="52" t="s">
        <v>136</v>
      </c>
      <c r="M152" s="53">
        <v>45687</v>
      </c>
      <c r="N152" s="54"/>
      <c r="O152" s="54"/>
      <c r="P152" s="54"/>
      <c r="Q152" s="54"/>
      <c r="R152" s="54"/>
      <c r="S152" s="54"/>
      <c r="T152" s="54"/>
      <c r="U152" s="54"/>
      <c r="V152" s="54"/>
      <c r="W152" s="55" t="s">
        <v>141</v>
      </c>
      <c r="X152" s="57" t="s">
        <v>192</v>
      </c>
      <c r="Y152" s="58" t="s">
        <v>142</v>
      </c>
      <c r="Z152" s="59" t="s">
        <v>193</v>
      </c>
      <c r="AA152" s="60" t="s">
        <v>194</v>
      </c>
      <c r="AB152" s="57" t="s">
        <v>165</v>
      </c>
      <c r="AC152" s="55" t="s">
        <v>195</v>
      </c>
      <c r="AD152" s="55" t="s">
        <v>196</v>
      </c>
      <c r="AE152" s="57" t="s">
        <v>197</v>
      </c>
      <c r="AF152" s="55" t="s">
        <v>198</v>
      </c>
      <c r="AG152" s="61"/>
      <c r="AH152" s="41"/>
    </row>
    <row r="153" spans="1:34" ht="12.75" x14ac:dyDescent="0.2">
      <c r="A153" s="55" t="s">
        <v>199</v>
      </c>
      <c r="B153" s="62">
        <v>0.05</v>
      </c>
      <c r="C153" s="62">
        <v>0.1</v>
      </c>
      <c r="D153" s="62">
        <v>0.2</v>
      </c>
      <c r="E153" s="62">
        <v>0.5</v>
      </c>
      <c r="F153" s="62">
        <v>1</v>
      </c>
      <c r="G153" s="62">
        <v>2</v>
      </c>
      <c r="H153" s="62">
        <v>5</v>
      </c>
      <c r="I153" s="62">
        <v>10</v>
      </c>
      <c r="K153" s="56"/>
      <c r="L153" s="55" t="s">
        <v>199</v>
      </c>
      <c r="M153" s="62">
        <v>0.05</v>
      </c>
      <c r="N153" s="62">
        <v>0.1</v>
      </c>
      <c r="O153" s="62">
        <v>0.2</v>
      </c>
      <c r="P153" s="62">
        <v>0.5</v>
      </c>
      <c r="Q153" s="62">
        <v>1</v>
      </c>
      <c r="R153" s="62">
        <v>2</v>
      </c>
      <c r="S153" s="62">
        <v>5</v>
      </c>
      <c r="T153" s="62">
        <v>10</v>
      </c>
      <c r="U153" s="62">
        <v>20</v>
      </c>
      <c r="V153" s="62">
        <v>50</v>
      </c>
      <c r="W153" s="54"/>
      <c r="X153" s="54"/>
      <c r="Z153" s="63"/>
      <c r="AA153" s="64"/>
      <c r="AB153" s="54"/>
      <c r="AC153" s="54"/>
      <c r="AD153" s="54"/>
      <c r="AE153" s="54"/>
      <c r="AF153" s="54"/>
      <c r="AH153" s="41"/>
    </row>
    <row r="154" spans="1:34" ht="12.75" x14ac:dyDescent="0.2">
      <c r="A154" s="55" t="s">
        <v>200</v>
      </c>
      <c r="B154" s="38">
        <v>80</v>
      </c>
      <c r="C154" s="38">
        <v>52</v>
      </c>
      <c r="D154" s="65">
        <v>28</v>
      </c>
      <c r="E154" s="65">
        <v>8</v>
      </c>
      <c r="F154" s="65">
        <v>8</v>
      </c>
      <c r="G154" s="65">
        <v>5</v>
      </c>
      <c r="H154" s="65">
        <v>2</v>
      </c>
      <c r="I154" s="65"/>
      <c r="J154" s="54"/>
      <c r="K154" s="56"/>
      <c r="L154" s="55" t="s">
        <v>200</v>
      </c>
      <c r="M154" s="38">
        <v>56</v>
      </c>
      <c r="N154" s="38">
        <v>43</v>
      </c>
      <c r="O154" s="65">
        <v>16</v>
      </c>
      <c r="P154" s="65">
        <v>12</v>
      </c>
      <c r="Q154" s="65">
        <v>5</v>
      </c>
      <c r="R154" s="65">
        <v>13</v>
      </c>
      <c r="S154" s="65">
        <v>14</v>
      </c>
      <c r="T154" s="65">
        <v>3</v>
      </c>
      <c r="U154" s="65">
        <v>6</v>
      </c>
      <c r="V154" s="65"/>
      <c r="W154" s="65"/>
      <c r="X154" s="54"/>
      <c r="Z154" s="63"/>
      <c r="AA154" s="64"/>
      <c r="AB154" s="54"/>
      <c r="AC154" s="54"/>
      <c r="AD154" s="54"/>
      <c r="AE154" s="54"/>
      <c r="AF154" s="54"/>
      <c r="AH154" s="41"/>
    </row>
    <row r="155" spans="1:34" ht="12.75" x14ac:dyDescent="0.2">
      <c r="A155" s="55" t="s">
        <v>141</v>
      </c>
      <c r="B155" s="65">
        <f t="shared" ref="B155:I155" si="50">B154*B153</f>
        <v>4</v>
      </c>
      <c r="C155" s="65">
        <f t="shared" si="50"/>
        <v>5.2</v>
      </c>
      <c r="D155" s="65">
        <f t="shared" si="50"/>
        <v>5.6000000000000005</v>
      </c>
      <c r="E155" s="65">
        <f t="shared" si="50"/>
        <v>4</v>
      </c>
      <c r="F155" s="65">
        <f t="shared" si="50"/>
        <v>8</v>
      </c>
      <c r="G155" s="65">
        <f t="shared" si="50"/>
        <v>10</v>
      </c>
      <c r="H155" s="65">
        <f t="shared" si="50"/>
        <v>10</v>
      </c>
      <c r="I155" s="65">
        <f t="shared" si="50"/>
        <v>0</v>
      </c>
      <c r="J155" s="54">
        <f>SUM(B155:I155)</f>
        <v>46.8</v>
      </c>
      <c r="K155" s="56"/>
      <c r="L155" s="55" t="s">
        <v>141</v>
      </c>
      <c r="M155" s="70">
        <f t="shared" ref="M155:V155" si="51">M154*M153</f>
        <v>2.8000000000000003</v>
      </c>
      <c r="N155" s="70">
        <f t="shared" si="51"/>
        <v>4.3</v>
      </c>
      <c r="O155" s="70">
        <f t="shared" si="51"/>
        <v>3.2</v>
      </c>
      <c r="P155" s="70">
        <f t="shared" si="51"/>
        <v>6</v>
      </c>
      <c r="Q155" s="70">
        <f t="shared" si="51"/>
        <v>5</v>
      </c>
      <c r="R155" s="70">
        <f t="shared" si="51"/>
        <v>26</v>
      </c>
      <c r="S155" s="70">
        <f t="shared" si="51"/>
        <v>70</v>
      </c>
      <c r="T155" s="70">
        <f t="shared" si="51"/>
        <v>30</v>
      </c>
      <c r="U155" s="70">
        <f t="shared" si="51"/>
        <v>120</v>
      </c>
      <c r="V155" s="70">
        <f t="shared" si="51"/>
        <v>0</v>
      </c>
      <c r="W155" s="54">
        <f>SUM(M155:V155)</f>
        <v>267.3</v>
      </c>
      <c r="X155" s="55">
        <f>W155-J155</f>
        <v>220.5</v>
      </c>
      <c r="Y155" s="63">
        <v>93.6</v>
      </c>
      <c r="Z155" s="63">
        <v>36.799999999999997</v>
      </c>
      <c r="AA155" s="66">
        <f>X155+Z155</f>
        <v>257.3</v>
      </c>
      <c r="AB155" s="55">
        <v>40</v>
      </c>
      <c r="AC155" s="55">
        <f>Y155-AB155</f>
        <v>53.599999999999994</v>
      </c>
      <c r="AD155" s="55">
        <f>X155-Y155</f>
        <v>126.9</v>
      </c>
      <c r="AE155" s="55"/>
      <c r="AF155" s="55">
        <f>AD155-AE155</f>
        <v>126.9</v>
      </c>
      <c r="AG155" s="61"/>
      <c r="AH155" s="77">
        <f>(SUM(Y155:Z155)/(1+10/100))*(10/100)</f>
        <v>11.854545454545452</v>
      </c>
    </row>
    <row r="156" spans="1:34" ht="12.75" x14ac:dyDescent="0.2">
      <c r="AB156" s="38" t="s">
        <v>167</v>
      </c>
      <c r="AC156" s="38">
        <v>-20</v>
      </c>
      <c r="AH156" s="41"/>
    </row>
    <row r="157" spans="1:34" ht="12.75" x14ac:dyDescent="0.2">
      <c r="AH157" s="41"/>
    </row>
    <row r="158" spans="1:34" ht="51" x14ac:dyDescent="0.2">
      <c r="A158" s="52" t="s">
        <v>135</v>
      </c>
      <c r="B158" s="53">
        <v>45688</v>
      </c>
      <c r="C158" s="54"/>
      <c r="D158" s="54"/>
      <c r="E158" s="54"/>
      <c r="F158" s="54"/>
      <c r="G158" s="54"/>
      <c r="H158" s="54"/>
      <c r="I158" s="54"/>
      <c r="J158" s="55" t="s">
        <v>141</v>
      </c>
      <c r="K158" s="56"/>
      <c r="L158" s="52" t="s">
        <v>136</v>
      </c>
      <c r="M158" s="53">
        <v>45688</v>
      </c>
      <c r="N158" s="54"/>
      <c r="O158" s="54"/>
      <c r="P158" s="54"/>
      <c r="Q158" s="54"/>
      <c r="R158" s="54"/>
      <c r="S158" s="54"/>
      <c r="T158" s="54"/>
      <c r="U158" s="54"/>
      <c r="V158" s="54"/>
      <c r="W158" s="55" t="s">
        <v>141</v>
      </c>
      <c r="X158" s="57" t="s">
        <v>192</v>
      </c>
      <c r="Y158" s="58" t="s">
        <v>142</v>
      </c>
      <c r="Z158" s="59" t="s">
        <v>193</v>
      </c>
      <c r="AA158" s="60" t="s">
        <v>194</v>
      </c>
      <c r="AB158" s="57" t="s">
        <v>165</v>
      </c>
      <c r="AC158" s="55" t="s">
        <v>195</v>
      </c>
      <c r="AD158" s="55" t="s">
        <v>196</v>
      </c>
      <c r="AE158" s="57" t="s">
        <v>197</v>
      </c>
      <c r="AF158" s="55" t="s">
        <v>198</v>
      </c>
      <c r="AG158" s="61"/>
      <c r="AH158" s="41"/>
    </row>
    <row r="159" spans="1:34" ht="12.75" x14ac:dyDescent="0.2">
      <c r="A159" s="55" t="s">
        <v>199</v>
      </c>
      <c r="B159" s="62">
        <v>0.05</v>
      </c>
      <c r="C159" s="62">
        <v>0.1</v>
      </c>
      <c r="D159" s="62">
        <v>0.2</v>
      </c>
      <c r="E159" s="62">
        <v>0.5</v>
      </c>
      <c r="F159" s="62">
        <v>1</v>
      </c>
      <c r="G159" s="62">
        <v>2</v>
      </c>
      <c r="H159" s="62">
        <v>5</v>
      </c>
      <c r="I159" s="62">
        <v>10</v>
      </c>
      <c r="K159" s="56"/>
      <c r="L159" s="55" t="s">
        <v>199</v>
      </c>
      <c r="M159" s="62">
        <v>0.05</v>
      </c>
      <c r="N159" s="62">
        <v>0.1</v>
      </c>
      <c r="O159" s="62">
        <v>0.2</v>
      </c>
      <c r="P159" s="62">
        <v>0.5</v>
      </c>
      <c r="Q159" s="62">
        <v>1</v>
      </c>
      <c r="R159" s="62">
        <v>2</v>
      </c>
      <c r="S159" s="62">
        <v>5</v>
      </c>
      <c r="T159" s="62">
        <v>10</v>
      </c>
      <c r="U159" s="62">
        <v>20</v>
      </c>
      <c r="V159" s="62">
        <v>50</v>
      </c>
      <c r="W159" s="54"/>
      <c r="X159" s="54"/>
      <c r="Z159" s="63"/>
      <c r="AA159" s="64"/>
      <c r="AB159" s="54"/>
      <c r="AC159" s="54"/>
      <c r="AD159" s="54"/>
      <c r="AE159" s="54"/>
      <c r="AF159" s="54"/>
      <c r="AH159" s="41"/>
    </row>
    <row r="160" spans="1:34" ht="12.75" x14ac:dyDescent="0.2">
      <c r="A160" s="55" t="s">
        <v>200</v>
      </c>
      <c r="B160" s="38">
        <v>56</v>
      </c>
      <c r="C160" s="38">
        <v>43</v>
      </c>
      <c r="D160" s="65">
        <v>16</v>
      </c>
      <c r="E160" s="65">
        <v>12</v>
      </c>
      <c r="F160" s="65">
        <v>5</v>
      </c>
      <c r="G160" s="65">
        <v>5</v>
      </c>
      <c r="H160" s="65">
        <v>2</v>
      </c>
      <c r="I160" s="65"/>
      <c r="J160" s="54"/>
      <c r="K160" s="56"/>
      <c r="L160" s="55" t="s">
        <v>200</v>
      </c>
      <c r="M160" s="38">
        <v>31</v>
      </c>
      <c r="N160" s="38">
        <v>44</v>
      </c>
      <c r="O160" s="65">
        <v>19</v>
      </c>
      <c r="P160" s="65">
        <v>11</v>
      </c>
      <c r="Q160" s="65">
        <v>14</v>
      </c>
      <c r="R160" s="65">
        <v>9</v>
      </c>
      <c r="S160" s="65">
        <v>5</v>
      </c>
      <c r="T160" s="65">
        <v>2</v>
      </c>
      <c r="U160" s="65">
        <v>4</v>
      </c>
      <c r="V160" s="65">
        <v>5</v>
      </c>
      <c r="W160" s="65"/>
      <c r="X160" s="54"/>
      <c r="Z160" s="63"/>
      <c r="AA160" s="64"/>
      <c r="AB160" s="54"/>
      <c r="AC160" s="54"/>
      <c r="AD160" s="54"/>
      <c r="AE160" s="54"/>
      <c r="AF160" s="54"/>
      <c r="AH160" s="41"/>
    </row>
    <row r="161" spans="1:34" ht="12.75" x14ac:dyDescent="0.2">
      <c r="A161" s="55" t="s">
        <v>141</v>
      </c>
      <c r="B161" s="65">
        <f t="shared" ref="B161:I161" si="52">B160*B159</f>
        <v>2.8000000000000003</v>
      </c>
      <c r="C161" s="65">
        <f t="shared" si="52"/>
        <v>4.3</v>
      </c>
      <c r="D161" s="65">
        <f t="shared" si="52"/>
        <v>3.2</v>
      </c>
      <c r="E161" s="65">
        <f t="shared" si="52"/>
        <v>6</v>
      </c>
      <c r="F161" s="65">
        <f t="shared" si="52"/>
        <v>5</v>
      </c>
      <c r="G161" s="65">
        <f t="shared" si="52"/>
        <v>10</v>
      </c>
      <c r="H161" s="65">
        <f t="shared" si="52"/>
        <v>10</v>
      </c>
      <c r="I161" s="65">
        <f t="shared" si="52"/>
        <v>0</v>
      </c>
      <c r="J161" s="54">
        <f>SUM(B161:I161)</f>
        <v>41.3</v>
      </c>
      <c r="K161" s="56"/>
      <c r="L161" s="55" t="s">
        <v>141</v>
      </c>
      <c r="M161" s="70">
        <f t="shared" ref="M161:V161" si="53">M160*M159</f>
        <v>1.55</v>
      </c>
      <c r="N161" s="70">
        <f t="shared" si="53"/>
        <v>4.4000000000000004</v>
      </c>
      <c r="O161" s="70">
        <f t="shared" si="53"/>
        <v>3.8000000000000003</v>
      </c>
      <c r="P161" s="70">
        <f t="shared" si="53"/>
        <v>5.5</v>
      </c>
      <c r="Q161" s="70">
        <f t="shared" si="53"/>
        <v>14</v>
      </c>
      <c r="R161" s="70">
        <f t="shared" si="53"/>
        <v>18</v>
      </c>
      <c r="S161" s="70">
        <f t="shared" si="53"/>
        <v>25</v>
      </c>
      <c r="T161" s="70">
        <f t="shared" si="53"/>
        <v>20</v>
      </c>
      <c r="U161" s="70">
        <f t="shared" si="53"/>
        <v>80</v>
      </c>
      <c r="V161" s="70">
        <f t="shared" si="53"/>
        <v>250</v>
      </c>
      <c r="W161" s="54">
        <f>SUM(M161:V161)</f>
        <v>422.25</v>
      </c>
      <c r="X161" s="55">
        <f>W161-J161</f>
        <v>380.95</v>
      </c>
      <c r="Y161" s="63">
        <v>143.4</v>
      </c>
      <c r="Z161" s="63">
        <v>51.4</v>
      </c>
      <c r="AA161" s="66">
        <f>X161+Z161</f>
        <v>432.34999999999997</v>
      </c>
      <c r="AB161" s="55">
        <v>60</v>
      </c>
      <c r="AC161" s="55">
        <f>Y161-AB161</f>
        <v>83.4</v>
      </c>
      <c r="AD161" s="55">
        <f>X161-Y161</f>
        <v>237.54999999999998</v>
      </c>
      <c r="AE161" s="55"/>
      <c r="AF161" s="55">
        <f>AD161-AE161</f>
        <v>237.54999999999998</v>
      </c>
      <c r="AG161" s="61"/>
      <c r="AH161" s="77">
        <f>(SUM(Y161:Z161)/(1+10/100))*(10/100)</f>
        <v>17.709090909090911</v>
      </c>
    </row>
    <row r="162" spans="1:34" ht="12.75" x14ac:dyDescent="0.2">
      <c r="AC162" s="38">
        <v>-33</v>
      </c>
      <c r="AH162" s="41"/>
    </row>
    <row r="163" spans="1:34" ht="12.75" x14ac:dyDescent="0.2">
      <c r="AH163" s="41"/>
    </row>
    <row r="164" spans="1:34" ht="12.75" x14ac:dyDescent="0.2">
      <c r="A164" s="52"/>
      <c r="B164" s="53"/>
      <c r="C164" s="54"/>
      <c r="D164" s="54"/>
      <c r="E164" s="54"/>
      <c r="F164" s="54"/>
      <c r="G164" s="54"/>
      <c r="H164" s="54"/>
      <c r="I164" s="54"/>
      <c r="J164" s="55"/>
      <c r="K164" s="56"/>
      <c r="L164" s="52"/>
      <c r="M164" s="53"/>
      <c r="N164" s="54"/>
      <c r="O164" s="54"/>
      <c r="P164" s="54"/>
      <c r="Q164" s="54"/>
      <c r="R164" s="54"/>
      <c r="S164" s="54"/>
      <c r="T164" s="54"/>
      <c r="U164" s="54"/>
      <c r="V164" s="54"/>
      <c r="W164" s="55"/>
      <c r="X164" s="57"/>
      <c r="Y164" s="58"/>
      <c r="Z164" s="59"/>
      <c r="AA164" s="60"/>
      <c r="AB164" s="57"/>
      <c r="AC164" s="55"/>
      <c r="AD164" s="55"/>
      <c r="AE164" s="57"/>
      <c r="AF164" s="55"/>
      <c r="AG164" s="61"/>
      <c r="AH164" s="41"/>
    </row>
    <row r="165" spans="1:34" ht="12.75" x14ac:dyDescent="0.2">
      <c r="A165" s="55"/>
      <c r="B165" s="62"/>
      <c r="C165" s="62"/>
      <c r="D165" s="62"/>
      <c r="E165" s="62"/>
      <c r="F165" s="62"/>
      <c r="G165" s="62"/>
      <c r="H165" s="62"/>
      <c r="I165" s="62"/>
      <c r="K165" s="56"/>
      <c r="L165" s="55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54"/>
      <c r="X165" s="54"/>
      <c r="Z165" s="63"/>
      <c r="AA165" s="64"/>
      <c r="AB165" s="54"/>
      <c r="AC165" s="54"/>
      <c r="AD165" s="54"/>
      <c r="AE165" s="54"/>
      <c r="AF165" s="54"/>
      <c r="AH165" s="41"/>
    </row>
    <row r="166" spans="1:34" ht="12.75" x14ac:dyDescent="0.2">
      <c r="A166" s="55"/>
      <c r="D166" s="65"/>
      <c r="E166" s="65"/>
      <c r="F166" s="65"/>
      <c r="G166" s="65"/>
      <c r="H166" s="65"/>
      <c r="I166" s="65"/>
      <c r="J166" s="54"/>
      <c r="K166" s="56"/>
      <c r="L166" s="55"/>
      <c r="O166" s="65"/>
      <c r="P166" s="65"/>
      <c r="Q166" s="65"/>
      <c r="R166" s="65"/>
      <c r="S166" s="65"/>
      <c r="T166" s="65"/>
      <c r="U166" s="65"/>
      <c r="V166" s="65"/>
      <c r="W166" s="65"/>
      <c r="X166" s="54"/>
      <c r="Z166" s="63"/>
      <c r="AA166" s="64"/>
      <c r="AB166" s="54"/>
      <c r="AC166" s="54"/>
      <c r="AD166" s="54"/>
      <c r="AE166" s="54"/>
      <c r="AF166" s="54"/>
      <c r="AH166" s="41"/>
    </row>
    <row r="167" spans="1:34" ht="12.75" x14ac:dyDescent="0.2">
      <c r="A167" s="55"/>
      <c r="B167" s="65"/>
      <c r="C167" s="65"/>
      <c r="D167" s="65"/>
      <c r="E167" s="65"/>
      <c r="F167" s="65"/>
      <c r="G167" s="65"/>
      <c r="H167" s="65"/>
      <c r="I167" s="65"/>
      <c r="J167" s="54"/>
      <c r="K167" s="56"/>
      <c r="L167" s="55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54"/>
      <c r="X167" s="55"/>
      <c r="Y167" s="63"/>
      <c r="Z167" s="63"/>
      <c r="AA167" s="66"/>
      <c r="AB167" s="55"/>
      <c r="AC167" s="55"/>
      <c r="AD167" s="55"/>
      <c r="AE167" s="55"/>
      <c r="AF167" s="55"/>
      <c r="AG167" s="61"/>
      <c r="AH167" s="41"/>
    </row>
    <row r="168" spans="1:34" ht="12.75" x14ac:dyDescent="0.2">
      <c r="AH168" s="41"/>
    </row>
    <row r="169" spans="1:34" ht="12.75" x14ac:dyDescent="0.2">
      <c r="AH169" s="41"/>
    </row>
    <row r="170" spans="1:34" ht="12.75" x14ac:dyDescent="0.2">
      <c r="A170" s="52"/>
      <c r="B170" s="53"/>
      <c r="C170" s="54"/>
      <c r="D170" s="54"/>
      <c r="E170" s="54"/>
      <c r="F170" s="54"/>
      <c r="G170" s="54"/>
      <c r="H170" s="54"/>
      <c r="I170" s="54"/>
      <c r="J170" s="55"/>
      <c r="K170" s="56"/>
      <c r="L170" s="52"/>
      <c r="M170" s="53"/>
      <c r="N170" s="54"/>
      <c r="O170" s="54"/>
      <c r="P170" s="54"/>
      <c r="Q170" s="54"/>
      <c r="R170" s="54"/>
      <c r="S170" s="54"/>
      <c r="T170" s="54"/>
      <c r="U170" s="54"/>
      <c r="V170" s="54"/>
      <c r="W170" s="55"/>
      <c r="X170" s="57"/>
      <c r="Y170" s="58"/>
      <c r="Z170" s="59"/>
      <c r="AA170" s="60"/>
      <c r="AB170" s="57"/>
      <c r="AC170" s="55"/>
      <c r="AD170" s="55"/>
      <c r="AE170" s="57"/>
      <c r="AF170" s="55"/>
      <c r="AG170" s="61"/>
      <c r="AH170" s="41"/>
    </row>
    <row r="171" spans="1:34" ht="12.75" x14ac:dyDescent="0.2">
      <c r="A171" s="55"/>
      <c r="B171" s="62"/>
      <c r="C171" s="62"/>
      <c r="D171" s="62"/>
      <c r="E171" s="62"/>
      <c r="F171" s="62"/>
      <c r="G171" s="62"/>
      <c r="H171" s="62"/>
      <c r="I171" s="62"/>
      <c r="K171" s="56"/>
      <c r="L171" s="55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54"/>
      <c r="X171" s="54"/>
      <c r="Z171" s="63"/>
      <c r="AA171" s="64"/>
      <c r="AB171" s="54"/>
      <c r="AC171" s="54"/>
      <c r="AD171" s="54"/>
      <c r="AE171" s="54"/>
      <c r="AF171" s="54"/>
      <c r="AH171" s="41"/>
    </row>
    <row r="172" spans="1:34" ht="12.75" x14ac:dyDescent="0.2">
      <c r="A172" s="55"/>
      <c r="D172" s="65"/>
      <c r="E172" s="65"/>
      <c r="F172" s="65"/>
      <c r="G172" s="65"/>
      <c r="H172" s="65"/>
      <c r="I172" s="65"/>
      <c r="J172" s="54"/>
      <c r="K172" s="56"/>
      <c r="L172" s="55"/>
      <c r="O172" s="65"/>
      <c r="P172" s="65"/>
      <c r="Q172" s="65"/>
      <c r="R172" s="65"/>
      <c r="S172" s="65"/>
      <c r="T172" s="65"/>
      <c r="U172" s="65"/>
      <c r="V172" s="65"/>
      <c r="W172" s="65"/>
      <c r="X172" s="54"/>
      <c r="Z172" s="63"/>
      <c r="AA172" s="64"/>
      <c r="AB172" s="54"/>
      <c r="AC172" s="54"/>
      <c r="AD172" s="54"/>
      <c r="AE172" s="54"/>
      <c r="AF172" s="54"/>
      <c r="AH172" s="41"/>
    </row>
    <row r="173" spans="1:34" ht="12.75" x14ac:dyDescent="0.2">
      <c r="A173" s="55"/>
      <c r="B173" s="65"/>
      <c r="C173" s="65"/>
      <c r="D173" s="65"/>
      <c r="E173" s="65"/>
      <c r="F173" s="65"/>
      <c r="G173" s="65"/>
      <c r="H173" s="65"/>
      <c r="I173" s="65"/>
      <c r="J173" s="54"/>
      <c r="K173" s="56"/>
      <c r="L173" s="55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54"/>
      <c r="X173" s="55"/>
      <c r="Y173" s="63"/>
      <c r="Z173" s="63"/>
      <c r="AA173" s="66"/>
      <c r="AB173" s="55"/>
      <c r="AC173" s="55"/>
      <c r="AD173" s="55"/>
      <c r="AE173" s="55"/>
      <c r="AF173" s="55"/>
      <c r="AG173" s="61"/>
      <c r="AH173" s="41"/>
    </row>
    <row r="174" spans="1:34" ht="12.75" x14ac:dyDescent="0.2">
      <c r="AH174" s="41"/>
    </row>
    <row r="175" spans="1:34" ht="12.75" x14ac:dyDescent="0.2">
      <c r="AH175" s="41"/>
    </row>
    <row r="176" spans="1:34" ht="12.75" x14ac:dyDescent="0.2">
      <c r="AH176" s="41"/>
    </row>
    <row r="177" spans="24:34" ht="15.75" customHeight="1" x14ac:dyDescent="0.25">
      <c r="X177" s="68" t="s">
        <v>208</v>
      </c>
      <c r="Y177" s="69">
        <f t="shared" ref="Y177:AE177" si="54">SUM(Y3:Y176)</f>
        <v>3236.15</v>
      </c>
      <c r="Z177" s="69">
        <f t="shared" si="54"/>
        <v>1250.2</v>
      </c>
      <c r="AA177" s="69">
        <f t="shared" si="54"/>
        <v>8625.6499999999978</v>
      </c>
      <c r="AB177" s="69">
        <f t="shared" si="54"/>
        <v>1428</v>
      </c>
      <c r="AC177" s="69">
        <f t="shared" si="54"/>
        <v>1473.2999999999997</v>
      </c>
      <c r="AD177" s="69">
        <f t="shared" si="54"/>
        <v>4139.3</v>
      </c>
      <c r="AE177" s="69">
        <f t="shared" si="54"/>
        <v>869.64</v>
      </c>
      <c r="AF177" s="69">
        <f>SUM(AF3:AF174)</f>
        <v>3169.1600000000008</v>
      </c>
      <c r="AH177" s="41"/>
    </row>
    <row r="178" spans="24:34" ht="12.75" x14ac:dyDescent="0.2">
      <c r="AH178" s="41"/>
    </row>
    <row r="179" spans="24:34" ht="12.75" x14ac:dyDescent="0.2">
      <c r="AB179" s="38" t="s">
        <v>242</v>
      </c>
      <c r="AC179" s="38">
        <v>245</v>
      </c>
      <c r="AE179" s="38" t="s">
        <v>221</v>
      </c>
      <c r="AF179" s="38">
        <v>-900</v>
      </c>
      <c r="AH179" s="41"/>
    </row>
    <row r="180" spans="24:34" ht="12.75" x14ac:dyDescent="0.2">
      <c r="AE180" s="38" t="s">
        <v>211</v>
      </c>
      <c r="AF180" s="38">
        <v>-900</v>
      </c>
      <c r="AH180" s="41"/>
    </row>
    <row r="181" spans="24:34" ht="12.75" x14ac:dyDescent="0.2">
      <c r="AE181" s="38" t="s">
        <v>222</v>
      </c>
      <c r="AF181" s="38">
        <v>-796</v>
      </c>
      <c r="AG181" s="38" t="s">
        <v>243</v>
      </c>
      <c r="AH181" s="41"/>
    </row>
    <row r="182" spans="24:34" ht="12.75" x14ac:dyDescent="0.2">
      <c r="AE182" s="38" t="s">
        <v>229</v>
      </c>
      <c r="AF182" s="38">
        <v>-300</v>
      </c>
      <c r="AH182" s="41"/>
    </row>
    <row r="183" spans="24:34" ht="12.75" x14ac:dyDescent="0.2">
      <c r="AD183" s="71"/>
      <c r="AE183" s="38" t="s">
        <v>244</v>
      </c>
      <c r="AF183" s="38">
        <v>-250</v>
      </c>
      <c r="AH183" s="41"/>
    </row>
    <row r="184" spans="24:34" ht="12.75" x14ac:dyDescent="0.2">
      <c r="AH184" s="41"/>
    </row>
    <row r="185" spans="24:34" ht="12.75" x14ac:dyDescent="0.2">
      <c r="AH185" s="41"/>
    </row>
    <row r="186" spans="24:34" ht="12.75" x14ac:dyDescent="0.2">
      <c r="AH186" s="41"/>
    </row>
    <row r="187" spans="24:34" ht="12.75" x14ac:dyDescent="0.2">
      <c r="AH187" s="41"/>
    </row>
    <row r="188" spans="24:34" ht="12.75" x14ac:dyDescent="0.2">
      <c r="AH188" s="41"/>
    </row>
    <row r="189" spans="24:34" ht="12.75" x14ac:dyDescent="0.2">
      <c r="AH189" s="41"/>
    </row>
    <row r="190" spans="24:34" ht="12.75" x14ac:dyDescent="0.2">
      <c r="AH190" s="41"/>
    </row>
    <row r="191" spans="24:34" ht="12.75" x14ac:dyDescent="0.2">
      <c r="AH191" s="41"/>
    </row>
    <row r="192" spans="24:34" ht="12.75" x14ac:dyDescent="0.2">
      <c r="AH192" s="41"/>
    </row>
    <row r="193" spans="34:34" ht="12.75" x14ac:dyDescent="0.2">
      <c r="AH193" s="41"/>
    </row>
    <row r="194" spans="34:34" ht="12.75" x14ac:dyDescent="0.2">
      <c r="AH194" s="41"/>
    </row>
    <row r="195" spans="34:34" ht="12.75" x14ac:dyDescent="0.2">
      <c r="AH195" s="41"/>
    </row>
    <row r="196" spans="34:34" ht="12.75" x14ac:dyDescent="0.2">
      <c r="AH196" s="41"/>
    </row>
    <row r="197" spans="34:34" ht="12.75" x14ac:dyDescent="0.2">
      <c r="AH197" s="41"/>
    </row>
    <row r="198" spans="34:34" ht="12.75" x14ac:dyDescent="0.2">
      <c r="AH198" s="41"/>
    </row>
    <row r="199" spans="34:34" ht="12.75" x14ac:dyDescent="0.2">
      <c r="AH199" s="41"/>
    </row>
    <row r="200" spans="34:34" ht="12.75" x14ac:dyDescent="0.2">
      <c r="AH200" s="41"/>
    </row>
    <row r="201" spans="34:34" ht="12.75" x14ac:dyDescent="0.2">
      <c r="AH201" s="41"/>
    </row>
    <row r="202" spans="34:34" ht="12.75" x14ac:dyDescent="0.2">
      <c r="AH202" s="41"/>
    </row>
    <row r="203" spans="34:34" ht="12.75" x14ac:dyDescent="0.2">
      <c r="AH203" s="41"/>
    </row>
    <row r="204" spans="34:34" ht="12.75" x14ac:dyDescent="0.2">
      <c r="AH204" s="41"/>
    </row>
    <row r="205" spans="34:34" ht="12.75" x14ac:dyDescent="0.2">
      <c r="AH205" s="41"/>
    </row>
    <row r="206" spans="34:34" ht="12.75" x14ac:dyDescent="0.2">
      <c r="AH206" s="41"/>
    </row>
    <row r="207" spans="34:34" ht="12.75" x14ac:dyDescent="0.2">
      <c r="AH207" s="41"/>
    </row>
    <row r="208" spans="34:34" ht="12.75" x14ac:dyDescent="0.2">
      <c r="AH208" s="41"/>
    </row>
    <row r="209" spans="34:34" ht="12.75" x14ac:dyDescent="0.2">
      <c r="AH209" s="41"/>
    </row>
    <row r="210" spans="34:34" ht="12.75" x14ac:dyDescent="0.2">
      <c r="AH210" s="41"/>
    </row>
    <row r="211" spans="34:34" ht="12.75" x14ac:dyDescent="0.2">
      <c r="AH211" s="41"/>
    </row>
    <row r="212" spans="34:34" ht="12.75" x14ac:dyDescent="0.2">
      <c r="AH212" s="41"/>
    </row>
    <row r="213" spans="34:34" ht="12.75" x14ac:dyDescent="0.2">
      <c r="AH213" s="41"/>
    </row>
    <row r="214" spans="34:34" ht="12.75" x14ac:dyDescent="0.2">
      <c r="AH214" s="41"/>
    </row>
    <row r="215" spans="34:34" ht="12.75" x14ac:dyDescent="0.2">
      <c r="AH215" s="41"/>
    </row>
    <row r="216" spans="34:34" ht="12.75" x14ac:dyDescent="0.2">
      <c r="AH216" s="41"/>
    </row>
    <row r="217" spans="34:34" ht="12.75" x14ac:dyDescent="0.2">
      <c r="AH217" s="41"/>
    </row>
    <row r="218" spans="34:34" ht="12.75" x14ac:dyDescent="0.2">
      <c r="AH218" s="41"/>
    </row>
    <row r="219" spans="34:34" ht="12.75" x14ac:dyDescent="0.2">
      <c r="AH219" s="41"/>
    </row>
    <row r="220" spans="34:34" ht="12.75" x14ac:dyDescent="0.2">
      <c r="AH220" s="41"/>
    </row>
    <row r="221" spans="34:34" ht="12.75" x14ac:dyDescent="0.2">
      <c r="AH221" s="41"/>
    </row>
    <row r="222" spans="34:34" ht="12.75" x14ac:dyDescent="0.2">
      <c r="AH222" s="41"/>
    </row>
    <row r="223" spans="34:34" ht="12.75" x14ac:dyDescent="0.2">
      <c r="AH223" s="41"/>
    </row>
    <row r="224" spans="34:34" ht="12.75" x14ac:dyDescent="0.2">
      <c r="AH224" s="41"/>
    </row>
    <row r="225" spans="34:34" ht="12.75" x14ac:dyDescent="0.2">
      <c r="AH225" s="41"/>
    </row>
    <row r="226" spans="34:34" ht="12.75" x14ac:dyDescent="0.2">
      <c r="AH226" s="41"/>
    </row>
    <row r="227" spans="34:34" ht="12.75" x14ac:dyDescent="0.2">
      <c r="AH227" s="41"/>
    </row>
    <row r="228" spans="34:34" ht="12.75" x14ac:dyDescent="0.2">
      <c r="AH228" s="41"/>
    </row>
    <row r="229" spans="34:34" ht="12.75" x14ac:dyDescent="0.2">
      <c r="AH229" s="41"/>
    </row>
    <row r="230" spans="34:34" ht="12.75" x14ac:dyDescent="0.2">
      <c r="AH230" s="41"/>
    </row>
    <row r="231" spans="34:34" ht="12.75" x14ac:dyDescent="0.2">
      <c r="AH231" s="41"/>
    </row>
    <row r="232" spans="34:34" ht="12.75" x14ac:dyDescent="0.2">
      <c r="AH232" s="41"/>
    </row>
    <row r="233" spans="34:34" ht="12.75" x14ac:dyDescent="0.2">
      <c r="AH233" s="41"/>
    </row>
    <row r="234" spans="34:34" ht="12.75" x14ac:dyDescent="0.2">
      <c r="AH234" s="41"/>
    </row>
    <row r="235" spans="34:34" ht="12.75" x14ac:dyDescent="0.2">
      <c r="AH235" s="41"/>
    </row>
    <row r="236" spans="34:34" ht="12.75" x14ac:dyDescent="0.2">
      <c r="AH236" s="41"/>
    </row>
    <row r="237" spans="34:34" ht="12.75" x14ac:dyDescent="0.2">
      <c r="AH237" s="41"/>
    </row>
    <row r="238" spans="34:34" ht="12.75" x14ac:dyDescent="0.2">
      <c r="AH238" s="41"/>
    </row>
    <row r="239" spans="34:34" ht="12.75" x14ac:dyDescent="0.2">
      <c r="AH239" s="41"/>
    </row>
    <row r="240" spans="34:34" ht="12.75" x14ac:dyDescent="0.2">
      <c r="AH240" s="41"/>
    </row>
    <row r="241" spans="34:34" ht="12.75" x14ac:dyDescent="0.2">
      <c r="AH241" s="41"/>
    </row>
    <row r="242" spans="34:34" ht="12.75" x14ac:dyDescent="0.2">
      <c r="AH242" s="41"/>
    </row>
    <row r="243" spans="34:34" ht="12.75" x14ac:dyDescent="0.2">
      <c r="AH243" s="41"/>
    </row>
    <row r="244" spans="34:34" ht="12.75" x14ac:dyDescent="0.2">
      <c r="AH244" s="41"/>
    </row>
    <row r="245" spans="34:34" ht="12.75" x14ac:dyDescent="0.2">
      <c r="AH245" s="41"/>
    </row>
    <row r="246" spans="34:34" ht="12.75" x14ac:dyDescent="0.2">
      <c r="AH246" s="41"/>
    </row>
    <row r="247" spans="34:34" ht="12.75" x14ac:dyDescent="0.2">
      <c r="AH247" s="41"/>
    </row>
    <row r="248" spans="34:34" ht="12.75" x14ac:dyDescent="0.2">
      <c r="AH248" s="41"/>
    </row>
    <row r="249" spans="34:34" ht="12.75" x14ac:dyDescent="0.2">
      <c r="AH249" s="41"/>
    </row>
    <row r="250" spans="34:34" ht="12.75" x14ac:dyDescent="0.2">
      <c r="AH250" s="41"/>
    </row>
    <row r="251" spans="34:34" ht="12.75" x14ac:dyDescent="0.2">
      <c r="AH251" s="41"/>
    </row>
    <row r="252" spans="34:34" ht="12.75" x14ac:dyDescent="0.2">
      <c r="AH252" s="41"/>
    </row>
    <row r="253" spans="34:34" ht="12.75" x14ac:dyDescent="0.2">
      <c r="AH253" s="41"/>
    </row>
    <row r="254" spans="34:34" ht="12.75" x14ac:dyDescent="0.2">
      <c r="AH254" s="41"/>
    </row>
    <row r="255" spans="34:34" ht="12.75" x14ac:dyDescent="0.2">
      <c r="AH255" s="41"/>
    </row>
    <row r="256" spans="34:34" ht="12.75" x14ac:dyDescent="0.2">
      <c r="AH256" s="41"/>
    </row>
    <row r="257" spans="34:34" ht="12.75" x14ac:dyDescent="0.2">
      <c r="AH257" s="41"/>
    </row>
    <row r="258" spans="34:34" ht="12.75" x14ac:dyDescent="0.2">
      <c r="AH258" s="41"/>
    </row>
    <row r="259" spans="34:34" ht="12.75" x14ac:dyDescent="0.2">
      <c r="AH259" s="41"/>
    </row>
    <row r="260" spans="34:34" ht="12.75" x14ac:dyDescent="0.2">
      <c r="AH260" s="41"/>
    </row>
    <row r="261" spans="34:34" ht="12.75" x14ac:dyDescent="0.2">
      <c r="AH261" s="41"/>
    </row>
    <row r="262" spans="34:34" ht="12.75" x14ac:dyDescent="0.2">
      <c r="AH262" s="41"/>
    </row>
    <row r="263" spans="34:34" ht="12.75" x14ac:dyDescent="0.2">
      <c r="AH263" s="41"/>
    </row>
    <row r="264" spans="34:34" ht="12.75" x14ac:dyDescent="0.2">
      <c r="AH264" s="41"/>
    </row>
    <row r="265" spans="34:34" ht="12.75" x14ac:dyDescent="0.2">
      <c r="AH265" s="41"/>
    </row>
    <row r="266" spans="34:34" ht="12.75" x14ac:dyDescent="0.2">
      <c r="AH266" s="41"/>
    </row>
    <row r="267" spans="34:34" ht="12.75" x14ac:dyDescent="0.2">
      <c r="AH267" s="41"/>
    </row>
    <row r="268" spans="34:34" ht="12.75" x14ac:dyDescent="0.2">
      <c r="AH268" s="41"/>
    </row>
    <row r="269" spans="34:34" ht="12.75" x14ac:dyDescent="0.2">
      <c r="AH269" s="41"/>
    </row>
    <row r="270" spans="34:34" ht="12.75" x14ac:dyDescent="0.2">
      <c r="AH270" s="41"/>
    </row>
    <row r="271" spans="34:34" ht="12.75" x14ac:dyDescent="0.2">
      <c r="AH271" s="41"/>
    </row>
    <row r="272" spans="34:34" ht="12.75" x14ac:dyDescent="0.2">
      <c r="AH272" s="41"/>
    </row>
    <row r="273" spans="34:34" ht="12.75" x14ac:dyDescent="0.2">
      <c r="AH273" s="41"/>
    </row>
    <row r="274" spans="34:34" ht="12.75" x14ac:dyDescent="0.2">
      <c r="AH274" s="41"/>
    </row>
    <row r="275" spans="34:34" ht="12.75" x14ac:dyDescent="0.2">
      <c r="AH275" s="41"/>
    </row>
    <row r="276" spans="34:34" ht="12.75" x14ac:dyDescent="0.2">
      <c r="AH276" s="41"/>
    </row>
    <row r="277" spans="34:34" ht="12.75" x14ac:dyDescent="0.2">
      <c r="AH277" s="41"/>
    </row>
    <row r="278" spans="34:34" ht="12.75" x14ac:dyDescent="0.2">
      <c r="AH278" s="41"/>
    </row>
    <row r="279" spans="34:34" ht="12.75" x14ac:dyDescent="0.2">
      <c r="AH279" s="41"/>
    </row>
    <row r="280" spans="34:34" ht="12.75" x14ac:dyDescent="0.2">
      <c r="AH280" s="41"/>
    </row>
    <row r="281" spans="34:34" ht="12.75" x14ac:dyDescent="0.2">
      <c r="AH281" s="41"/>
    </row>
    <row r="282" spans="34:34" ht="12.75" x14ac:dyDescent="0.2">
      <c r="AH282" s="41"/>
    </row>
    <row r="283" spans="34:34" ht="12.75" x14ac:dyDescent="0.2">
      <c r="AH283" s="41"/>
    </row>
    <row r="284" spans="34:34" ht="12.75" x14ac:dyDescent="0.2">
      <c r="AH284" s="41"/>
    </row>
    <row r="285" spans="34:34" ht="12.75" x14ac:dyDescent="0.2">
      <c r="AH285" s="41"/>
    </row>
    <row r="286" spans="34:34" ht="12.75" x14ac:dyDescent="0.2">
      <c r="AH286" s="41"/>
    </row>
    <row r="287" spans="34:34" ht="12.75" x14ac:dyDescent="0.2">
      <c r="AH287" s="41"/>
    </row>
    <row r="288" spans="34:34" ht="12.75" x14ac:dyDescent="0.2">
      <c r="AH288" s="41"/>
    </row>
    <row r="289" spans="34:34" ht="12.75" x14ac:dyDescent="0.2">
      <c r="AH289" s="41"/>
    </row>
    <row r="290" spans="34:34" ht="12.75" x14ac:dyDescent="0.2">
      <c r="AH290" s="41"/>
    </row>
    <row r="291" spans="34:34" ht="12.75" x14ac:dyDescent="0.2">
      <c r="AH291" s="41"/>
    </row>
    <row r="292" spans="34:34" ht="12.75" x14ac:dyDescent="0.2">
      <c r="AH292" s="41"/>
    </row>
    <row r="293" spans="34:34" ht="12.75" x14ac:dyDescent="0.2">
      <c r="AH293" s="41"/>
    </row>
    <row r="294" spans="34:34" ht="12.75" x14ac:dyDescent="0.2">
      <c r="AH294" s="41"/>
    </row>
    <row r="295" spans="34:34" ht="12.75" x14ac:dyDescent="0.2">
      <c r="AH295" s="41"/>
    </row>
    <row r="296" spans="34:34" ht="12.75" x14ac:dyDescent="0.2">
      <c r="AH296" s="41"/>
    </row>
    <row r="297" spans="34:34" ht="12.75" x14ac:dyDescent="0.2">
      <c r="AH297" s="41"/>
    </row>
    <row r="298" spans="34:34" ht="12.75" x14ac:dyDescent="0.2">
      <c r="AH298" s="41"/>
    </row>
    <row r="299" spans="34:34" ht="12.75" x14ac:dyDescent="0.2">
      <c r="AH299" s="41"/>
    </row>
    <row r="300" spans="34:34" ht="12.75" x14ac:dyDescent="0.2">
      <c r="AH300" s="41"/>
    </row>
    <row r="301" spans="34:34" ht="12.75" x14ac:dyDescent="0.2">
      <c r="AH301" s="41"/>
    </row>
    <row r="302" spans="34:34" ht="12.75" x14ac:dyDescent="0.2">
      <c r="AH302" s="41"/>
    </row>
    <row r="303" spans="34:34" ht="12.75" x14ac:dyDescent="0.2">
      <c r="AH303" s="41"/>
    </row>
    <row r="304" spans="34:34" ht="12.75" x14ac:dyDescent="0.2">
      <c r="AH304" s="41"/>
    </row>
    <row r="305" spans="34:34" ht="12.75" x14ac:dyDescent="0.2">
      <c r="AH305" s="41"/>
    </row>
    <row r="306" spans="34:34" ht="12.75" x14ac:dyDescent="0.2">
      <c r="AH306" s="41"/>
    </row>
    <row r="307" spans="34:34" ht="12.75" x14ac:dyDescent="0.2">
      <c r="AH307" s="41"/>
    </row>
    <row r="308" spans="34:34" ht="12.75" x14ac:dyDescent="0.2">
      <c r="AH308" s="41"/>
    </row>
    <row r="309" spans="34:34" ht="12.75" x14ac:dyDescent="0.2">
      <c r="AH309" s="41"/>
    </row>
    <row r="310" spans="34:34" ht="12.75" x14ac:dyDescent="0.2">
      <c r="AH310" s="41"/>
    </row>
    <row r="311" spans="34:34" ht="12.75" x14ac:dyDescent="0.2">
      <c r="AH311" s="41"/>
    </row>
    <row r="312" spans="34:34" ht="12.75" x14ac:dyDescent="0.2">
      <c r="AH312" s="41"/>
    </row>
    <row r="313" spans="34:34" ht="12.75" x14ac:dyDescent="0.2">
      <c r="AH313" s="41"/>
    </row>
    <row r="314" spans="34:34" ht="12.75" x14ac:dyDescent="0.2">
      <c r="AH314" s="41"/>
    </row>
    <row r="315" spans="34:34" ht="12.75" x14ac:dyDescent="0.2">
      <c r="AH315" s="41"/>
    </row>
    <row r="316" spans="34:34" ht="12.75" x14ac:dyDescent="0.2">
      <c r="AH316" s="41"/>
    </row>
    <row r="317" spans="34:34" ht="12.75" x14ac:dyDescent="0.2">
      <c r="AH317" s="41"/>
    </row>
    <row r="318" spans="34:34" ht="12.75" x14ac:dyDescent="0.2">
      <c r="AH318" s="41"/>
    </row>
    <row r="319" spans="34:34" ht="12.75" x14ac:dyDescent="0.2">
      <c r="AH319" s="41"/>
    </row>
    <row r="320" spans="34:34" ht="12.75" x14ac:dyDescent="0.2">
      <c r="AH320" s="41"/>
    </row>
    <row r="321" spans="34:34" ht="12.75" x14ac:dyDescent="0.2">
      <c r="AH321" s="41"/>
    </row>
    <row r="322" spans="34:34" ht="12.75" x14ac:dyDescent="0.2">
      <c r="AH322" s="41"/>
    </row>
    <row r="323" spans="34:34" ht="12.75" x14ac:dyDescent="0.2">
      <c r="AH323" s="41"/>
    </row>
    <row r="324" spans="34:34" ht="12.75" x14ac:dyDescent="0.2">
      <c r="AH324" s="41"/>
    </row>
    <row r="325" spans="34:34" ht="12.75" x14ac:dyDescent="0.2">
      <c r="AH325" s="41"/>
    </row>
    <row r="326" spans="34:34" ht="12.75" x14ac:dyDescent="0.2">
      <c r="AH326" s="41"/>
    </row>
    <row r="327" spans="34:34" ht="12.75" x14ac:dyDescent="0.2">
      <c r="AH327" s="41"/>
    </row>
    <row r="328" spans="34:34" ht="12.75" x14ac:dyDescent="0.2">
      <c r="AH328" s="41"/>
    </row>
    <row r="329" spans="34:34" ht="12.75" x14ac:dyDescent="0.2">
      <c r="AH329" s="41"/>
    </row>
    <row r="330" spans="34:34" ht="12.75" x14ac:dyDescent="0.2">
      <c r="AH330" s="41"/>
    </row>
    <row r="331" spans="34:34" ht="12.75" x14ac:dyDescent="0.2">
      <c r="AH331" s="41"/>
    </row>
    <row r="332" spans="34:34" ht="12.75" x14ac:dyDescent="0.2">
      <c r="AH332" s="41"/>
    </row>
    <row r="333" spans="34:34" ht="12.75" x14ac:dyDescent="0.2">
      <c r="AH333" s="41"/>
    </row>
    <row r="334" spans="34:34" ht="12.75" x14ac:dyDescent="0.2">
      <c r="AH334" s="41"/>
    </row>
    <row r="335" spans="34:34" ht="12.75" x14ac:dyDescent="0.2">
      <c r="AH335" s="41"/>
    </row>
    <row r="336" spans="34:34" ht="12.75" x14ac:dyDescent="0.2">
      <c r="AH336" s="41"/>
    </row>
    <row r="337" spans="34:34" ht="12.75" x14ac:dyDescent="0.2">
      <c r="AH337" s="41"/>
    </row>
    <row r="338" spans="34:34" ht="12.75" x14ac:dyDescent="0.2">
      <c r="AH338" s="41"/>
    </row>
    <row r="339" spans="34:34" ht="12.75" x14ac:dyDescent="0.2">
      <c r="AH339" s="41"/>
    </row>
    <row r="340" spans="34:34" ht="12.75" x14ac:dyDescent="0.2">
      <c r="AH340" s="41"/>
    </row>
    <row r="341" spans="34:34" ht="12.75" x14ac:dyDescent="0.2">
      <c r="AH341" s="41"/>
    </row>
    <row r="342" spans="34:34" ht="12.75" x14ac:dyDescent="0.2">
      <c r="AH342" s="41"/>
    </row>
    <row r="343" spans="34:34" ht="12.75" x14ac:dyDescent="0.2">
      <c r="AH343" s="41"/>
    </row>
    <row r="344" spans="34:34" ht="12.75" x14ac:dyDescent="0.2">
      <c r="AH344" s="41"/>
    </row>
    <row r="345" spans="34:34" ht="12.75" x14ac:dyDescent="0.2">
      <c r="AH345" s="41"/>
    </row>
    <row r="346" spans="34:34" ht="12.75" x14ac:dyDescent="0.2">
      <c r="AH346" s="41"/>
    </row>
    <row r="347" spans="34:34" ht="12.75" x14ac:dyDescent="0.2">
      <c r="AH347" s="41"/>
    </row>
    <row r="348" spans="34:34" ht="12.75" x14ac:dyDescent="0.2">
      <c r="AH348" s="41"/>
    </row>
    <row r="349" spans="34:34" ht="12.75" x14ac:dyDescent="0.2">
      <c r="AH349" s="41"/>
    </row>
    <row r="350" spans="34:34" ht="12.75" x14ac:dyDescent="0.2">
      <c r="AH350" s="41"/>
    </row>
    <row r="351" spans="34:34" ht="12.75" x14ac:dyDescent="0.2">
      <c r="AH351" s="41"/>
    </row>
    <row r="352" spans="34:34" ht="12.75" x14ac:dyDescent="0.2">
      <c r="AH352" s="41"/>
    </row>
    <row r="353" spans="34:34" ht="12.75" x14ac:dyDescent="0.2">
      <c r="AH353" s="41"/>
    </row>
    <row r="354" spans="34:34" ht="12.75" x14ac:dyDescent="0.2">
      <c r="AH354" s="41"/>
    </row>
    <row r="355" spans="34:34" ht="12.75" x14ac:dyDescent="0.2">
      <c r="AH355" s="41"/>
    </row>
    <row r="356" spans="34:34" ht="12.75" x14ac:dyDescent="0.2">
      <c r="AH356" s="41"/>
    </row>
    <row r="357" spans="34:34" ht="12.75" x14ac:dyDescent="0.2">
      <c r="AH357" s="41"/>
    </row>
    <row r="358" spans="34:34" ht="12.75" x14ac:dyDescent="0.2">
      <c r="AH358" s="41"/>
    </row>
    <row r="359" spans="34:34" ht="12.75" x14ac:dyDescent="0.2">
      <c r="AH359" s="41"/>
    </row>
    <row r="360" spans="34:34" ht="12.75" x14ac:dyDescent="0.2">
      <c r="AH360" s="41"/>
    </row>
    <row r="361" spans="34:34" ht="12.75" x14ac:dyDescent="0.2">
      <c r="AH361" s="41"/>
    </row>
    <row r="362" spans="34:34" ht="12.75" x14ac:dyDescent="0.2">
      <c r="AH362" s="41"/>
    </row>
    <row r="363" spans="34:34" ht="12.75" x14ac:dyDescent="0.2">
      <c r="AH363" s="41"/>
    </row>
    <row r="364" spans="34:34" ht="12.75" x14ac:dyDescent="0.2">
      <c r="AH364" s="41"/>
    </row>
    <row r="365" spans="34:34" ht="12.75" x14ac:dyDescent="0.2">
      <c r="AH365" s="41"/>
    </row>
    <row r="366" spans="34:34" ht="12.75" x14ac:dyDescent="0.2">
      <c r="AH366" s="41"/>
    </row>
    <row r="367" spans="34:34" ht="12.75" x14ac:dyDescent="0.2">
      <c r="AH367" s="41"/>
    </row>
    <row r="368" spans="34:34" ht="12.75" x14ac:dyDescent="0.2">
      <c r="AH368" s="41"/>
    </row>
    <row r="369" spans="34:34" ht="12.75" x14ac:dyDescent="0.2">
      <c r="AH369" s="41"/>
    </row>
    <row r="370" spans="34:34" ht="12.75" x14ac:dyDescent="0.2">
      <c r="AH370" s="41"/>
    </row>
    <row r="371" spans="34:34" ht="12.75" x14ac:dyDescent="0.2">
      <c r="AH371" s="41"/>
    </row>
    <row r="372" spans="34:34" ht="12.75" x14ac:dyDescent="0.2">
      <c r="AH372" s="41"/>
    </row>
    <row r="373" spans="34:34" ht="12.75" x14ac:dyDescent="0.2">
      <c r="AH373" s="41"/>
    </row>
    <row r="374" spans="34:34" ht="12.75" x14ac:dyDescent="0.2">
      <c r="AH374" s="41"/>
    </row>
    <row r="375" spans="34:34" ht="12.75" x14ac:dyDescent="0.2">
      <c r="AH375" s="41"/>
    </row>
    <row r="376" spans="34:34" ht="12.75" x14ac:dyDescent="0.2">
      <c r="AH376" s="41"/>
    </row>
    <row r="377" spans="34:34" ht="12.75" x14ac:dyDescent="0.2">
      <c r="AH377" s="41"/>
    </row>
    <row r="378" spans="34:34" ht="12.75" x14ac:dyDescent="0.2">
      <c r="AH378" s="41"/>
    </row>
    <row r="379" spans="34:34" ht="12.75" x14ac:dyDescent="0.2">
      <c r="AH379" s="41"/>
    </row>
    <row r="380" spans="34:34" ht="12.75" x14ac:dyDescent="0.2">
      <c r="AH380" s="41"/>
    </row>
    <row r="381" spans="34:34" ht="12.75" x14ac:dyDescent="0.2">
      <c r="AH381" s="41"/>
    </row>
    <row r="382" spans="34:34" ht="12.75" x14ac:dyDescent="0.2">
      <c r="AH382" s="41"/>
    </row>
    <row r="383" spans="34:34" ht="12.75" x14ac:dyDescent="0.2">
      <c r="AH383" s="41"/>
    </row>
    <row r="384" spans="34:34" ht="12.75" x14ac:dyDescent="0.2">
      <c r="AH384" s="41"/>
    </row>
    <row r="385" spans="34:34" ht="12.75" x14ac:dyDescent="0.2">
      <c r="AH385" s="41"/>
    </row>
    <row r="386" spans="34:34" ht="12.75" x14ac:dyDescent="0.2">
      <c r="AH386" s="41"/>
    </row>
    <row r="387" spans="34:34" ht="12.75" x14ac:dyDescent="0.2">
      <c r="AH387" s="41"/>
    </row>
    <row r="388" spans="34:34" ht="12.75" x14ac:dyDescent="0.2">
      <c r="AH388" s="41"/>
    </row>
    <row r="389" spans="34:34" ht="12.75" x14ac:dyDescent="0.2">
      <c r="AH389" s="41"/>
    </row>
    <row r="390" spans="34:34" ht="12.75" x14ac:dyDescent="0.2">
      <c r="AH390" s="41"/>
    </row>
    <row r="391" spans="34:34" ht="12.75" x14ac:dyDescent="0.2">
      <c r="AH391" s="41"/>
    </row>
    <row r="392" spans="34:34" ht="12.75" x14ac:dyDescent="0.2">
      <c r="AH392" s="41"/>
    </row>
    <row r="393" spans="34:34" ht="12.75" x14ac:dyDescent="0.2">
      <c r="AH393" s="41"/>
    </row>
    <row r="394" spans="34:34" ht="12.75" x14ac:dyDescent="0.2">
      <c r="AH394" s="41"/>
    </row>
    <row r="395" spans="34:34" ht="12.75" x14ac:dyDescent="0.2">
      <c r="AH395" s="41"/>
    </row>
    <row r="396" spans="34:34" ht="12.75" x14ac:dyDescent="0.2">
      <c r="AH396" s="41"/>
    </row>
    <row r="397" spans="34:34" ht="12.75" x14ac:dyDescent="0.2">
      <c r="AH397" s="41"/>
    </row>
    <row r="398" spans="34:34" ht="12.75" x14ac:dyDescent="0.2">
      <c r="AH398" s="41"/>
    </row>
    <row r="399" spans="34:34" ht="12.75" x14ac:dyDescent="0.2">
      <c r="AH399" s="41"/>
    </row>
    <row r="400" spans="34:34" ht="12.75" x14ac:dyDescent="0.2">
      <c r="AH400" s="41"/>
    </row>
    <row r="401" spans="34:34" ht="12.75" x14ac:dyDescent="0.2">
      <c r="AH401" s="41"/>
    </row>
    <row r="402" spans="34:34" ht="12.75" x14ac:dyDescent="0.2">
      <c r="AH402" s="41"/>
    </row>
    <row r="403" spans="34:34" ht="12.75" x14ac:dyDescent="0.2">
      <c r="AH403" s="41"/>
    </row>
    <row r="404" spans="34:34" ht="12.75" x14ac:dyDescent="0.2">
      <c r="AH404" s="41"/>
    </row>
    <row r="405" spans="34:34" ht="12.75" x14ac:dyDescent="0.2">
      <c r="AH405" s="41"/>
    </row>
    <row r="406" spans="34:34" ht="12.75" x14ac:dyDescent="0.2">
      <c r="AH406" s="41"/>
    </row>
    <row r="407" spans="34:34" ht="12.75" x14ac:dyDescent="0.2">
      <c r="AH407" s="41"/>
    </row>
    <row r="408" spans="34:34" ht="12.75" x14ac:dyDescent="0.2">
      <c r="AH408" s="41"/>
    </row>
    <row r="409" spans="34:34" ht="12.75" x14ac:dyDescent="0.2">
      <c r="AH409" s="41"/>
    </row>
    <row r="410" spans="34:34" ht="12.75" x14ac:dyDescent="0.2">
      <c r="AH410" s="41"/>
    </row>
    <row r="411" spans="34:34" ht="12.75" x14ac:dyDescent="0.2">
      <c r="AH411" s="41"/>
    </row>
    <row r="412" spans="34:34" ht="12.75" x14ac:dyDescent="0.2">
      <c r="AH412" s="41"/>
    </row>
    <row r="413" spans="34:34" ht="12.75" x14ac:dyDescent="0.2">
      <c r="AH413" s="41"/>
    </row>
    <row r="414" spans="34:34" ht="12.75" x14ac:dyDescent="0.2">
      <c r="AH414" s="41"/>
    </row>
    <row r="415" spans="34:34" ht="12.75" x14ac:dyDescent="0.2">
      <c r="AH415" s="41"/>
    </row>
    <row r="416" spans="34:34" ht="12.75" x14ac:dyDescent="0.2">
      <c r="AH416" s="41"/>
    </row>
    <row r="417" spans="34:34" ht="12.75" x14ac:dyDescent="0.2">
      <c r="AH417" s="41"/>
    </row>
    <row r="418" spans="34:34" ht="12.75" x14ac:dyDescent="0.2">
      <c r="AH418" s="41"/>
    </row>
    <row r="419" spans="34:34" ht="12.75" x14ac:dyDescent="0.2">
      <c r="AH419" s="41"/>
    </row>
    <row r="420" spans="34:34" ht="12.75" x14ac:dyDescent="0.2">
      <c r="AH420" s="41"/>
    </row>
    <row r="421" spans="34:34" ht="12.75" x14ac:dyDescent="0.2">
      <c r="AH421" s="41"/>
    </row>
    <row r="422" spans="34:34" ht="12.75" x14ac:dyDescent="0.2">
      <c r="AH422" s="41"/>
    </row>
    <row r="423" spans="34:34" ht="12.75" x14ac:dyDescent="0.2">
      <c r="AH423" s="41"/>
    </row>
    <row r="424" spans="34:34" ht="12.75" x14ac:dyDescent="0.2">
      <c r="AH424" s="41"/>
    </row>
    <row r="425" spans="34:34" ht="12.75" x14ac:dyDescent="0.2">
      <c r="AH425" s="41"/>
    </row>
    <row r="426" spans="34:34" ht="12.75" x14ac:dyDescent="0.2">
      <c r="AH426" s="41"/>
    </row>
    <row r="427" spans="34:34" ht="12.75" x14ac:dyDescent="0.2">
      <c r="AH427" s="41"/>
    </row>
    <row r="428" spans="34:34" ht="12.75" x14ac:dyDescent="0.2">
      <c r="AH428" s="41"/>
    </row>
    <row r="429" spans="34:34" ht="12.75" x14ac:dyDescent="0.2">
      <c r="AH429" s="41"/>
    </row>
    <row r="430" spans="34:34" ht="12.75" x14ac:dyDescent="0.2">
      <c r="AH430" s="41"/>
    </row>
    <row r="431" spans="34:34" ht="12.75" x14ac:dyDescent="0.2">
      <c r="AH431" s="41"/>
    </row>
    <row r="432" spans="34:34" ht="12.75" x14ac:dyDescent="0.2">
      <c r="AH432" s="41"/>
    </row>
    <row r="433" spans="34:34" ht="12.75" x14ac:dyDescent="0.2">
      <c r="AH433" s="41"/>
    </row>
    <row r="434" spans="34:34" ht="12.75" x14ac:dyDescent="0.2">
      <c r="AH434" s="41"/>
    </row>
    <row r="435" spans="34:34" ht="12.75" x14ac:dyDescent="0.2">
      <c r="AH435" s="41"/>
    </row>
    <row r="436" spans="34:34" ht="12.75" x14ac:dyDescent="0.2">
      <c r="AH436" s="41"/>
    </row>
    <row r="437" spans="34:34" ht="12.75" x14ac:dyDescent="0.2">
      <c r="AH437" s="41"/>
    </row>
    <row r="438" spans="34:34" ht="12.75" x14ac:dyDescent="0.2">
      <c r="AH438" s="41"/>
    </row>
    <row r="439" spans="34:34" ht="12.75" x14ac:dyDescent="0.2">
      <c r="AH439" s="41"/>
    </row>
    <row r="440" spans="34:34" ht="12.75" x14ac:dyDescent="0.2">
      <c r="AH440" s="41"/>
    </row>
    <row r="441" spans="34:34" ht="12.75" x14ac:dyDescent="0.2">
      <c r="AH441" s="41"/>
    </row>
    <row r="442" spans="34:34" ht="12.75" x14ac:dyDescent="0.2">
      <c r="AH442" s="41"/>
    </row>
    <row r="443" spans="34:34" ht="12.75" x14ac:dyDescent="0.2">
      <c r="AH443" s="41"/>
    </row>
    <row r="444" spans="34:34" ht="12.75" x14ac:dyDescent="0.2">
      <c r="AH444" s="41"/>
    </row>
    <row r="445" spans="34:34" ht="12.75" x14ac:dyDescent="0.2">
      <c r="AH445" s="41"/>
    </row>
    <row r="446" spans="34:34" ht="12.75" x14ac:dyDescent="0.2">
      <c r="AH446" s="41"/>
    </row>
    <row r="447" spans="34:34" ht="12.75" x14ac:dyDescent="0.2">
      <c r="AH447" s="41"/>
    </row>
    <row r="448" spans="34:34" ht="12.75" x14ac:dyDescent="0.2">
      <c r="AH448" s="41"/>
    </row>
    <row r="449" spans="34:34" ht="12.75" x14ac:dyDescent="0.2">
      <c r="AH449" s="41"/>
    </row>
    <row r="450" spans="34:34" ht="12.75" x14ac:dyDescent="0.2">
      <c r="AH450" s="41"/>
    </row>
    <row r="451" spans="34:34" ht="12.75" x14ac:dyDescent="0.2">
      <c r="AH451" s="41"/>
    </row>
    <row r="452" spans="34:34" ht="12.75" x14ac:dyDescent="0.2">
      <c r="AH452" s="41"/>
    </row>
    <row r="453" spans="34:34" ht="12.75" x14ac:dyDescent="0.2">
      <c r="AH453" s="41"/>
    </row>
    <row r="454" spans="34:34" ht="12.75" x14ac:dyDescent="0.2">
      <c r="AH454" s="41"/>
    </row>
    <row r="455" spans="34:34" ht="12.75" x14ac:dyDescent="0.2">
      <c r="AH455" s="41"/>
    </row>
    <row r="456" spans="34:34" ht="12.75" x14ac:dyDescent="0.2">
      <c r="AH456" s="41"/>
    </row>
    <row r="457" spans="34:34" ht="12.75" x14ac:dyDescent="0.2">
      <c r="AH457" s="41"/>
    </row>
    <row r="458" spans="34:34" ht="12.75" x14ac:dyDescent="0.2">
      <c r="AH458" s="41"/>
    </row>
    <row r="459" spans="34:34" ht="12.75" x14ac:dyDescent="0.2">
      <c r="AH459" s="41"/>
    </row>
    <row r="460" spans="34:34" ht="12.75" x14ac:dyDescent="0.2">
      <c r="AH460" s="41"/>
    </row>
    <row r="461" spans="34:34" ht="12.75" x14ac:dyDescent="0.2">
      <c r="AH461" s="41"/>
    </row>
    <row r="462" spans="34:34" ht="12.75" x14ac:dyDescent="0.2">
      <c r="AH462" s="41"/>
    </row>
    <row r="463" spans="34:34" ht="12.75" x14ac:dyDescent="0.2">
      <c r="AH463" s="41"/>
    </row>
    <row r="464" spans="34:34" ht="12.75" x14ac:dyDescent="0.2">
      <c r="AH464" s="41"/>
    </row>
    <row r="465" spans="34:34" ht="12.75" x14ac:dyDescent="0.2">
      <c r="AH465" s="41"/>
    </row>
    <row r="466" spans="34:34" ht="12.75" x14ac:dyDescent="0.2">
      <c r="AH466" s="41"/>
    </row>
    <row r="467" spans="34:34" ht="12.75" x14ac:dyDescent="0.2">
      <c r="AH467" s="41"/>
    </row>
    <row r="468" spans="34:34" ht="12.75" x14ac:dyDescent="0.2">
      <c r="AH468" s="41"/>
    </row>
    <row r="469" spans="34:34" ht="12.75" x14ac:dyDescent="0.2">
      <c r="AH469" s="41"/>
    </row>
    <row r="470" spans="34:34" ht="12.75" x14ac:dyDescent="0.2">
      <c r="AH470" s="41"/>
    </row>
    <row r="471" spans="34:34" ht="12.75" x14ac:dyDescent="0.2">
      <c r="AH471" s="41"/>
    </row>
    <row r="472" spans="34:34" ht="12.75" x14ac:dyDescent="0.2">
      <c r="AH472" s="41"/>
    </row>
    <row r="473" spans="34:34" ht="12.75" x14ac:dyDescent="0.2">
      <c r="AH473" s="41"/>
    </row>
    <row r="474" spans="34:34" ht="12.75" x14ac:dyDescent="0.2">
      <c r="AH474" s="41"/>
    </row>
    <row r="475" spans="34:34" ht="12.75" x14ac:dyDescent="0.2">
      <c r="AH475" s="41"/>
    </row>
    <row r="476" spans="34:34" ht="12.75" x14ac:dyDescent="0.2">
      <c r="AH476" s="41"/>
    </row>
    <row r="477" spans="34:34" ht="12.75" x14ac:dyDescent="0.2">
      <c r="AH477" s="41"/>
    </row>
    <row r="478" spans="34:34" ht="12.75" x14ac:dyDescent="0.2">
      <c r="AH478" s="41"/>
    </row>
    <row r="479" spans="34:34" ht="12.75" x14ac:dyDescent="0.2">
      <c r="AH479" s="41"/>
    </row>
    <row r="480" spans="34:34" ht="12.75" x14ac:dyDescent="0.2">
      <c r="AH480" s="41"/>
    </row>
    <row r="481" spans="34:34" ht="12.75" x14ac:dyDescent="0.2">
      <c r="AH481" s="41"/>
    </row>
    <row r="482" spans="34:34" ht="12.75" x14ac:dyDescent="0.2">
      <c r="AH482" s="41"/>
    </row>
    <row r="483" spans="34:34" ht="12.75" x14ac:dyDescent="0.2">
      <c r="AH483" s="41"/>
    </row>
    <row r="484" spans="34:34" ht="12.75" x14ac:dyDescent="0.2">
      <c r="AH484" s="41"/>
    </row>
    <row r="485" spans="34:34" ht="12.75" x14ac:dyDescent="0.2">
      <c r="AH485" s="41"/>
    </row>
    <row r="486" spans="34:34" ht="12.75" x14ac:dyDescent="0.2">
      <c r="AH486" s="41"/>
    </row>
    <row r="487" spans="34:34" ht="12.75" x14ac:dyDescent="0.2">
      <c r="AH487" s="41"/>
    </row>
    <row r="488" spans="34:34" ht="12.75" x14ac:dyDescent="0.2">
      <c r="AH488" s="41"/>
    </row>
    <row r="489" spans="34:34" ht="12.75" x14ac:dyDescent="0.2">
      <c r="AH489" s="41"/>
    </row>
    <row r="490" spans="34:34" ht="12.75" x14ac:dyDescent="0.2">
      <c r="AH490" s="41"/>
    </row>
    <row r="491" spans="34:34" ht="12.75" x14ac:dyDescent="0.2">
      <c r="AH491" s="41"/>
    </row>
    <row r="492" spans="34:34" ht="12.75" x14ac:dyDescent="0.2">
      <c r="AH492" s="41"/>
    </row>
    <row r="493" spans="34:34" ht="12.75" x14ac:dyDescent="0.2">
      <c r="AH493" s="41"/>
    </row>
    <row r="494" spans="34:34" ht="12.75" x14ac:dyDescent="0.2">
      <c r="AH494" s="41"/>
    </row>
    <row r="495" spans="34:34" ht="12.75" x14ac:dyDescent="0.2">
      <c r="AH495" s="41"/>
    </row>
    <row r="496" spans="34:34" ht="12.75" x14ac:dyDescent="0.2">
      <c r="AH496" s="41"/>
    </row>
    <row r="497" spans="34:34" ht="12.75" x14ac:dyDescent="0.2">
      <c r="AH497" s="41"/>
    </row>
    <row r="498" spans="34:34" ht="12.75" x14ac:dyDescent="0.2">
      <c r="AH498" s="41"/>
    </row>
    <row r="499" spans="34:34" ht="12.75" x14ac:dyDescent="0.2">
      <c r="AH499" s="41"/>
    </row>
    <row r="500" spans="34:34" ht="12.75" x14ac:dyDescent="0.2">
      <c r="AH500" s="41"/>
    </row>
    <row r="501" spans="34:34" ht="12.75" x14ac:dyDescent="0.2">
      <c r="AH501" s="41"/>
    </row>
    <row r="502" spans="34:34" ht="12.75" x14ac:dyDescent="0.2">
      <c r="AH502" s="41"/>
    </row>
    <row r="503" spans="34:34" ht="12.75" x14ac:dyDescent="0.2">
      <c r="AH503" s="41"/>
    </row>
    <row r="504" spans="34:34" ht="12.75" x14ac:dyDescent="0.2">
      <c r="AH504" s="41"/>
    </row>
    <row r="505" spans="34:34" ht="12.75" x14ac:dyDescent="0.2">
      <c r="AH505" s="41"/>
    </row>
    <row r="506" spans="34:34" ht="12.75" x14ac:dyDescent="0.2">
      <c r="AH506" s="41"/>
    </row>
    <row r="507" spans="34:34" ht="12.75" x14ac:dyDescent="0.2">
      <c r="AH507" s="41"/>
    </row>
    <row r="508" spans="34:34" ht="12.75" x14ac:dyDescent="0.2">
      <c r="AH508" s="41"/>
    </row>
    <row r="509" spans="34:34" ht="12.75" x14ac:dyDescent="0.2">
      <c r="AH509" s="41"/>
    </row>
    <row r="510" spans="34:34" ht="12.75" x14ac:dyDescent="0.2">
      <c r="AH510" s="41"/>
    </row>
    <row r="511" spans="34:34" ht="12.75" x14ac:dyDescent="0.2">
      <c r="AH511" s="41"/>
    </row>
    <row r="512" spans="34:34" ht="12.75" x14ac:dyDescent="0.2">
      <c r="AH512" s="41"/>
    </row>
    <row r="513" spans="34:34" ht="12.75" x14ac:dyDescent="0.2">
      <c r="AH513" s="41"/>
    </row>
    <row r="514" spans="34:34" ht="12.75" x14ac:dyDescent="0.2">
      <c r="AH514" s="41"/>
    </row>
    <row r="515" spans="34:34" ht="12.75" x14ac:dyDescent="0.2">
      <c r="AH515" s="41"/>
    </row>
    <row r="516" spans="34:34" ht="12.75" x14ac:dyDescent="0.2">
      <c r="AH516" s="41"/>
    </row>
    <row r="517" spans="34:34" ht="12.75" x14ac:dyDescent="0.2">
      <c r="AH517" s="41"/>
    </row>
    <row r="518" spans="34:34" ht="12.75" x14ac:dyDescent="0.2">
      <c r="AH518" s="41"/>
    </row>
    <row r="519" spans="34:34" ht="12.75" x14ac:dyDescent="0.2">
      <c r="AH519" s="41"/>
    </row>
    <row r="520" spans="34:34" ht="12.75" x14ac:dyDescent="0.2">
      <c r="AH520" s="41"/>
    </row>
    <row r="521" spans="34:34" ht="12.75" x14ac:dyDescent="0.2">
      <c r="AH521" s="41"/>
    </row>
    <row r="522" spans="34:34" ht="12.75" x14ac:dyDescent="0.2">
      <c r="AH522" s="41"/>
    </row>
    <row r="523" spans="34:34" ht="12.75" x14ac:dyDescent="0.2">
      <c r="AH523" s="41"/>
    </row>
    <row r="524" spans="34:34" ht="12.75" x14ac:dyDescent="0.2">
      <c r="AH524" s="41"/>
    </row>
    <row r="525" spans="34:34" ht="12.75" x14ac:dyDescent="0.2">
      <c r="AH525" s="41"/>
    </row>
    <row r="526" spans="34:34" ht="12.75" x14ac:dyDescent="0.2">
      <c r="AH526" s="41"/>
    </row>
    <row r="527" spans="34:34" ht="12.75" x14ac:dyDescent="0.2">
      <c r="AH527" s="41"/>
    </row>
    <row r="528" spans="34:34" ht="12.75" x14ac:dyDescent="0.2">
      <c r="AH528" s="41"/>
    </row>
    <row r="529" spans="34:34" ht="12.75" x14ac:dyDescent="0.2">
      <c r="AH529" s="41"/>
    </row>
    <row r="530" spans="34:34" ht="12.75" x14ac:dyDescent="0.2">
      <c r="AH530" s="41"/>
    </row>
    <row r="531" spans="34:34" ht="12.75" x14ac:dyDescent="0.2">
      <c r="AH531" s="41"/>
    </row>
    <row r="532" spans="34:34" ht="12.75" x14ac:dyDescent="0.2">
      <c r="AH532" s="41"/>
    </row>
    <row r="533" spans="34:34" ht="12.75" x14ac:dyDescent="0.2">
      <c r="AH533" s="41"/>
    </row>
    <row r="534" spans="34:34" ht="12.75" x14ac:dyDescent="0.2">
      <c r="AH534" s="41"/>
    </row>
    <row r="535" spans="34:34" ht="12.75" x14ac:dyDescent="0.2">
      <c r="AH535" s="41"/>
    </row>
    <row r="536" spans="34:34" ht="12.75" x14ac:dyDescent="0.2">
      <c r="AH536" s="41"/>
    </row>
    <row r="537" spans="34:34" ht="12.75" x14ac:dyDescent="0.2">
      <c r="AH537" s="41"/>
    </row>
    <row r="538" spans="34:34" ht="12.75" x14ac:dyDescent="0.2">
      <c r="AH538" s="41"/>
    </row>
    <row r="539" spans="34:34" ht="12.75" x14ac:dyDescent="0.2">
      <c r="AH539" s="41"/>
    </row>
    <row r="540" spans="34:34" ht="12.75" x14ac:dyDescent="0.2">
      <c r="AH540" s="41"/>
    </row>
    <row r="541" spans="34:34" ht="12.75" x14ac:dyDescent="0.2">
      <c r="AH541" s="41"/>
    </row>
    <row r="542" spans="34:34" ht="12.75" x14ac:dyDescent="0.2">
      <c r="AH542" s="41"/>
    </row>
    <row r="543" spans="34:34" ht="12.75" x14ac:dyDescent="0.2">
      <c r="AH543" s="41"/>
    </row>
    <row r="544" spans="34:34" ht="12.75" x14ac:dyDescent="0.2">
      <c r="AH544" s="41"/>
    </row>
    <row r="545" spans="34:34" ht="12.75" x14ac:dyDescent="0.2">
      <c r="AH545" s="41"/>
    </row>
    <row r="546" spans="34:34" ht="12.75" x14ac:dyDescent="0.2">
      <c r="AH546" s="41"/>
    </row>
    <row r="547" spans="34:34" ht="12.75" x14ac:dyDescent="0.2">
      <c r="AH547" s="41"/>
    </row>
    <row r="548" spans="34:34" ht="12.75" x14ac:dyDescent="0.2">
      <c r="AH548" s="41"/>
    </row>
    <row r="549" spans="34:34" ht="12.75" x14ac:dyDescent="0.2">
      <c r="AH549" s="41"/>
    </row>
    <row r="550" spans="34:34" ht="12.75" x14ac:dyDescent="0.2">
      <c r="AH550" s="41"/>
    </row>
    <row r="551" spans="34:34" ht="12.75" x14ac:dyDescent="0.2">
      <c r="AH551" s="41"/>
    </row>
    <row r="552" spans="34:34" ht="12.75" x14ac:dyDescent="0.2">
      <c r="AH552" s="41"/>
    </row>
    <row r="553" spans="34:34" ht="12.75" x14ac:dyDescent="0.2">
      <c r="AH553" s="41"/>
    </row>
    <row r="554" spans="34:34" ht="12.75" x14ac:dyDescent="0.2">
      <c r="AH554" s="41"/>
    </row>
    <row r="555" spans="34:34" ht="12.75" x14ac:dyDescent="0.2">
      <c r="AH555" s="41"/>
    </row>
    <row r="556" spans="34:34" ht="12.75" x14ac:dyDescent="0.2">
      <c r="AH556" s="41"/>
    </row>
    <row r="557" spans="34:34" ht="12.75" x14ac:dyDescent="0.2">
      <c r="AH557" s="41"/>
    </row>
    <row r="558" spans="34:34" ht="12.75" x14ac:dyDescent="0.2">
      <c r="AH558" s="41"/>
    </row>
    <row r="559" spans="34:34" ht="12.75" x14ac:dyDescent="0.2">
      <c r="AH559" s="41"/>
    </row>
    <row r="560" spans="34:34" ht="12.75" x14ac:dyDescent="0.2">
      <c r="AH560" s="41"/>
    </row>
    <row r="561" spans="34:34" ht="12.75" x14ac:dyDescent="0.2">
      <c r="AH561" s="41"/>
    </row>
    <row r="562" spans="34:34" ht="12.75" x14ac:dyDescent="0.2">
      <c r="AH562" s="41"/>
    </row>
    <row r="563" spans="34:34" ht="12.75" x14ac:dyDescent="0.2">
      <c r="AH563" s="41"/>
    </row>
    <row r="564" spans="34:34" ht="12.75" x14ac:dyDescent="0.2">
      <c r="AH564" s="41"/>
    </row>
    <row r="565" spans="34:34" ht="12.75" x14ac:dyDescent="0.2">
      <c r="AH565" s="41"/>
    </row>
    <row r="566" spans="34:34" ht="12.75" x14ac:dyDescent="0.2">
      <c r="AH566" s="41"/>
    </row>
    <row r="567" spans="34:34" ht="12.75" x14ac:dyDescent="0.2">
      <c r="AH567" s="41"/>
    </row>
    <row r="568" spans="34:34" ht="12.75" x14ac:dyDescent="0.2">
      <c r="AH568" s="41"/>
    </row>
    <row r="569" spans="34:34" ht="12.75" x14ac:dyDescent="0.2">
      <c r="AH569" s="41"/>
    </row>
    <row r="570" spans="34:34" ht="12.75" x14ac:dyDescent="0.2">
      <c r="AH570" s="41"/>
    </row>
    <row r="571" spans="34:34" ht="12.75" x14ac:dyDescent="0.2">
      <c r="AH571" s="41"/>
    </row>
    <row r="572" spans="34:34" ht="12.75" x14ac:dyDescent="0.2">
      <c r="AH572" s="41"/>
    </row>
    <row r="573" spans="34:34" ht="12.75" x14ac:dyDescent="0.2">
      <c r="AH573" s="41"/>
    </row>
    <row r="574" spans="34:34" ht="12.75" x14ac:dyDescent="0.2">
      <c r="AH574" s="41"/>
    </row>
    <row r="575" spans="34:34" ht="12.75" x14ac:dyDescent="0.2">
      <c r="AH575" s="41"/>
    </row>
    <row r="576" spans="34:34" ht="12.75" x14ac:dyDescent="0.2">
      <c r="AH576" s="41"/>
    </row>
    <row r="577" spans="34:34" ht="12.75" x14ac:dyDescent="0.2">
      <c r="AH577" s="41"/>
    </row>
    <row r="578" spans="34:34" ht="12.75" x14ac:dyDescent="0.2">
      <c r="AH578" s="41"/>
    </row>
    <row r="579" spans="34:34" ht="12.75" x14ac:dyDescent="0.2">
      <c r="AH579" s="41"/>
    </row>
    <row r="580" spans="34:34" ht="12.75" x14ac:dyDescent="0.2">
      <c r="AH580" s="41"/>
    </row>
    <row r="581" spans="34:34" ht="12.75" x14ac:dyDescent="0.2">
      <c r="AH581" s="41"/>
    </row>
    <row r="582" spans="34:34" ht="12.75" x14ac:dyDescent="0.2">
      <c r="AH582" s="41"/>
    </row>
    <row r="583" spans="34:34" ht="12.75" x14ac:dyDescent="0.2">
      <c r="AH583" s="41"/>
    </row>
    <row r="584" spans="34:34" ht="12.75" x14ac:dyDescent="0.2">
      <c r="AH584" s="41"/>
    </row>
    <row r="585" spans="34:34" ht="12.75" x14ac:dyDescent="0.2">
      <c r="AH585" s="41"/>
    </row>
    <row r="586" spans="34:34" ht="12.75" x14ac:dyDescent="0.2">
      <c r="AH586" s="41"/>
    </row>
    <row r="587" spans="34:34" ht="12.75" x14ac:dyDescent="0.2">
      <c r="AH587" s="41"/>
    </row>
    <row r="588" spans="34:34" ht="12.75" x14ac:dyDescent="0.2">
      <c r="AH588" s="41"/>
    </row>
    <row r="589" spans="34:34" ht="12.75" x14ac:dyDescent="0.2">
      <c r="AH589" s="41"/>
    </row>
    <row r="590" spans="34:34" ht="12.75" x14ac:dyDescent="0.2">
      <c r="AH590" s="41"/>
    </row>
    <row r="591" spans="34:34" ht="12.75" x14ac:dyDescent="0.2">
      <c r="AH591" s="41"/>
    </row>
    <row r="592" spans="34:34" ht="12.75" x14ac:dyDescent="0.2">
      <c r="AH592" s="41"/>
    </row>
    <row r="593" spans="34:34" ht="12.75" x14ac:dyDescent="0.2">
      <c r="AH593" s="41"/>
    </row>
    <row r="594" spans="34:34" ht="12.75" x14ac:dyDescent="0.2">
      <c r="AH594" s="41"/>
    </row>
    <row r="595" spans="34:34" ht="12.75" x14ac:dyDescent="0.2">
      <c r="AH595" s="41"/>
    </row>
    <row r="596" spans="34:34" ht="12.75" x14ac:dyDescent="0.2">
      <c r="AH596" s="41"/>
    </row>
    <row r="597" spans="34:34" ht="12.75" x14ac:dyDescent="0.2">
      <c r="AH597" s="41"/>
    </row>
    <row r="598" spans="34:34" ht="12.75" x14ac:dyDescent="0.2">
      <c r="AH598" s="41"/>
    </row>
    <row r="599" spans="34:34" ht="12.75" x14ac:dyDescent="0.2">
      <c r="AH599" s="41"/>
    </row>
    <row r="600" spans="34:34" ht="12.75" x14ac:dyDescent="0.2">
      <c r="AH600" s="41"/>
    </row>
    <row r="601" spans="34:34" ht="12.75" x14ac:dyDescent="0.2">
      <c r="AH601" s="41"/>
    </row>
    <row r="602" spans="34:34" ht="12.75" x14ac:dyDescent="0.2">
      <c r="AH602" s="41"/>
    </row>
    <row r="603" spans="34:34" ht="12.75" x14ac:dyDescent="0.2">
      <c r="AH603" s="41"/>
    </row>
    <row r="604" spans="34:34" ht="12.75" x14ac:dyDescent="0.2">
      <c r="AH604" s="41"/>
    </row>
    <row r="605" spans="34:34" ht="12.75" x14ac:dyDescent="0.2">
      <c r="AH605" s="41"/>
    </row>
    <row r="606" spans="34:34" ht="12.75" x14ac:dyDescent="0.2">
      <c r="AH606" s="41"/>
    </row>
    <row r="607" spans="34:34" ht="12.75" x14ac:dyDescent="0.2">
      <c r="AH607" s="41"/>
    </row>
    <row r="608" spans="34:34" ht="12.75" x14ac:dyDescent="0.2">
      <c r="AH608" s="41"/>
    </row>
    <row r="609" spans="34:34" ht="12.75" x14ac:dyDescent="0.2">
      <c r="AH609" s="41"/>
    </row>
    <row r="610" spans="34:34" ht="12.75" x14ac:dyDescent="0.2">
      <c r="AH610" s="41"/>
    </row>
    <row r="611" spans="34:34" ht="12.75" x14ac:dyDescent="0.2">
      <c r="AH611" s="41"/>
    </row>
    <row r="612" spans="34:34" ht="12.75" x14ac:dyDescent="0.2">
      <c r="AH612" s="41"/>
    </row>
    <row r="613" spans="34:34" ht="12.75" x14ac:dyDescent="0.2">
      <c r="AH613" s="41"/>
    </row>
    <row r="614" spans="34:34" ht="12.75" x14ac:dyDescent="0.2">
      <c r="AH614" s="41"/>
    </row>
    <row r="615" spans="34:34" ht="12.75" x14ac:dyDescent="0.2">
      <c r="AH615" s="41"/>
    </row>
    <row r="616" spans="34:34" ht="12.75" x14ac:dyDescent="0.2">
      <c r="AH616" s="41"/>
    </row>
    <row r="617" spans="34:34" ht="12.75" x14ac:dyDescent="0.2">
      <c r="AH617" s="41"/>
    </row>
    <row r="618" spans="34:34" ht="12.75" x14ac:dyDescent="0.2">
      <c r="AH618" s="41"/>
    </row>
    <row r="619" spans="34:34" ht="12.75" x14ac:dyDescent="0.2">
      <c r="AH619" s="41"/>
    </row>
    <row r="620" spans="34:34" ht="12.75" x14ac:dyDescent="0.2">
      <c r="AH620" s="41"/>
    </row>
    <row r="621" spans="34:34" ht="12.75" x14ac:dyDescent="0.2">
      <c r="AH621" s="41"/>
    </row>
    <row r="622" spans="34:34" ht="12.75" x14ac:dyDescent="0.2">
      <c r="AH622" s="41"/>
    </row>
    <row r="623" spans="34:34" ht="12.75" x14ac:dyDescent="0.2">
      <c r="AH623" s="41"/>
    </row>
    <row r="624" spans="34:34" ht="12.75" x14ac:dyDescent="0.2">
      <c r="AH624" s="41"/>
    </row>
    <row r="625" spans="34:34" ht="12.75" x14ac:dyDescent="0.2">
      <c r="AH625" s="41"/>
    </row>
    <row r="626" spans="34:34" ht="12.75" x14ac:dyDescent="0.2">
      <c r="AH626" s="41"/>
    </row>
    <row r="627" spans="34:34" ht="12.75" x14ac:dyDescent="0.2">
      <c r="AH627" s="41"/>
    </row>
    <row r="628" spans="34:34" ht="12.75" x14ac:dyDescent="0.2">
      <c r="AH628" s="41"/>
    </row>
    <row r="629" spans="34:34" ht="12.75" x14ac:dyDescent="0.2">
      <c r="AH629" s="41"/>
    </row>
    <row r="630" spans="34:34" ht="12.75" x14ac:dyDescent="0.2">
      <c r="AH630" s="41"/>
    </row>
    <row r="631" spans="34:34" ht="12.75" x14ac:dyDescent="0.2">
      <c r="AH631" s="41"/>
    </row>
    <row r="632" spans="34:34" ht="12.75" x14ac:dyDescent="0.2">
      <c r="AH632" s="41"/>
    </row>
    <row r="633" spans="34:34" ht="12.75" x14ac:dyDescent="0.2">
      <c r="AH633" s="41"/>
    </row>
    <row r="634" spans="34:34" ht="12.75" x14ac:dyDescent="0.2">
      <c r="AH634" s="41"/>
    </row>
    <row r="635" spans="34:34" ht="12.75" x14ac:dyDescent="0.2">
      <c r="AH635" s="41"/>
    </row>
    <row r="636" spans="34:34" ht="12.75" x14ac:dyDescent="0.2">
      <c r="AH636" s="41"/>
    </row>
    <row r="637" spans="34:34" ht="12.75" x14ac:dyDescent="0.2">
      <c r="AH637" s="41"/>
    </row>
    <row r="638" spans="34:34" ht="12.75" x14ac:dyDescent="0.2">
      <c r="AH638" s="41"/>
    </row>
    <row r="639" spans="34:34" ht="12.75" x14ac:dyDescent="0.2">
      <c r="AH639" s="41"/>
    </row>
    <row r="640" spans="34:34" ht="12.75" x14ac:dyDescent="0.2">
      <c r="AH640" s="41"/>
    </row>
    <row r="641" spans="34:34" ht="12.75" x14ac:dyDescent="0.2">
      <c r="AH641" s="41"/>
    </row>
    <row r="642" spans="34:34" ht="12.75" x14ac:dyDescent="0.2">
      <c r="AH642" s="41"/>
    </row>
    <row r="643" spans="34:34" ht="12.75" x14ac:dyDescent="0.2">
      <c r="AH643" s="41"/>
    </row>
    <row r="644" spans="34:34" ht="12.75" x14ac:dyDescent="0.2">
      <c r="AH644" s="41"/>
    </row>
    <row r="645" spans="34:34" ht="12.75" x14ac:dyDescent="0.2">
      <c r="AH645" s="41"/>
    </row>
    <row r="646" spans="34:34" ht="12.75" x14ac:dyDescent="0.2">
      <c r="AH646" s="41"/>
    </row>
    <row r="647" spans="34:34" ht="12.75" x14ac:dyDescent="0.2">
      <c r="AH647" s="41"/>
    </row>
    <row r="648" spans="34:34" ht="12.75" x14ac:dyDescent="0.2">
      <c r="AH648" s="41"/>
    </row>
    <row r="649" spans="34:34" ht="12.75" x14ac:dyDescent="0.2">
      <c r="AH649" s="41"/>
    </row>
    <row r="650" spans="34:34" ht="12.75" x14ac:dyDescent="0.2">
      <c r="AH650" s="41"/>
    </row>
    <row r="651" spans="34:34" ht="12.75" x14ac:dyDescent="0.2">
      <c r="AH651" s="41"/>
    </row>
    <row r="652" spans="34:34" ht="12.75" x14ac:dyDescent="0.2">
      <c r="AH652" s="41"/>
    </row>
    <row r="653" spans="34:34" ht="12.75" x14ac:dyDescent="0.2">
      <c r="AH653" s="41"/>
    </row>
    <row r="654" spans="34:34" ht="12.75" x14ac:dyDescent="0.2">
      <c r="AH654" s="41"/>
    </row>
    <row r="655" spans="34:34" ht="12.75" x14ac:dyDescent="0.2">
      <c r="AH655" s="41"/>
    </row>
    <row r="656" spans="34:34" ht="12.75" x14ac:dyDescent="0.2">
      <c r="AH656" s="41"/>
    </row>
    <row r="657" spans="34:34" ht="12.75" x14ac:dyDescent="0.2">
      <c r="AH657" s="41"/>
    </row>
    <row r="658" spans="34:34" ht="12.75" x14ac:dyDescent="0.2">
      <c r="AH658" s="41"/>
    </row>
    <row r="659" spans="34:34" ht="12.75" x14ac:dyDescent="0.2">
      <c r="AH659" s="41"/>
    </row>
    <row r="660" spans="34:34" ht="12.75" x14ac:dyDescent="0.2">
      <c r="AH660" s="41"/>
    </row>
    <row r="661" spans="34:34" ht="12.75" x14ac:dyDescent="0.2">
      <c r="AH661" s="41"/>
    </row>
    <row r="662" spans="34:34" ht="12.75" x14ac:dyDescent="0.2">
      <c r="AH662" s="41"/>
    </row>
    <row r="663" spans="34:34" ht="12.75" x14ac:dyDescent="0.2">
      <c r="AH663" s="41"/>
    </row>
    <row r="664" spans="34:34" ht="12.75" x14ac:dyDescent="0.2">
      <c r="AH664" s="41"/>
    </row>
    <row r="665" spans="34:34" ht="12.75" x14ac:dyDescent="0.2">
      <c r="AH665" s="41"/>
    </row>
    <row r="666" spans="34:34" ht="12.75" x14ac:dyDescent="0.2">
      <c r="AH666" s="41"/>
    </row>
    <row r="667" spans="34:34" ht="12.75" x14ac:dyDescent="0.2">
      <c r="AH667" s="41"/>
    </row>
    <row r="668" spans="34:34" ht="12.75" x14ac:dyDescent="0.2">
      <c r="AH668" s="41"/>
    </row>
    <row r="669" spans="34:34" ht="12.75" x14ac:dyDescent="0.2">
      <c r="AH669" s="41"/>
    </row>
    <row r="670" spans="34:34" ht="12.75" x14ac:dyDescent="0.2">
      <c r="AH670" s="41"/>
    </row>
    <row r="671" spans="34:34" ht="12.75" x14ac:dyDescent="0.2">
      <c r="AH671" s="41"/>
    </row>
    <row r="672" spans="34:34" ht="12.75" x14ac:dyDescent="0.2">
      <c r="AH672" s="41"/>
    </row>
    <row r="673" spans="34:34" ht="12.75" x14ac:dyDescent="0.2">
      <c r="AH673" s="41"/>
    </row>
    <row r="674" spans="34:34" ht="12.75" x14ac:dyDescent="0.2">
      <c r="AH674" s="41"/>
    </row>
    <row r="675" spans="34:34" ht="12.75" x14ac:dyDescent="0.2">
      <c r="AH675" s="41"/>
    </row>
    <row r="676" spans="34:34" ht="12.75" x14ac:dyDescent="0.2">
      <c r="AH676" s="41"/>
    </row>
    <row r="677" spans="34:34" ht="12.75" x14ac:dyDescent="0.2">
      <c r="AH677" s="41"/>
    </row>
    <row r="678" spans="34:34" ht="12.75" x14ac:dyDescent="0.2">
      <c r="AH678" s="41"/>
    </row>
    <row r="679" spans="34:34" ht="12.75" x14ac:dyDescent="0.2">
      <c r="AH679" s="41"/>
    </row>
    <row r="680" spans="34:34" ht="12.75" x14ac:dyDescent="0.2">
      <c r="AH680" s="41"/>
    </row>
    <row r="681" spans="34:34" ht="12.75" x14ac:dyDescent="0.2">
      <c r="AH681" s="41"/>
    </row>
    <row r="682" spans="34:34" ht="12.75" x14ac:dyDescent="0.2">
      <c r="AH682" s="41"/>
    </row>
    <row r="683" spans="34:34" ht="12.75" x14ac:dyDescent="0.2">
      <c r="AH683" s="41"/>
    </row>
    <row r="684" spans="34:34" ht="12.75" x14ac:dyDescent="0.2">
      <c r="AH684" s="41"/>
    </row>
    <row r="685" spans="34:34" ht="12.75" x14ac:dyDescent="0.2">
      <c r="AH685" s="41"/>
    </row>
    <row r="686" spans="34:34" ht="12.75" x14ac:dyDescent="0.2">
      <c r="AH686" s="41"/>
    </row>
    <row r="687" spans="34:34" ht="12.75" x14ac:dyDescent="0.2">
      <c r="AH687" s="41"/>
    </row>
    <row r="688" spans="34:34" ht="12.75" x14ac:dyDescent="0.2">
      <c r="AH688" s="41"/>
    </row>
    <row r="689" spans="34:34" ht="12.75" x14ac:dyDescent="0.2">
      <c r="AH689" s="41"/>
    </row>
    <row r="690" spans="34:34" ht="12.75" x14ac:dyDescent="0.2">
      <c r="AH690" s="41"/>
    </row>
    <row r="691" spans="34:34" ht="12.75" x14ac:dyDescent="0.2">
      <c r="AH691" s="41"/>
    </row>
    <row r="692" spans="34:34" ht="12.75" x14ac:dyDescent="0.2">
      <c r="AH692" s="41"/>
    </row>
    <row r="693" spans="34:34" ht="12.75" x14ac:dyDescent="0.2">
      <c r="AH693" s="41"/>
    </row>
    <row r="694" spans="34:34" ht="12.75" x14ac:dyDescent="0.2">
      <c r="AH694" s="41"/>
    </row>
    <row r="695" spans="34:34" ht="12.75" x14ac:dyDescent="0.2">
      <c r="AH695" s="41"/>
    </row>
    <row r="696" spans="34:34" ht="12.75" x14ac:dyDescent="0.2">
      <c r="AH696" s="41"/>
    </row>
    <row r="697" spans="34:34" ht="12.75" x14ac:dyDescent="0.2">
      <c r="AH697" s="41"/>
    </row>
    <row r="698" spans="34:34" ht="12.75" x14ac:dyDescent="0.2">
      <c r="AH698" s="41"/>
    </row>
    <row r="699" spans="34:34" ht="12.75" x14ac:dyDescent="0.2">
      <c r="AH699" s="41"/>
    </row>
    <row r="700" spans="34:34" ht="12.75" x14ac:dyDescent="0.2">
      <c r="AH700" s="41"/>
    </row>
    <row r="701" spans="34:34" ht="12.75" x14ac:dyDescent="0.2">
      <c r="AH701" s="41"/>
    </row>
    <row r="702" spans="34:34" ht="12.75" x14ac:dyDescent="0.2">
      <c r="AH702" s="41"/>
    </row>
    <row r="703" spans="34:34" ht="12.75" x14ac:dyDescent="0.2">
      <c r="AH703" s="41"/>
    </row>
    <row r="704" spans="34:34" ht="12.75" x14ac:dyDescent="0.2">
      <c r="AH704" s="41"/>
    </row>
    <row r="705" spans="34:34" ht="12.75" x14ac:dyDescent="0.2">
      <c r="AH705" s="41"/>
    </row>
    <row r="706" spans="34:34" ht="12.75" x14ac:dyDescent="0.2">
      <c r="AH706" s="41"/>
    </row>
    <row r="707" spans="34:34" ht="12.75" x14ac:dyDescent="0.2">
      <c r="AH707" s="41"/>
    </row>
    <row r="708" spans="34:34" ht="12.75" x14ac:dyDescent="0.2">
      <c r="AH708" s="41"/>
    </row>
    <row r="709" spans="34:34" ht="12.75" x14ac:dyDescent="0.2">
      <c r="AH709" s="41"/>
    </row>
    <row r="710" spans="34:34" ht="12.75" x14ac:dyDescent="0.2">
      <c r="AH710" s="41"/>
    </row>
    <row r="711" spans="34:34" ht="12.75" x14ac:dyDescent="0.2">
      <c r="AH711" s="41"/>
    </row>
    <row r="712" spans="34:34" ht="12.75" x14ac:dyDescent="0.2">
      <c r="AH712" s="41"/>
    </row>
    <row r="713" spans="34:34" ht="12.75" x14ac:dyDescent="0.2">
      <c r="AH713" s="41"/>
    </row>
    <row r="714" spans="34:34" ht="12.75" x14ac:dyDescent="0.2">
      <c r="AH714" s="41"/>
    </row>
    <row r="715" spans="34:34" ht="12.75" x14ac:dyDescent="0.2">
      <c r="AH715" s="41"/>
    </row>
    <row r="716" spans="34:34" ht="12.75" x14ac:dyDescent="0.2">
      <c r="AH716" s="41"/>
    </row>
    <row r="717" spans="34:34" ht="12.75" x14ac:dyDescent="0.2">
      <c r="AH717" s="41"/>
    </row>
    <row r="718" spans="34:34" ht="12.75" x14ac:dyDescent="0.2">
      <c r="AH718" s="41"/>
    </row>
    <row r="719" spans="34:34" ht="12.75" x14ac:dyDescent="0.2">
      <c r="AH719" s="41"/>
    </row>
    <row r="720" spans="34:34" ht="12.75" x14ac:dyDescent="0.2">
      <c r="AH720" s="41"/>
    </row>
    <row r="721" spans="34:34" ht="12.75" x14ac:dyDescent="0.2">
      <c r="AH721" s="41"/>
    </row>
    <row r="722" spans="34:34" ht="12.75" x14ac:dyDescent="0.2">
      <c r="AH722" s="41"/>
    </row>
    <row r="723" spans="34:34" ht="12.75" x14ac:dyDescent="0.2">
      <c r="AH723" s="41"/>
    </row>
    <row r="724" spans="34:34" ht="12.75" x14ac:dyDescent="0.2">
      <c r="AH724" s="41"/>
    </row>
    <row r="725" spans="34:34" ht="12.75" x14ac:dyDescent="0.2">
      <c r="AH725" s="41"/>
    </row>
    <row r="726" spans="34:34" ht="12.75" x14ac:dyDescent="0.2">
      <c r="AH726" s="41"/>
    </row>
    <row r="727" spans="34:34" ht="12.75" x14ac:dyDescent="0.2">
      <c r="AH727" s="41"/>
    </row>
    <row r="728" spans="34:34" ht="12.75" x14ac:dyDescent="0.2">
      <c r="AH728" s="41"/>
    </row>
    <row r="729" spans="34:34" ht="12.75" x14ac:dyDescent="0.2">
      <c r="AH729" s="41"/>
    </row>
    <row r="730" spans="34:34" ht="12.75" x14ac:dyDescent="0.2">
      <c r="AH730" s="41"/>
    </row>
    <row r="731" spans="34:34" ht="12.75" x14ac:dyDescent="0.2">
      <c r="AH731" s="41"/>
    </row>
    <row r="732" spans="34:34" ht="12.75" x14ac:dyDescent="0.2">
      <c r="AH732" s="41"/>
    </row>
    <row r="733" spans="34:34" ht="12.75" x14ac:dyDescent="0.2">
      <c r="AH733" s="41"/>
    </row>
    <row r="734" spans="34:34" ht="12.75" x14ac:dyDescent="0.2">
      <c r="AH734" s="41"/>
    </row>
    <row r="735" spans="34:34" ht="12.75" x14ac:dyDescent="0.2">
      <c r="AH735" s="41"/>
    </row>
    <row r="736" spans="34:34" ht="12.75" x14ac:dyDescent="0.2">
      <c r="AH736" s="41"/>
    </row>
    <row r="737" spans="34:34" ht="12.75" x14ac:dyDescent="0.2">
      <c r="AH737" s="41"/>
    </row>
    <row r="738" spans="34:34" ht="12.75" x14ac:dyDescent="0.2">
      <c r="AH738" s="41"/>
    </row>
    <row r="739" spans="34:34" ht="12.75" x14ac:dyDescent="0.2">
      <c r="AH739" s="41"/>
    </row>
    <row r="740" spans="34:34" ht="12.75" x14ac:dyDescent="0.2">
      <c r="AH740" s="41"/>
    </row>
    <row r="741" spans="34:34" ht="12.75" x14ac:dyDescent="0.2">
      <c r="AH741" s="41"/>
    </row>
    <row r="742" spans="34:34" ht="12.75" x14ac:dyDescent="0.2">
      <c r="AH742" s="41"/>
    </row>
    <row r="743" spans="34:34" ht="12.75" x14ac:dyDescent="0.2">
      <c r="AH743" s="41"/>
    </row>
    <row r="744" spans="34:34" ht="12.75" x14ac:dyDescent="0.2">
      <c r="AH744" s="41"/>
    </row>
    <row r="745" spans="34:34" ht="12.75" x14ac:dyDescent="0.2">
      <c r="AH745" s="41"/>
    </row>
    <row r="746" spans="34:34" ht="12.75" x14ac:dyDescent="0.2">
      <c r="AH746" s="41"/>
    </row>
    <row r="747" spans="34:34" ht="12.75" x14ac:dyDescent="0.2">
      <c r="AH747" s="41"/>
    </row>
    <row r="748" spans="34:34" ht="12.75" x14ac:dyDescent="0.2">
      <c r="AH748" s="41"/>
    </row>
    <row r="749" spans="34:34" ht="12.75" x14ac:dyDescent="0.2">
      <c r="AH749" s="41"/>
    </row>
    <row r="750" spans="34:34" ht="12.75" x14ac:dyDescent="0.2">
      <c r="AH750" s="41"/>
    </row>
    <row r="751" spans="34:34" ht="12.75" x14ac:dyDescent="0.2">
      <c r="AH751" s="41"/>
    </row>
    <row r="752" spans="34:34" ht="12.75" x14ac:dyDescent="0.2">
      <c r="AH752" s="41"/>
    </row>
    <row r="753" spans="34:34" ht="12.75" x14ac:dyDescent="0.2">
      <c r="AH753" s="41"/>
    </row>
    <row r="754" spans="34:34" ht="12.75" x14ac:dyDescent="0.2">
      <c r="AH754" s="41"/>
    </row>
    <row r="755" spans="34:34" ht="12.75" x14ac:dyDescent="0.2">
      <c r="AH755" s="41"/>
    </row>
    <row r="756" spans="34:34" ht="12.75" x14ac:dyDescent="0.2">
      <c r="AH756" s="41"/>
    </row>
    <row r="757" spans="34:34" ht="12.75" x14ac:dyDescent="0.2">
      <c r="AH757" s="41"/>
    </row>
    <row r="758" spans="34:34" ht="12.75" x14ac:dyDescent="0.2">
      <c r="AH758" s="41"/>
    </row>
    <row r="759" spans="34:34" ht="12.75" x14ac:dyDescent="0.2">
      <c r="AH759" s="41"/>
    </row>
    <row r="760" spans="34:34" ht="12.75" x14ac:dyDescent="0.2">
      <c r="AH760" s="41"/>
    </row>
    <row r="761" spans="34:34" ht="12.75" x14ac:dyDescent="0.2">
      <c r="AH761" s="41"/>
    </row>
    <row r="762" spans="34:34" ht="12.75" x14ac:dyDescent="0.2">
      <c r="AH762" s="41"/>
    </row>
    <row r="763" spans="34:34" ht="12.75" x14ac:dyDescent="0.2">
      <c r="AH763" s="41"/>
    </row>
    <row r="764" spans="34:34" ht="12.75" x14ac:dyDescent="0.2">
      <c r="AH764" s="41"/>
    </row>
    <row r="765" spans="34:34" ht="12.75" x14ac:dyDescent="0.2">
      <c r="AH765" s="41"/>
    </row>
    <row r="766" spans="34:34" ht="12.75" x14ac:dyDescent="0.2">
      <c r="AH766" s="41"/>
    </row>
    <row r="767" spans="34:34" ht="12.75" x14ac:dyDescent="0.2">
      <c r="AH767" s="41"/>
    </row>
    <row r="768" spans="34:34" ht="12.75" x14ac:dyDescent="0.2">
      <c r="AH768" s="41"/>
    </row>
    <row r="769" spans="34:34" ht="12.75" x14ac:dyDescent="0.2">
      <c r="AH769" s="41"/>
    </row>
    <row r="770" spans="34:34" ht="12.75" x14ac:dyDescent="0.2">
      <c r="AH770" s="41"/>
    </row>
    <row r="771" spans="34:34" ht="12.75" x14ac:dyDescent="0.2">
      <c r="AH771" s="41"/>
    </row>
    <row r="772" spans="34:34" ht="12.75" x14ac:dyDescent="0.2">
      <c r="AH772" s="41"/>
    </row>
    <row r="773" spans="34:34" ht="12.75" x14ac:dyDescent="0.2">
      <c r="AH773" s="41"/>
    </row>
    <row r="774" spans="34:34" ht="12.75" x14ac:dyDescent="0.2">
      <c r="AH774" s="41"/>
    </row>
    <row r="775" spans="34:34" ht="12.75" x14ac:dyDescent="0.2">
      <c r="AH775" s="41"/>
    </row>
    <row r="776" spans="34:34" ht="12.75" x14ac:dyDescent="0.2">
      <c r="AH776" s="41"/>
    </row>
    <row r="777" spans="34:34" ht="12.75" x14ac:dyDescent="0.2">
      <c r="AH777" s="41"/>
    </row>
    <row r="778" spans="34:34" ht="12.75" x14ac:dyDescent="0.2">
      <c r="AH778" s="41"/>
    </row>
    <row r="779" spans="34:34" ht="12.75" x14ac:dyDescent="0.2">
      <c r="AH779" s="41"/>
    </row>
    <row r="780" spans="34:34" ht="12.75" x14ac:dyDescent="0.2">
      <c r="AH780" s="41"/>
    </row>
    <row r="781" spans="34:34" ht="12.75" x14ac:dyDescent="0.2">
      <c r="AH781" s="41"/>
    </row>
    <row r="782" spans="34:34" ht="12.75" x14ac:dyDescent="0.2">
      <c r="AH782" s="41"/>
    </row>
    <row r="783" spans="34:34" ht="12.75" x14ac:dyDescent="0.2">
      <c r="AH783" s="41"/>
    </row>
    <row r="784" spans="34:34" ht="12.75" x14ac:dyDescent="0.2">
      <c r="AH784" s="41"/>
    </row>
    <row r="785" spans="34:34" ht="12.75" x14ac:dyDescent="0.2">
      <c r="AH785" s="41"/>
    </row>
    <row r="786" spans="34:34" ht="12.75" x14ac:dyDescent="0.2">
      <c r="AH786" s="41"/>
    </row>
    <row r="787" spans="34:34" ht="12.75" x14ac:dyDescent="0.2">
      <c r="AH787" s="41"/>
    </row>
    <row r="788" spans="34:34" ht="12.75" x14ac:dyDescent="0.2">
      <c r="AH788" s="41"/>
    </row>
    <row r="789" spans="34:34" ht="12.75" x14ac:dyDescent="0.2">
      <c r="AH789" s="41"/>
    </row>
    <row r="790" spans="34:34" ht="12.75" x14ac:dyDescent="0.2">
      <c r="AH790" s="41"/>
    </row>
    <row r="791" spans="34:34" ht="12.75" x14ac:dyDescent="0.2">
      <c r="AH791" s="41"/>
    </row>
    <row r="792" spans="34:34" ht="12.75" x14ac:dyDescent="0.2">
      <c r="AH792" s="41"/>
    </row>
    <row r="793" spans="34:34" ht="12.75" x14ac:dyDescent="0.2">
      <c r="AH793" s="41"/>
    </row>
    <row r="794" spans="34:34" ht="12.75" x14ac:dyDescent="0.2">
      <c r="AH794" s="41"/>
    </row>
    <row r="795" spans="34:34" ht="12.75" x14ac:dyDescent="0.2">
      <c r="AH795" s="41"/>
    </row>
    <row r="796" spans="34:34" ht="12.75" x14ac:dyDescent="0.2">
      <c r="AH796" s="41"/>
    </row>
    <row r="797" spans="34:34" ht="12.75" x14ac:dyDescent="0.2">
      <c r="AH797" s="41"/>
    </row>
    <row r="798" spans="34:34" ht="12.75" x14ac:dyDescent="0.2">
      <c r="AH798" s="41"/>
    </row>
    <row r="799" spans="34:34" ht="12.75" x14ac:dyDescent="0.2">
      <c r="AH799" s="41"/>
    </row>
    <row r="800" spans="34:34" ht="12.75" x14ac:dyDescent="0.2">
      <c r="AH800" s="41"/>
    </row>
    <row r="801" spans="34:34" ht="12.75" x14ac:dyDescent="0.2">
      <c r="AH801" s="41"/>
    </row>
    <row r="802" spans="34:34" ht="12.75" x14ac:dyDescent="0.2">
      <c r="AH802" s="41"/>
    </row>
    <row r="803" spans="34:34" ht="12.75" x14ac:dyDescent="0.2">
      <c r="AH803" s="41"/>
    </row>
    <row r="804" spans="34:34" ht="12.75" x14ac:dyDescent="0.2">
      <c r="AH804" s="41"/>
    </row>
    <row r="805" spans="34:34" ht="12.75" x14ac:dyDescent="0.2">
      <c r="AH805" s="41"/>
    </row>
    <row r="806" spans="34:34" ht="12.75" x14ac:dyDescent="0.2">
      <c r="AH806" s="41"/>
    </row>
    <row r="807" spans="34:34" ht="12.75" x14ac:dyDescent="0.2">
      <c r="AH807" s="41"/>
    </row>
    <row r="808" spans="34:34" ht="12.75" x14ac:dyDescent="0.2">
      <c r="AH808" s="41"/>
    </row>
    <row r="809" spans="34:34" ht="12.75" x14ac:dyDescent="0.2">
      <c r="AH809" s="41"/>
    </row>
    <row r="810" spans="34:34" ht="12.75" x14ac:dyDescent="0.2">
      <c r="AH810" s="41"/>
    </row>
    <row r="811" spans="34:34" ht="12.75" x14ac:dyDescent="0.2">
      <c r="AH811" s="41"/>
    </row>
    <row r="812" spans="34:34" ht="12.75" x14ac:dyDescent="0.2">
      <c r="AH812" s="41"/>
    </row>
    <row r="813" spans="34:34" ht="12.75" x14ac:dyDescent="0.2">
      <c r="AH813" s="41"/>
    </row>
    <row r="814" spans="34:34" ht="12.75" x14ac:dyDescent="0.2">
      <c r="AH814" s="41"/>
    </row>
    <row r="815" spans="34:34" ht="12.75" x14ac:dyDescent="0.2">
      <c r="AH815" s="41"/>
    </row>
    <row r="816" spans="34:34" ht="12.75" x14ac:dyDescent="0.2">
      <c r="AH816" s="41"/>
    </row>
    <row r="817" spans="34:34" ht="12.75" x14ac:dyDescent="0.2">
      <c r="AH817" s="41"/>
    </row>
    <row r="818" spans="34:34" ht="12.75" x14ac:dyDescent="0.2">
      <c r="AH818" s="41"/>
    </row>
    <row r="819" spans="34:34" ht="12.75" x14ac:dyDescent="0.2">
      <c r="AH819" s="41"/>
    </row>
    <row r="820" spans="34:34" ht="12.75" x14ac:dyDescent="0.2">
      <c r="AH820" s="41"/>
    </row>
    <row r="821" spans="34:34" ht="12.75" x14ac:dyDescent="0.2">
      <c r="AH821" s="41"/>
    </row>
    <row r="822" spans="34:34" ht="12.75" x14ac:dyDescent="0.2">
      <c r="AH822" s="41"/>
    </row>
    <row r="823" spans="34:34" ht="12.75" x14ac:dyDescent="0.2">
      <c r="AH823" s="41"/>
    </row>
    <row r="824" spans="34:34" ht="12.75" x14ac:dyDescent="0.2">
      <c r="AH824" s="41"/>
    </row>
    <row r="825" spans="34:34" ht="12.75" x14ac:dyDescent="0.2">
      <c r="AH825" s="41"/>
    </row>
    <row r="826" spans="34:34" ht="12.75" x14ac:dyDescent="0.2">
      <c r="AH826" s="41"/>
    </row>
    <row r="827" spans="34:34" ht="12.75" x14ac:dyDescent="0.2">
      <c r="AH827" s="41"/>
    </row>
    <row r="828" spans="34:34" ht="12.75" x14ac:dyDescent="0.2">
      <c r="AH828" s="41"/>
    </row>
    <row r="829" spans="34:34" ht="12.75" x14ac:dyDescent="0.2">
      <c r="AH829" s="41"/>
    </row>
    <row r="830" spans="34:34" ht="12.75" x14ac:dyDescent="0.2">
      <c r="AH830" s="41"/>
    </row>
    <row r="831" spans="34:34" ht="12.75" x14ac:dyDescent="0.2">
      <c r="AH831" s="41"/>
    </row>
    <row r="832" spans="34:34" ht="12.75" x14ac:dyDescent="0.2">
      <c r="AH832" s="41"/>
    </row>
    <row r="833" spans="34:34" ht="12.75" x14ac:dyDescent="0.2">
      <c r="AH833" s="41"/>
    </row>
    <row r="834" spans="34:34" ht="12.75" x14ac:dyDescent="0.2">
      <c r="AH834" s="41"/>
    </row>
    <row r="835" spans="34:34" ht="12.75" x14ac:dyDescent="0.2">
      <c r="AH835" s="41"/>
    </row>
    <row r="836" spans="34:34" ht="12.75" x14ac:dyDescent="0.2">
      <c r="AH836" s="41"/>
    </row>
    <row r="837" spans="34:34" ht="12.75" x14ac:dyDescent="0.2">
      <c r="AH837" s="41"/>
    </row>
    <row r="838" spans="34:34" ht="12.75" x14ac:dyDescent="0.2">
      <c r="AH838" s="41"/>
    </row>
    <row r="839" spans="34:34" ht="12.75" x14ac:dyDescent="0.2">
      <c r="AH839" s="41"/>
    </row>
    <row r="840" spans="34:34" ht="12.75" x14ac:dyDescent="0.2">
      <c r="AH840" s="41"/>
    </row>
    <row r="841" spans="34:34" ht="12.75" x14ac:dyDescent="0.2">
      <c r="AH841" s="41"/>
    </row>
    <row r="842" spans="34:34" ht="12.75" x14ac:dyDescent="0.2">
      <c r="AH842" s="41"/>
    </row>
    <row r="843" spans="34:34" ht="12.75" x14ac:dyDescent="0.2">
      <c r="AH843" s="41"/>
    </row>
    <row r="844" spans="34:34" ht="12.75" x14ac:dyDescent="0.2">
      <c r="AH844" s="41"/>
    </row>
    <row r="845" spans="34:34" ht="12.75" x14ac:dyDescent="0.2">
      <c r="AH845" s="41"/>
    </row>
    <row r="846" spans="34:34" ht="12.75" x14ac:dyDescent="0.2">
      <c r="AH846" s="41"/>
    </row>
    <row r="847" spans="34:34" ht="12.75" x14ac:dyDescent="0.2">
      <c r="AH847" s="41"/>
    </row>
    <row r="848" spans="34:34" ht="12.75" x14ac:dyDescent="0.2">
      <c r="AH848" s="41"/>
    </row>
    <row r="849" spans="34:34" ht="12.75" x14ac:dyDescent="0.2">
      <c r="AH849" s="41"/>
    </row>
    <row r="850" spans="34:34" ht="12.75" x14ac:dyDescent="0.2">
      <c r="AH850" s="41"/>
    </row>
    <row r="851" spans="34:34" ht="12.75" x14ac:dyDescent="0.2">
      <c r="AH851" s="41"/>
    </row>
    <row r="852" spans="34:34" ht="12.75" x14ac:dyDescent="0.2">
      <c r="AH852" s="41"/>
    </row>
    <row r="853" spans="34:34" ht="12.75" x14ac:dyDescent="0.2">
      <c r="AH853" s="41"/>
    </row>
    <row r="854" spans="34:34" ht="12.75" x14ac:dyDescent="0.2">
      <c r="AH854" s="41"/>
    </row>
    <row r="855" spans="34:34" ht="12.75" x14ac:dyDescent="0.2">
      <c r="AH855" s="41"/>
    </row>
    <row r="856" spans="34:34" ht="12.75" x14ac:dyDescent="0.2">
      <c r="AH856" s="41"/>
    </row>
    <row r="857" spans="34:34" ht="12.75" x14ac:dyDescent="0.2">
      <c r="AH857" s="41"/>
    </row>
    <row r="858" spans="34:34" ht="12.75" x14ac:dyDescent="0.2">
      <c r="AH858" s="41"/>
    </row>
    <row r="859" spans="34:34" ht="12.75" x14ac:dyDescent="0.2">
      <c r="AH859" s="41"/>
    </row>
    <row r="860" spans="34:34" ht="12.75" x14ac:dyDescent="0.2">
      <c r="AH860" s="41"/>
    </row>
    <row r="861" spans="34:34" ht="12.75" x14ac:dyDescent="0.2">
      <c r="AH861" s="41"/>
    </row>
    <row r="862" spans="34:34" ht="12.75" x14ac:dyDescent="0.2">
      <c r="AH862" s="41"/>
    </row>
    <row r="863" spans="34:34" ht="12.75" x14ac:dyDescent="0.2">
      <c r="AH863" s="41"/>
    </row>
    <row r="864" spans="34:34" ht="12.75" x14ac:dyDescent="0.2">
      <c r="AH864" s="41"/>
    </row>
    <row r="865" spans="34:34" ht="12.75" x14ac:dyDescent="0.2">
      <c r="AH865" s="41"/>
    </row>
    <row r="866" spans="34:34" ht="12.75" x14ac:dyDescent="0.2">
      <c r="AH866" s="41"/>
    </row>
    <row r="867" spans="34:34" ht="12.75" x14ac:dyDescent="0.2">
      <c r="AH867" s="41"/>
    </row>
    <row r="868" spans="34:34" ht="12.75" x14ac:dyDescent="0.2">
      <c r="AH868" s="41"/>
    </row>
    <row r="869" spans="34:34" ht="12.75" x14ac:dyDescent="0.2">
      <c r="AH869" s="41"/>
    </row>
    <row r="870" spans="34:34" ht="12.75" x14ac:dyDescent="0.2">
      <c r="AH870" s="41"/>
    </row>
    <row r="871" spans="34:34" ht="12.75" x14ac:dyDescent="0.2">
      <c r="AH871" s="41"/>
    </row>
    <row r="872" spans="34:34" ht="12.75" x14ac:dyDescent="0.2">
      <c r="AH872" s="41"/>
    </row>
    <row r="873" spans="34:34" ht="12.75" x14ac:dyDescent="0.2">
      <c r="AH873" s="41"/>
    </row>
    <row r="874" spans="34:34" ht="12.75" x14ac:dyDescent="0.2">
      <c r="AH874" s="41"/>
    </row>
    <row r="875" spans="34:34" ht="12.75" x14ac:dyDescent="0.2">
      <c r="AH875" s="41"/>
    </row>
    <row r="876" spans="34:34" ht="12.75" x14ac:dyDescent="0.2">
      <c r="AH876" s="41"/>
    </row>
    <row r="877" spans="34:34" ht="12.75" x14ac:dyDescent="0.2">
      <c r="AH877" s="41"/>
    </row>
    <row r="878" spans="34:34" ht="12.75" x14ac:dyDescent="0.2">
      <c r="AH878" s="41"/>
    </row>
    <row r="879" spans="34:34" ht="12.75" x14ac:dyDescent="0.2">
      <c r="AH879" s="41"/>
    </row>
    <row r="880" spans="34:34" ht="12.75" x14ac:dyDescent="0.2">
      <c r="AH880" s="41"/>
    </row>
    <row r="881" spans="34:34" ht="12.75" x14ac:dyDescent="0.2">
      <c r="AH881" s="41"/>
    </row>
    <row r="882" spans="34:34" ht="12.75" x14ac:dyDescent="0.2">
      <c r="AH882" s="41"/>
    </row>
    <row r="883" spans="34:34" ht="12.75" x14ac:dyDescent="0.2">
      <c r="AH883" s="41"/>
    </row>
    <row r="884" spans="34:34" ht="12.75" x14ac:dyDescent="0.2">
      <c r="AH884" s="41"/>
    </row>
    <row r="885" spans="34:34" ht="12.75" x14ac:dyDescent="0.2">
      <c r="AH885" s="41"/>
    </row>
    <row r="886" spans="34:34" ht="12.75" x14ac:dyDescent="0.2">
      <c r="AH886" s="41"/>
    </row>
    <row r="887" spans="34:34" ht="12.75" x14ac:dyDescent="0.2">
      <c r="AH887" s="41"/>
    </row>
    <row r="888" spans="34:34" ht="12.75" x14ac:dyDescent="0.2">
      <c r="AH888" s="41"/>
    </row>
    <row r="889" spans="34:34" ht="12.75" x14ac:dyDescent="0.2">
      <c r="AH889" s="41"/>
    </row>
    <row r="890" spans="34:34" ht="12.75" x14ac:dyDescent="0.2">
      <c r="AH890" s="41"/>
    </row>
    <row r="891" spans="34:34" ht="12.75" x14ac:dyDescent="0.2">
      <c r="AH891" s="41"/>
    </row>
    <row r="892" spans="34:34" ht="12.75" x14ac:dyDescent="0.2">
      <c r="AH892" s="41"/>
    </row>
    <row r="893" spans="34:34" ht="12.75" x14ac:dyDescent="0.2">
      <c r="AH893" s="41"/>
    </row>
    <row r="894" spans="34:34" ht="12.75" x14ac:dyDescent="0.2">
      <c r="AH894" s="41"/>
    </row>
    <row r="895" spans="34:34" ht="12.75" x14ac:dyDescent="0.2">
      <c r="AH895" s="41"/>
    </row>
    <row r="896" spans="34:34" ht="12.75" x14ac:dyDescent="0.2">
      <c r="AH896" s="41"/>
    </row>
    <row r="897" spans="34:34" ht="12.75" x14ac:dyDescent="0.2">
      <c r="AH897" s="41"/>
    </row>
    <row r="898" spans="34:34" ht="12.75" x14ac:dyDescent="0.2">
      <c r="AH898" s="41"/>
    </row>
    <row r="899" spans="34:34" ht="12.75" x14ac:dyDescent="0.2">
      <c r="AH899" s="41"/>
    </row>
    <row r="900" spans="34:34" ht="12.75" x14ac:dyDescent="0.2">
      <c r="AH900" s="41"/>
    </row>
    <row r="901" spans="34:34" ht="12.75" x14ac:dyDescent="0.2">
      <c r="AH901" s="41"/>
    </row>
    <row r="902" spans="34:34" ht="12.75" x14ac:dyDescent="0.2">
      <c r="AH902" s="41"/>
    </row>
    <row r="903" spans="34:34" ht="12.75" x14ac:dyDescent="0.2">
      <c r="AH903" s="41"/>
    </row>
    <row r="904" spans="34:34" ht="12.75" x14ac:dyDescent="0.2">
      <c r="AH904" s="41"/>
    </row>
    <row r="905" spans="34:34" ht="12.75" x14ac:dyDescent="0.2">
      <c r="AH905" s="41"/>
    </row>
    <row r="906" spans="34:34" ht="12.75" x14ac:dyDescent="0.2">
      <c r="AH906" s="41"/>
    </row>
    <row r="907" spans="34:34" ht="12.75" x14ac:dyDescent="0.2">
      <c r="AH907" s="41"/>
    </row>
    <row r="908" spans="34:34" ht="12.75" x14ac:dyDescent="0.2">
      <c r="AH908" s="41"/>
    </row>
    <row r="909" spans="34:34" ht="12.75" x14ac:dyDescent="0.2">
      <c r="AH909" s="41"/>
    </row>
    <row r="910" spans="34:34" ht="12.75" x14ac:dyDescent="0.2">
      <c r="AH910" s="41"/>
    </row>
    <row r="911" spans="34:34" ht="12.75" x14ac:dyDescent="0.2">
      <c r="AH911" s="41"/>
    </row>
    <row r="912" spans="34:34" ht="12.75" x14ac:dyDescent="0.2">
      <c r="AH912" s="41"/>
    </row>
    <row r="913" spans="34:34" ht="12.75" x14ac:dyDescent="0.2">
      <c r="AH913" s="41"/>
    </row>
    <row r="914" spans="34:34" ht="12.75" x14ac:dyDescent="0.2">
      <c r="AH914" s="41"/>
    </row>
    <row r="915" spans="34:34" ht="12.75" x14ac:dyDescent="0.2">
      <c r="AH915" s="41"/>
    </row>
    <row r="916" spans="34:34" ht="12.75" x14ac:dyDescent="0.2">
      <c r="AH916" s="41"/>
    </row>
    <row r="917" spans="34:34" ht="12.75" x14ac:dyDescent="0.2">
      <c r="AH917" s="41"/>
    </row>
    <row r="918" spans="34:34" ht="12.75" x14ac:dyDescent="0.2">
      <c r="AH918" s="41"/>
    </row>
    <row r="919" spans="34:34" ht="12.75" x14ac:dyDescent="0.2">
      <c r="AH919" s="41"/>
    </row>
    <row r="920" spans="34:34" ht="12.75" x14ac:dyDescent="0.2">
      <c r="AH920" s="41"/>
    </row>
    <row r="921" spans="34:34" ht="12.75" x14ac:dyDescent="0.2">
      <c r="AH921" s="41"/>
    </row>
    <row r="922" spans="34:34" ht="12.75" x14ac:dyDescent="0.2">
      <c r="AH922" s="41"/>
    </row>
    <row r="923" spans="34:34" ht="12.75" x14ac:dyDescent="0.2">
      <c r="AH923" s="41"/>
    </row>
    <row r="924" spans="34:34" ht="12.75" x14ac:dyDescent="0.2">
      <c r="AH924" s="41"/>
    </row>
    <row r="925" spans="34:34" ht="12.75" x14ac:dyDescent="0.2">
      <c r="AH925" s="41"/>
    </row>
    <row r="926" spans="34:34" ht="12.75" x14ac:dyDescent="0.2">
      <c r="AH926" s="41"/>
    </row>
    <row r="927" spans="34:34" ht="12.75" x14ac:dyDescent="0.2">
      <c r="AH927" s="41"/>
    </row>
    <row r="928" spans="34:34" ht="12.75" x14ac:dyDescent="0.2">
      <c r="AH928" s="41"/>
    </row>
    <row r="929" spans="34:34" ht="12.75" x14ac:dyDescent="0.2">
      <c r="AH929" s="41"/>
    </row>
    <row r="930" spans="34:34" ht="12.75" x14ac:dyDescent="0.2">
      <c r="AH930" s="41"/>
    </row>
    <row r="931" spans="34:34" ht="12.75" x14ac:dyDescent="0.2">
      <c r="AH931" s="41"/>
    </row>
    <row r="932" spans="34:34" ht="12.75" x14ac:dyDescent="0.2">
      <c r="AH932" s="41"/>
    </row>
    <row r="933" spans="34:34" ht="12.75" x14ac:dyDescent="0.2">
      <c r="AH933" s="41"/>
    </row>
    <row r="934" spans="34:34" ht="12.75" x14ac:dyDescent="0.2">
      <c r="AH934" s="41"/>
    </row>
    <row r="935" spans="34:34" ht="12.75" x14ac:dyDescent="0.2">
      <c r="AH935" s="41"/>
    </row>
    <row r="936" spans="34:34" ht="12.75" x14ac:dyDescent="0.2">
      <c r="AH936" s="41"/>
    </row>
    <row r="937" spans="34:34" ht="12.75" x14ac:dyDescent="0.2">
      <c r="AH937" s="41"/>
    </row>
    <row r="938" spans="34:34" ht="12.75" x14ac:dyDescent="0.2">
      <c r="AH938" s="41"/>
    </row>
    <row r="939" spans="34:34" ht="12.75" x14ac:dyDescent="0.2">
      <c r="AH939" s="41"/>
    </row>
    <row r="940" spans="34:34" ht="12.75" x14ac:dyDescent="0.2">
      <c r="AH940" s="41"/>
    </row>
    <row r="941" spans="34:34" ht="12.75" x14ac:dyDescent="0.2">
      <c r="AH941" s="41"/>
    </row>
    <row r="942" spans="34:34" ht="12.75" x14ac:dyDescent="0.2">
      <c r="AH942" s="41"/>
    </row>
    <row r="943" spans="34:34" ht="12.75" x14ac:dyDescent="0.2">
      <c r="AH943" s="41"/>
    </row>
    <row r="944" spans="34:34" ht="12.75" x14ac:dyDescent="0.2">
      <c r="AH944" s="41"/>
    </row>
    <row r="945" spans="34:34" ht="12.75" x14ac:dyDescent="0.2">
      <c r="AH945" s="41"/>
    </row>
    <row r="946" spans="34:34" ht="12.75" x14ac:dyDescent="0.2">
      <c r="AH946" s="41"/>
    </row>
    <row r="947" spans="34:34" ht="12.75" x14ac:dyDescent="0.2">
      <c r="AH947" s="41"/>
    </row>
    <row r="948" spans="34:34" ht="12.75" x14ac:dyDescent="0.2">
      <c r="AH948" s="41"/>
    </row>
    <row r="949" spans="34:34" ht="12.75" x14ac:dyDescent="0.2">
      <c r="AH949" s="41"/>
    </row>
    <row r="950" spans="34:34" ht="12.75" x14ac:dyDescent="0.2">
      <c r="AH950" s="41"/>
    </row>
    <row r="951" spans="34:34" ht="12.75" x14ac:dyDescent="0.2">
      <c r="AH951" s="41"/>
    </row>
    <row r="952" spans="34:34" ht="12.75" x14ac:dyDescent="0.2">
      <c r="AH952" s="41"/>
    </row>
    <row r="953" spans="34:34" ht="12.75" x14ac:dyDescent="0.2">
      <c r="AH953" s="41"/>
    </row>
    <row r="954" spans="34:34" ht="12.75" x14ac:dyDescent="0.2">
      <c r="AH954" s="41"/>
    </row>
    <row r="955" spans="34:34" ht="12.75" x14ac:dyDescent="0.2">
      <c r="AH955" s="41"/>
    </row>
    <row r="956" spans="34:34" ht="12.75" x14ac:dyDescent="0.2">
      <c r="AH956" s="41"/>
    </row>
    <row r="957" spans="34:34" ht="12.75" x14ac:dyDescent="0.2">
      <c r="AH957" s="41"/>
    </row>
    <row r="958" spans="34:34" ht="12.75" x14ac:dyDescent="0.2">
      <c r="AH958" s="41"/>
    </row>
    <row r="959" spans="34:34" ht="12.75" x14ac:dyDescent="0.2">
      <c r="AH959" s="41"/>
    </row>
    <row r="960" spans="34:34" ht="12.75" x14ac:dyDescent="0.2">
      <c r="AH960" s="41"/>
    </row>
    <row r="961" spans="34:34" ht="12.75" x14ac:dyDescent="0.2">
      <c r="AH961" s="41"/>
    </row>
    <row r="962" spans="34:34" ht="12.75" x14ac:dyDescent="0.2">
      <c r="AH962" s="41"/>
    </row>
    <row r="963" spans="34:34" ht="12.75" x14ac:dyDescent="0.2">
      <c r="AH963" s="41"/>
    </row>
    <row r="964" spans="34:34" ht="12.75" x14ac:dyDescent="0.2">
      <c r="AH964" s="41"/>
    </row>
    <row r="965" spans="34:34" ht="12.75" x14ac:dyDescent="0.2">
      <c r="AH965" s="41"/>
    </row>
    <row r="966" spans="34:34" ht="12.75" x14ac:dyDescent="0.2">
      <c r="AH966" s="41"/>
    </row>
    <row r="967" spans="34:34" ht="12.75" x14ac:dyDescent="0.2">
      <c r="AH967" s="41"/>
    </row>
    <row r="968" spans="34:34" ht="12.75" x14ac:dyDescent="0.2">
      <c r="AH968" s="41"/>
    </row>
    <row r="969" spans="34:34" ht="12.75" x14ac:dyDescent="0.2">
      <c r="AH969" s="41"/>
    </row>
    <row r="970" spans="34:34" ht="12.75" x14ac:dyDescent="0.2">
      <c r="AH970" s="41"/>
    </row>
    <row r="971" spans="34:34" ht="12.75" x14ac:dyDescent="0.2">
      <c r="AH971" s="41"/>
    </row>
    <row r="972" spans="34:34" ht="12.75" x14ac:dyDescent="0.2">
      <c r="AH972" s="41"/>
    </row>
    <row r="973" spans="34:34" ht="12.75" x14ac:dyDescent="0.2">
      <c r="AH973" s="41"/>
    </row>
    <row r="974" spans="34:34" ht="12.75" x14ac:dyDescent="0.2">
      <c r="AH974" s="41"/>
    </row>
    <row r="975" spans="34:34" ht="12.75" x14ac:dyDescent="0.2">
      <c r="AH975" s="41"/>
    </row>
    <row r="976" spans="34:34" ht="12.75" x14ac:dyDescent="0.2">
      <c r="AH976" s="41"/>
    </row>
    <row r="977" spans="34:34" ht="12.75" x14ac:dyDescent="0.2">
      <c r="AH977" s="41"/>
    </row>
    <row r="978" spans="34:34" ht="12.75" x14ac:dyDescent="0.2">
      <c r="AH978" s="4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I977"/>
  <sheetViews>
    <sheetView workbookViewId="0"/>
  </sheetViews>
  <sheetFormatPr defaultColWidth="12.5703125" defaultRowHeight="15.75" customHeight="1" x14ac:dyDescent="0.2"/>
  <cols>
    <col min="1" max="1" width="8" customWidth="1"/>
    <col min="2" max="2" width="9.42578125" customWidth="1"/>
    <col min="3" max="8" width="4.28515625" customWidth="1"/>
    <col min="9" max="9" width="5.140625" customWidth="1"/>
    <col min="10" max="10" width="5.7109375" customWidth="1"/>
    <col min="11" max="11" width="3.7109375" customWidth="1"/>
    <col min="12" max="12" width="8.28515625" customWidth="1"/>
    <col min="13" max="13" width="9.42578125" customWidth="1"/>
    <col min="14" max="19" width="4.28515625" customWidth="1"/>
    <col min="20" max="22" width="5.140625" customWidth="1"/>
    <col min="23" max="23" width="6.140625" customWidth="1"/>
    <col min="24" max="24" width="8" customWidth="1"/>
    <col min="25" max="25" width="7.7109375" customWidth="1"/>
    <col min="26" max="26" width="5.140625" customWidth="1"/>
    <col min="27" max="27" width="7.85546875" customWidth="1"/>
    <col min="28" max="28" width="8" customWidth="1"/>
    <col min="29" max="29" width="5.85546875" customWidth="1"/>
    <col min="30" max="30" width="6.140625" customWidth="1"/>
    <col min="31" max="31" width="7.42578125" customWidth="1"/>
    <col min="32" max="32" width="6.5703125" customWidth="1"/>
  </cols>
  <sheetData>
    <row r="1" spans="1:35" ht="51" x14ac:dyDescent="0.2">
      <c r="A1" s="52" t="s">
        <v>135</v>
      </c>
      <c r="B1" s="53">
        <v>45689</v>
      </c>
      <c r="C1" s="54"/>
      <c r="D1" s="54"/>
      <c r="E1" s="54"/>
      <c r="F1" s="54"/>
      <c r="G1" s="54"/>
      <c r="H1" s="54"/>
      <c r="I1" s="54"/>
      <c r="J1" s="55" t="s">
        <v>141</v>
      </c>
      <c r="K1" s="56"/>
      <c r="L1" s="52" t="s">
        <v>136</v>
      </c>
      <c r="M1" s="53">
        <v>45689</v>
      </c>
      <c r="N1" s="54"/>
      <c r="O1" s="54"/>
      <c r="P1" s="54"/>
      <c r="Q1" s="54"/>
      <c r="R1" s="54"/>
      <c r="S1" s="54"/>
      <c r="T1" s="54"/>
      <c r="U1" s="54"/>
      <c r="V1" s="54"/>
      <c r="W1" s="55" t="s">
        <v>141</v>
      </c>
      <c r="X1" s="57" t="s">
        <v>192</v>
      </c>
      <c r="Y1" s="58" t="s">
        <v>142</v>
      </c>
      <c r="Z1" s="59" t="s">
        <v>193</v>
      </c>
      <c r="AA1" s="60" t="s">
        <v>194</v>
      </c>
      <c r="AB1" s="57" t="s">
        <v>165</v>
      </c>
      <c r="AC1" s="55" t="s">
        <v>195</v>
      </c>
      <c r="AD1" s="55" t="s">
        <v>196</v>
      </c>
      <c r="AE1" s="57" t="s">
        <v>197</v>
      </c>
      <c r="AF1" s="55" t="s">
        <v>198</v>
      </c>
      <c r="AG1" s="61"/>
      <c r="AH1" s="77" t="s">
        <v>233</v>
      </c>
      <c r="AI1" s="61"/>
    </row>
    <row r="2" spans="1:35" ht="12.75" x14ac:dyDescent="0.2">
      <c r="A2" s="55" t="s">
        <v>199</v>
      </c>
      <c r="B2" s="62">
        <v>0.05</v>
      </c>
      <c r="C2" s="62">
        <v>0.1</v>
      </c>
      <c r="D2" s="62">
        <v>0.2</v>
      </c>
      <c r="E2" s="62">
        <v>0.5</v>
      </c>
      <c r="F2" s="62">
        <v>1</v>
      </c>
      <c r="G2" s="62">
        <v>2</v>
      </c>
      <c r="H2" s="62">
        <v>5</v>
      </c>
      <c r="I2" s="62">
        <v>10</v>
      </c>
      <c r="K2" s="56"/>
      <c r="L2" s="55" t="s">
        <v>199</v>
      </c>
      <c r="M2" s="62">
        <v>0.05</v>
      </c>
      <c r="N2" s="62">
        <v>0.1</v>
      </c>
      <c r="O2" s="62">
        <v>0.2</v>
      </c>
      <c r="P2" s="62">
        <v>0.5</v>
      </c>
      <c r="Q2" s="62">
        <v>1</v>
      </c>
      <c r="R2" s="62">
        <v>2</v>
      </c>
      <c r="S2" s="62">
        <v>5</v>
      </c>
      <c r="T2" s="62">
        <v>10</v>
      </c>
      <c r="U2" s="62">
        <v>20</v>
      </c>
      <c r="V2" s="62">
        <v>50</v>
      </c>
      <c r="W2" s="54"/>
      <c r="X2" s="54"/>
      <c r="Z2" s="63"/>
      <c r="AA2" s="64"/>
      <c r="AB2" s="54"/>
      <c r="AC2" s="54"/>
      <c r="AD2" s="54"/>
      <c r="AE2" s="54"/>
      <c r="AF2" s="54"/>
      <c r="AH2" s="41"/>
    </row>
    <row r="3" spans="1:35" ht="12.75" x14ac:dyDescent="0.2">
      <c r="A3" s="55" t="s">
        <v>200</v>
      </c>
      <c r="B3" s="38">
        <v>31</v>
      </c>
      <c r="C3" s="38">
        <v>44</v>
      </c>
      <c r="D3" s="65">
        <v>19</v>
      </c>
      <c r="E3" s="65">
        <v>8</v>
      </c>
      <c r="F3" s="65">
        <v>8</v>
      </c>
      <c r="G3" s="65">
        <v>5</v>
      </c>
      <c r="H3" s="65">
        <v>2</v>
      </c>
      <c r="I3" s="65"/>
      <c r="J3" s="54"/>
      <c r="K3" s="56"/>
      <c r="L3" s="55" t="s">
        <v>200</v>
      </c>
      <c r="M3" s="38">
        <v>49</v>
      </c>
      <c r="N3" s="38">
        <v>44</v>
      </c>
      <c r="O3" s="65">
        <v>31</v>
      </c>
      <c r="P3" s="65">
        <v>10</v>
      </c>
      <c r="Q3" s="65">
        <v>11</v>
      </c>
      <c r="R3" s="65">
        <v>4</v>
      </c>
      <c r="S3" s="65">
        <v>9</v>
      </c>
      <c r="T3" s="65">
        <v>10</v>
      </c>
      <c r="U3" s="65">
        <v>4</v>
      </c>
      <c r="V3" s="65">
        <v>2</v>
      </c>
      <c r="W3" s="65"/>
      <c r="X3" s="54"/>
      <c r="Z3" s="63"/>
      <c r="AA3" s="64"/>
      <c r="AB3" s="54"/>
      <c r="AC3" s="54"/>
      <c r="AD3" s="54"/>
      <c r="AE3" s="54"/>
      <c r="AF3" s="54"/>
      <c r="AH3" s="41"/>
    </row>
    <row r="4" spans="1:35" ht="12.75" x14ac:dyDescent="0.2">
      <c r="A4" s="55" t="s">
        <v>141</v>
      </c>
      <c r="B4" s="65">
        <f t="shared" ref="B4:I4" si="0">B3*B2</f>
        <v>1.55</v>
      </c>
      <c r="C4" s="65">
        <f t="shared" si="0"/>
        <v>4.4000000000000004</v>
      </c>
      <c r="D4" s="65">
        <f t="shared" si="0"/>
        <v>3.8000000000000003</v>
      </c>
      <c r="E4" s="65">
        <f t="shared" si="0"/>
        <v>4</v>
      </c>
      <c r="F4" s="65">
        <f t="shared" si="0"/>
        <v>8</v>
      </c>
      <c r="G4" s="65">
        <f t="shared" si="0"/>
        <v>10</v>
      </c>
      <c r="H4" s="65">
        <f t="shared" si="0"/>
        <v>10</v>
      </c>
      <c r="I4" s="65">
        <f t="shared" si="0"/>
        <v>0</v>
      </c>
      <c r="J4" s="54">
        <f>SUM(B4:I4)</f>
        <v>41.75</v>
      </c>
      <c r="K4" s="56"/>
      <c r="L4" s="55" t="s">
        <v>141</v>
      </c>
      <c r="M4" s="70">
        <f t="shared" ref="M4:V4" si="1">M3*M2</f>
        <v>2.4500000000000002</v>
      </c>
      <c r="N4" s="70">
        <f t="shared" si="1"/>
        <v>4.4000000000000004</v>
      </c>
      <c r="O4" s="70">
        <f t="shared" si="1"/>
        <v>6.2</v>
      </c>
      <c r="P4" s="70">
        <f t="shared" si="1"/>
        <v>5</v>
      </c>
      <c r="Q4" s="70">
        <f t="shared" si="1"/>
        <v>11</v>
      </c>
      <c r="R4" s="70">
        <f t="shared" si="1"/>
        <v>8</v>
      </c>
      <c r="S4" s="70">
        <f t="shared" si="1"/>
        <v>45</v>
      </c>
      <c r="T4" s="70">
        <f t="shared" si="1"/>
        <v>100</v>
      </c>
      <c r="U4" s="70">
        <f t="shared" si="1"/>
        <v>80</v>
      </c>
      <c r="V4" s="70">
        <f t="shared" si="1"/>
        <v>100</v>
      </c>
      <c r="W4" s="54">
        <f>SUM(M4:V4)</f>
        <v>362.05</v>
      </c>
      <c r="X4" s="55">
        <f>W4-J4</f>
        <v>320.3</v>
      </c>
      <c r="Y4" s="63">
        <v>163.9</v>
      </c>
      <c r="Z4" s="63">
        <v>27.3</v>
      </c>
      <c r="AA4" s="66">
        <f>X4+Z4</f>
        <v>347.6</v>
      </c>
      <c r="AB4" s="55">
        <v>60</v>
      </c>
      <c r="AC4" s="55">
        <f>Y4-AB4</f>
        <v>103.9</v>
      </c>
      <c r="AD4" s="55">
        <f>X4-Y4</f>
        <v>156.4</v>
      </c>
      <c r="AE4" s="55">
        <v>50</v>
      </c>
      <c r="AF4" s="55">
        <f>AD4-AE4</f>
        <v>106.4</v>
      </c>
      <c r="AG4" s="61"/>
      <c r="AH4" s="77">
        <f>(SUM(Y4:Z4)/(1+10/100))*(10/100)</f>
        <v>17.381818181818183</v>
      </c>
      <c r="AI4" s="61"/>
    </row>
    <row r="5" spans="1:35" ht="12.75" x14ac:dyDescent="0.2">
      <c r="AC5" s="38">
        <v>-23.9</v>
      </c>
      <c r="AH5" s="41"/>
    </row>
    <row r="6" spans="1:35" ht="12.75" x14ac:dyDescent="0.2">
      <c r="AH6" s="41"/>
    </row>
    <row r="7" spans="1:35" ht="51" x14ac:dyDescent="0.2">
      <c r="A7" s="52" t="s">
        <v>135</v>
      </c>
      <c r="B7" s="53">
        <v>45691</v>
      </c>
      <c r="C7" s="54"/>
      <c r="D7" s="54"/>
      <c r="E7" s="54"/>
      <c r="F7" s="54"/>
      <c r="G7" s="54"/>
      <c r="H7" s="54"/>
      <c r="I7" s="54"/>
      <c r="J7" s="55" t="s">
        <v>141</v>
      </c>
      <c r="K7" s="56"/>
      <c r="L7" s="52" t="s">
        <v>136</v>
      </c>
      <c r="M7" s="53">
        <v>45691</v>
      </c>
      <c r="N7" s="54"/>
      <c r="O7" s="54"/>
      <c r="P7" s="54"/>
      <c r="Q7" s="54"/>
      <c r="R7" s="54"/>
      <c r="S7" s="54"/>
      <c r="T7" s="54"/>
      <c r="U7" s="54"/>
      <c r="V7" s="54"/>
      <c r="W7" s="55" t="s">
        <v>141</v>
      </c>
      <c r="X7" s="57" t="s">
        <v>192</v>
      </c>
      <c r="Y7" s="58" t="s">
        <v>142</v>
      </c>
      <c r="Z7" s="59" t="s">
        <v>193</v>
      </c>
      <c r="AA7" s="60" t="s">
        <v>194</v>
      </c>
      <c r="AB7" s="57" t="s">
        <v>165</v>
      </c>
      <c r="AC7" s="55" t="s">
        <v>195</v>
      </c>
      <c r="AD7" s="55" t="s">
        <v>196</v>
      </c>
      <c r="AE7" s="57" t="s">
        <v>197</v>
      </c>
      <c r="AF7" s="55" t="s">
        <v>198</v>
      </c>
      <c r="AG7" s="61"/>
      <c r="AH7" s="77"/>
      <c r="AI7" s="61"/>
    </row>
    <row r="8" spans="1:35" ht="12.75" x14ac:dyDescent="0.2">
      <c r="A8" s="55" t="s">
        <v>199</v>
      </c>
      <c r="B8" s="62">
        <v>0.05</v>
      </c>
      <c r="C8" s="62">
        <v>0.1</v>
      </c>
      <c r="D8" s="62">
        <v>0.2</v>
      </c>
      <c r="E8" s="62">
        <v>0.5</v>
      </c>
      <c r="F8" s="62">
        <v>1</v>
      </c>
      <c r="G8" s="62">
        <v>2</v>
      </c>
      <c r="H8" s="62">
        <v>5</v>
      </c>
      <c r="I8" s="62">
        <v>10</v>
      </c>
      <c r="K8" s="56"/>
      <c r="L8" s="55" t="s">
        <v>199</v>
      </c>
      <c r="M8" s="62">
        <v>0.05</v>
      </c>
      <c r="N8" s="62">
        <v>0.1</v>
      </c>
      <c r="O8" s="62">
        <v>0.2</v>
      </c>
      <c r="P8" s="62">
        <v>0.5</v>
      </c>
      <c r="Q8" s="62">
        <v>1</v>
      </c>
      <c r="R8" s="62">
        <v>2</v>
      </c>
      <c r="S8" s="62">
        <v>5</v>
      </c>
      <c r="T8" s="62">
        <v>10</v>
      </c>
      <c r="U8" s="62">
        <v>20</v>
      </c>
      <c r="V8" s="62">
        <v>50</v>
      </c>
      <c r="W8" s="54"/>
      <c r="X8" s="54"/>
      <c r="Z8" s="63"/>
      <c r="AA8" s="64"/>
      <c r="AB8" s="54"/>
      <c r="AC8" s="54"/>
      <c r="AD8" s="54"/>
      <c r="AE8" s="54"/>
      <c r="AF8" s="54"/>
      <c r="AH8" s="41"/>
    </row>
    <row r="9" spans="1:35" ht="12.75" x14ac:dyDescent="0.2">
      <c r="A9" s="55" t="s">
        <v>200</v>
      </c>
      <c r="B9" s="38">
        <v>49</v>
      </c>
      <c r="C9" s="38">
        <v>44</v>
      </c>
      <c r="D9" s="65">
        <v>31</v>
      </c>
      <c r="E9" s="65">
        <v>6</v>
      </c>
      <c r="F9" s="65">
        <v>7</v>
      </c>
      <c r="G9" s="65">
        <v>5</v>
      </c>
      <c r="H9" s="65">
        <v>2</v>
      </c>
      <c r="I9" s="65"/>
      <c r="J9" s="54"/>
      <c r="K9" s="56"/>
      <c r="L9" s="55" t="s">
        <v>200</v>
      </c>
      <c r="M9" s="38">
        <v>73</v>
      </c>
      <c r="N9" s="38">
        <v>67</v>
      </c>
      <c r="O9" s="65">
        <v>36</v>
      </c>
      <c r="P9" s="65">
        <v>6</v>
      </c>
      <c r="Q9" s="65">
        <v>8</v>
      </c>
      <c r="R9" s="65">
        <v>5</v>
      </c>
      <c r="S9" s="65">
        <v>3</v>
      </c>
      <c r="T9" s="65">
        <v>4</v>
      </c>
      <c r="U9" s="65">
        <v>1</v>
      </c>
      <c r="V9" s="65">
        <v>4</v>
      </c>
      <c r="W9" s="65"/>
      <c r="X9" s="54"/>
      <c r="Z9" s="63"/>
      <c r="AA9" s="64"/>
      <c r="AB9" s="54"/>
      <c r="AC9" s="54"/>
      <c r="AD9" s="54"/>
      <c r="AE9" s="54"/>
      <c r="AF9" s="54"/>
      <c r="AH9" s="41"/>
    </row>
    <row r="10" spans="1:35" ht="12.75" x14ac:dyDescent="0.2">
      <c r="A10" s="55" t="s">
        <v>141</v>
      </c>
      <c r="B10" s="65">
        <f t="shared" ref="B10:I10" si="2">B9*B8</f>
        <v>2.4500000000000002</v>
      </c>
      <c r="C10" s="65">
        <f t="shared" si="2"/>
        <v>4.4000000000000004</v>
      </c>
      <c r="D10" s="65">
        <f t="shared" si="2"/>
        <v>6.2</v>
      </c>
      <c r="E10" s="65">
        <f t="shared" si="2"/>
        <v>3</v>
      </c>
      <c r="F10" s="65">
        <f t="shared" si="2"/>
        <v>7</v>
      </c>
      <c r="G10" s="65">
        <f t="shared" si="2"/>
        <v>10</v>
      </c>
      <c r="H10" s="65">
        <f t="shared" si="2"/>
        <v>10</v>
      </c>
      <c r="I10" s="65">
        <f t="shared" si="2"/>
        <v>0</v>
      </c>
      <c r="J10" s="54">
        <f>SUM(B10:I10)</f>
        <v>43.05</v>
      </c>
      <c r="K10" s="56"/>
      <c r="L10" s="55" t="s">
        <v>141</v>
      </c>
      <c r="M10" s="70">
        <f t="shared" ref="M10:V10" si="3">M9*M8</f>
        <v>3.6500000000000004</v>
      </c>
      <c r="N10" s="70">
        <f t="shared" si="3"/>
        <v>6.7</v>
      </c>
      <c r="O10" s="70">
        <f t="shared" si="3"/>
        <v>7.2</v>
      </c>
      <c r="P10" s="70">
        <f t="shared" si="3"/>
        <v>3</v>
      </c>
      <c r="Q10" s="70">
        <f t="shared" si="3"/>
        <v>8</v>
      </c>
      <c r="R10" s="70">
        <f t="shared" si="3"/>
        <v>10</v>
      </c>
      <c r="S10" s="70">
        <f t="shared" si="3"/>
        <v>15</v>
      </c>
      <c r="T10" s="70">
        <f t="shared" si="3"/>
        <v>40</v>
      </c>
      <c r="U10" s="70">
        <f t="shared" si="3"/>
        <v>20</v>
      </c>
      <c r="V10" s="70">
        <f t="shared" si="3"/>
        <v>200</v>
      </c>
      <c r="W10" s="54">
        <f>SUM(M10:V10)</f>
        <v>313.55</v>
      </c>
      <c r="X10" s="55">
        <f>W10-J10</f>
        <v>270.5</v>
      </c>
      <c r="Y10" s="63">
        <v>216.6</v>
      </c>
      <c r="Z10" s="63">
        <v>58.7</v>
      </c>
      <c r="AA10" s="66">
        <f>X10+Z10</f>
        <v>329.2</v>
      </c>
      <c r="AB10" s="55">
        <v>80</v>
      </c>
      <c r="AC10" s="55">
        <f>Y10-AB10</f>
        <v>136.6</v>
      </c>
      <c r="AD10" s="55">
        <f>X10-Y10</f>
        <v>53.900000000000006</v>
      </c>
      <c r="AE10" s="55">
        <v>3.9</v>
      </c>
      <c r="AF10" s="55">
        <f>AD10-AE10</f>
        <v>50.000000000000007</v>
      </c>
      <c r="AG10" s="61"/>
      <c r="AH10" s="77">
        <f>(SUM(Y10:Z10)/(1+10/100))*(10/100)</f>
        <v>25.027272727272727</v>
      </c>
      <c r="AI10" s="61"/>
    </row>
    <row r="11" spans="1:35" ht="12.75" x14ac:dyDescent="0.2">
      <c r="K11" s="56"/>
      <c r="AC11" s="38">
        <v>-26.6</v>
      </c>
      <c r="AH11" s="41"/>
    </row>
    <row r="12" spans="1:35" ht="12.75" x14ac:dyDescent="0.2">
      <c r="K12" s="56"/>
      <c r="AH12" s="41"/>
    </row>
    <row r="13" spans="1:35" ht="25.5" customHeight="1" x14ac:dyDescent="0.2">
      <c r="A13" s="52" t="s">
        <v>135</v>
      </c>
      <c r="B13" s="53">
        <v>45692</v>
      </c>
      <c r="C13" s="54"/>
      <c r="D13" s="54"/>
      <c r="E13" s="54"/>
      <c r="F13" s="54"/>
      <c r="G13" s="54"/>
      <c r="H13" s="54"/>
      <c r="I13" s="54"/>
      <c r="J13" s="55" t="s">
        <v>141</v>
      </c>
      <c r="K13" s="56"/>
      <c r="L13" s="52" t="s">
        <v>136</v>
      </c>
      <c r="M13" s="53">
        <v>45692</v>
      </c>
      <c r="N13" s="54"/>
      <c r="O13" s="54"/>
      <c r="P13" s="54"/>
      <c r="Q13" s="54"/>
      <c r="R13" s="54"/>
      <c r="S13" s="54"/>
      <c r="T13" s="54"/>
      <c r="U13" s="54"/>
      <c r="V13" s="54"/>
      <c r="W13" s="55" t="s">
        <v>141</v>
      </c>
      <c r="X13" s="57" t="s">
        <v>192</v>
      </c>
      <c r="Y13" s="58" t="s">
        <v>142</v>
      </c>
      <c r="Z13" s="59" t="s">
        <v>193</v>
      </c>
      <c r="AA13" s="60" t="s">
        <v>194</v>
      </c>
      <c r="AB13" s="57" t="s">
        <v>165</v>
      </c>
      <c r="AC13" s="55" t="s">
        <v>195</v>
      </c>
      <c r="AD13" s="55" t="s">
        <v>196</v>
      </c>
      <c r="AE13" s="57" t="s">
        <v>197</v>
      </c>
      <c r="AF13" s="55" t="s">
        <v>198</v>
      </c>
      <c r="AG13" s="61"/>
      <c r="AH13" s="77"/>
      <c r="AI13" s="61"/>
    </row>
    <row r="14" spans="1:35" ht="12.75" x14ac:dyDescent="0.2">
      <c r="A14" s="55" t="s">
        <v>199</v>
      </c>
      <c r="B14" s="62">
        <v>0.05</v>
      </c>
      <c r="C14" s="62">
        <v>0.1</v>
      </c>
      <c r="D14" s="62">
        <v>0.2</v>
      </c>
      <c r="E14" s="62">
        <v>0.5</v>
      </c>
      <c r="F14" s="62">
        <v>1</v>
      </c>
      <c r="G14" s="62">
        <v>2</v>
      </c>
      <c r="H14" s="62">
        <v>5</v>
      </c>
      <c r="I14" s="62">
        <v>10</v>
      </c>
      <c r="K14" s="56"/>
      <c r="L14" s="55" t="s">
        <v>199</v>
      </c>
      <c r="M14" s="62">
        <v>0.05</v>
      </c>
      <c r="N14" s="62">
        <v>0.1</v>
      </c>
      <c r="O14" s="62">
        <v>0.2</v>
      </c>
      <c r="P14" s="62">
        <v>0.5</v>
      </c>
      <c r="Q14" s="62">
        <v>1</v>
      </c>
      <c r="R14" s="62">
        <v>2</v>
      </c>
      <c r="S14" s="62">
        <v>5</v>
      </c>
      <c r="T14" s="62">
        <v>10</v>
      </c>
      <c r="U14" s="62">
        <v>20</v>
      </c>
      <c r="V14" s="62">
        <v>50</v>
      </c>
      <c r="W14" s="54"/>
      <c r="X14" s="54"/>
      <c r="Z14" s="63"/>
      <c r="AA14" s="64"/>
      <c r="AB14" s="54"/>
      <c r="AC14" s="54"/>
      <c r="AD14" s="54"/>
      <c r="AE14" s="54"/>
      <c r="AF14" s="54"/>
      <c r="AH14" s="41"/>
    </row>
    <row r="15" spans="1:35" ht="12.75" x14ac:dyDescent="0.2">
      <c r="A15" s="55" t="s">
        <v>200</v>
      </c>
      <c r="B15" s="38">
        <v>73</v>
      </c>
      <c r="C15" s="38">
        <v>67</v>
      </c>
      <c r="D15" s="65">
        <v>36</v>
      </c>
      <c r="E15" s="65">
        <v>6</v>
      </c>
      <c r="F15" s="65">
        <v>8</v>
      </c>
      <c r="G15" s="65">
        <v>5</v>
      </c>
      <c r="H15" s="65">
        <v>2</v>
      </c>
      <c r="I15" s="65"/>
      <c r="J15" s="54"/>
      <c r="K15" s="56"/>
      <c r="L15" s="55" t="s">
        <v>200</v>
      </c>
      <c r="M15" s="38">
        <v>80</v>
      </c>
      <c r="N15" s="38">
        <v>62</v>
      </c>
      <c r="O15" s="65">
        <v>10</v>
      </c>
      <c r="P15" s="65">
        <v>3</v>
      </c>
      <c r="Q15" s="65">
        <v>7</v>
      </c>
      <c r="R15" s="65">
        <v>4</v>
      </c>
      <c r="S15" s="65">
        <v>6</v>
      </c>
      <c r="T15" s="65">
        <v>3</v>
      </c>
      <c r="U15" s="65">
        <v>2</v>
      </c>
      <c r="V15" s="65">
        <v>4</v>
      </c>
      <c r="W15" s="65"/>
      <c r="X15" s="54"/>
      <c r="Y15" s="54"/>
      <c r="Z15" s="63"/>
      <c r="AA15" s="64"/>
      <c r="AB15" s="54"/>
      <c r="AC15" s="54"/>
      <c r="AD15" s="54"/>
      <c r="AE15" s="54"/>
      <c r="AF15" s="54"/>
      <c r="AH15" s="41"/>
    </row>
    <row r="16" spans="1:35" ht="12.75" x14ac:dyDescent="0.2">
      <c r="A16" s="55" t="s">
        <v>141</v>
      </c>
      <c r="B16" s="65">
        <f t="shared" ref="B16:I16" si="4">B15*B14</f>
        <v>3.6500000000000004</v>
      </c>
      <c r="C16" s="65">
        <f t="shared" si="4"/>
        <v>6.7</v>
      </c>
      <c r="D16" s="65">
        <f t="shared" si="4"/>
        <v>7.2</v>
      </c>
      <c r="E16" s="65">
        <f t="shared" si="4"/>
        <v>3</v>
      </c>
      <c r="F16" s="65">
        <f t="shared" si="4"/>
        <v>8</v>
      </c>
      <c r="G16" s="65">
        <f t="shared" si="4"/>
        <v>10</v>
      </c>
      <c r="H16" s="65">
        <f t="shared" si="4"/>
        <v>10</v>
      </c>
      <c r="I16" s="65">
        <f t="shared" si="4"/>
        <v>0</v>
      </c>
      <c r="J16" s="54">
        <f>SUM(B16:I16)</f>
        <v>48.55</v>
      </c>
      <c r="K16" s="56"/>
      <c r="L16" s="55" t="s">
        <v>141</v>
      </c>
      <c r="M16" s="70">
        <f t="shared" ref="M16:V16" si="5">M15*M14</f>
        <v>4</v>
      </c>
      <c r="N16" s="70">
        <f t="shared" si="5"/>
        <v>6.2</v>
      </c>
      <c r="O16" s="70">
        <f t="shared" si="5"/>
        <v>2</v>
      </c>
      <c r="P16" s="70">
        <f t="shared" si="5"/>
        <v>1.5</v>
      </c>
      <c r="Q16" s="70">
        <f t="shared" si="5"/>
        <v>7</v>
      </c>
      <c r="R16" s="70">
        <f t="shared" si="5"/>
        <v>8</v>
      </c>
      <c r="S16" s="70">
        <f t="shared" si="5"/>
        <v>30</v>
      </c>
      <c r="T16" s="70">
        <f t="shared" si="5"/>
        <v>30</v>
      </c>
      <c r="U16" s="70">
        <f t="shared" si="5"/>
        <v>40</v>
      </c>
      <c r="V16" s="70">
        <f t="shared" si="5"/>
        <v>200</v>
      </c>
      <c r="W16" s="54">
        <f>SUM(M16:V16)</f>
        <v>328.7</v>
      </c>
      <c r="X16" s="55">
        <f>W16-J16</f>
        <v>280.14999999999998</v>
      </c>
      <c r="Y16" s="63">
        <v>115.3</v>
      </c>
      <c r="Z16" s="63">
        <v>44</v>
      </c>
      <c r="AA16" s="66">
        <f>X16+Z16</f>
        <v>324.14999999999998</v>
      </c>
      <c r="AB16" s="55">
        <v>50</v>
      </c>
      <c r="AC16" s="55">
        <f>Y16-AB16</f>
        <v>65.3</v>
      </c>
      <c r="AD16" s="55">
        <f>X16-Y16</f>
        <v>164.84999999999997</v>
      </c>
      <c r="AE16" s="55">
        <v>64.849999999999994</v>
      </c>
      <c r="AF16" s="55">
        <f>AD16-AE16</f>
        <v>99.999999999999972</v>
      </c>
      <c r="AG16" s="61" t="s">
        <v>245</v>
      </c>
      <c r="AH16" s="77">
        <f>(SUM(Y16:Z16)/(1+10/100))*(10/100)</f>
        <v>14.481818181818182</v>
      </c>
      <c r="AI16" s="61"/>
    </row>
    <row r="17" spans="1:35" ht="12.75" x14ac:dyDescent="0.2">
      <c r="K17" s="56"/>
      <c r="AC17" s="38">
        <v>-35.299999999999997</v>
      </c>
      <c r="AH17" s="41"/>
    </row>
    <row r="18" spans="1:35" ht="12.75" x14ac:dyDescent="0.2">
      <c r="K18" s="56"/>
      <c r="AH18" s="41"/>
    </row>
    <row r="19" spans="1:35" ht="51" x14ac:dyDescent="0.2">
      <c r="A19" s="52" t="s">
        <v>135</v>
      </c>
      <c r="B19" s="53">
        <v>45693</v>
      </c>
      <c r="C19" s="54"/>
      <c r="D19" s="54"/>
      <c r="E19" s="54"/>
      <c r="F19" s="54"/>
      <c r="G19" s="54"/>
      <c r="H19" s="54"/>
      <c r="I19" s="54"/>
      <c r="J19" s="55" t="s">
        <v>141</v>
      </c>
      <c r="K19" s="56"/>
      <c r="L19" s="52" t="s">
        <v>136</v>
      </c>
      <c r="M19" s="53">
        <v>45693</v>
      </c>
      <c r="N19" s="54"/>
      <c r="O19" s="54"/>
      <c r="P19" s="54"/>
      <c r="Q19" s="54"/>
      <c r="R19" s="54"/>
      <c r="S19" s="54"/>
      <c r="T19" s="54"/>
      <c r="U19" s="54"/>
      <c r="V19" s="54"/>
      <c r="W19" s="55" t="s">
        <v>141</v>
      </c>
      <c r="X19" s="57" t="s">
        <v>192</v>
      </c>
      <c r="Y19" s="58" t="s">
        <v>142</v>
      </c>
      <c r="Z19" s="59" t="s">
        <v>193</v>
      </c>
      <c r="AA19" s="60" t="s">
        <v>194</v>
      </c>
      <c r="AB19" s="57" t="s">
        <v>165</v>
      </c>
      <c r="AC19" s="55" t="s">
        <v>195</v>
      </c>
      <c r="AD19" s="55" t="s">
        <v>196</v>
      </c>
      <c r="AE19" s="57" t="s">
        <v>197</v>
      </c>
      <c r="AF19" s="55" t="s">
        <v>198</v>
      </c>
      <c r="AG19" s="61"/>
      <c r="AH19" s="77"/>
      <c r="AI19" s="61"/>
    </row>
    <row r="20" spans="1:35" ht="12.75" x14ac:dyDescent="0.2">
      <c r="A20" s="55" t="s">
        <v>199</v>
      </c>
      <c r="B20" s="62">
        <v>0.05</v>
      </c>
      <c r="C20" s="62">
        <v>0.1</v>
      </c>
      <c r="D20" s="62">
        <v>0.2</v>
      </c>
      <c r="E20" s="62">
        <v>0.5</v>
      </c>
      <c r="F20" s="62">
        <v>1</v>
      </c>
      <c r="G20" s="62">
        <v>2</v>
      </c>
      <c r="H20" s="62">
        <v>5</v>
      </c>
      <c r="I20" s="62">
        <v>10</v>
      </c>
      <c r="K20" s="56"/>
      <c r="L20" s="55" t="s">
        <v>199</v>
      </c>
      <c r="M20" s="62">
        <v>0.05</v>
      </c>
      <c r="N20" s="62">
        <v>0.1</v>
      </c>
      <c r="O20" s="62">
        <v>0.2</v>
      </c>
      <c r="P20" s="62">
        <v>0.5</v>
      </c>
      <c r="Q20" s="62">
        <v>1</v>
      </c>
      <c r="R20" s="62">
        <v>2</v>
      </c>
      <c r="S20" s="62">
        <v>5</v>
      </c>
      <c r="T20" s="62">
        <v>10</v>
      </c>
      <c r="U20" s="62">
        <v>20</v>
      </c>
      <c r="V20" s="62">
        <v>50</v>
      </c>
      <c r="W20" s="54"/>
      <c r="X20" s="54"/>
      <c r="Z20" s="63"/>
      <c r="AA20" s="64"/>
      <c r="AB20" s="54"/>
      <c r="AC20" s="54"/>
      <c r="AD20" s="54"/>
      <c r="AE20" s="54"/>
      <c r="AF20" s="54"/>
      <c r="AH20" s="41"/>
    </row>
    <row r="21" spans="1:35" ht="12.75" x14ac:dyDescent="0.2">
      <c r="A21" s="55" t="s">
        <v>200</v>
      </c>
      <c r="B21" s="38">
        <v>80</v>
      </c>
      <c r="C21" s="38">
        <v>62</v>
      </c>
      <c r="D21" s="65">
        <v>10</v>
      </c>
      <c r="E21" s="65">
        <v>3</v>
      </c>
      <c r="F21" s="65">
        <v>7</v>
      </c>
      <c r="G21" s="65">
        <v>4</v>
      </c>
      <c r="H21" s="65">
        <v>2</v>
      </c>
      <c r="I21" s="65"/>
      <c r="J21" s="54"/>
      <c r="K21" s="56"/>
      <c r="L21" s="55" t="s">
        <v>200</v>
      </c>
      <c r="M21" s="38">
        <v>85</v>
      </c>
      <c r="N21" s="38">
        <v>20</v>
      </c>
      <c r="O21" s="65">
        <v>9</v>
      </c>
      <c r="P21" s="65">
        <v>5</v>
      </c>
      <c r="Q21" s="65">
        <v>7</v>
      </c>
      <c r="R21" s="65">
        <v>6</v>
      </c>
      <c r="S21" s="65">
        <v>6</v>
      </c>
      <c r="T21" s="65">
        <v>9</v>
      </c>
      <c r="U21" s="65">
        <v>5</v>
      </c>
      <c r="V21" s="65">
        <v>2</v>
      </c>
      <c r="W21" s="65"/>
      <c r="X21" s="54"/>
      <c r="Z21" s="63"/>
      <c r="AA21" s="64"/>
      <c r="AB21" s="54"/>
      <c r="AC21" s="54"/>
      <c r="AD21" s="54"/>
      <c r="AE21" s="54"/>
      <c r="AF21" s="54"/>
      <c r="AH21" s="41"/>
    </row>
    <row r="22" spans="1:35" ht="12.75" x14ac:dyDescent="0.2">
      <c r="A22" s="55" t="s">
        <v>141</v>
      </c>
      <c r="B22" s="65">
        <f t="shared" ref="B22:I22" si="6">B21*B20</f>
        <v>4</v>
      </c>
      <c r="C22" s="65">
        <f t="shared" si="6"/>
        <v>6.2</v>
      </c>
      <c r="D22" s="65">
        <f t="shared" si="6"/>
        <v>2</v>
      </c>
      <c r="E22" s="65">
        <f t="shared" si="6"/>
        <v>1.5</v>
      </c>
      <c r="F22" s="65">
        <f t="shared" si="6"/>
        <v>7</v>
      </c>
      <c r="G22" s="65">
        <f t="shared" si="6"/>
        <v>8</v>
      </c>
      <c r="H22" s="65">
        <f t="shared" si="6"/>
        <v>10</v>
      </c>
      <c r="I22" s="65">
        <f t="shared" si="6"/>
        <v>0</v>
      </c>
      <c r="J22" s="54">
        <f>SUM(B22:I22)</f>
        <v>38.700000000000003</v>
      </c>
      <c r="K22" s="56"/>
      <c r="L22" s="55" t="s">
        <v>141</v>
      </c>
      <c r="M22" s="70">
        <f t="shared" ref="M22:V22" si="7">M21*M20</f>
        <v>4.25</v>
      </c>
      <c r="N22" s="70">
        <f t="shared" si="7"/>
        <v>2</v>
      </c>
      <c r="O22" s="70">
        <f t="shared" si="7"/>
        <v>1.8</v>
      </c>
      <c r="P22" s="70">
        <f t="shared" si="7"/>
        <v>2.5</v>
      </c>
      <c r="Q22" s="70">
        <f t="shared" si="7"/>
        <v>7</v>
      </c>
      <c r="R22" s="70">
        <f t="shared" si="7"/>
        <v>12</v>
      </c>
      <c r="S22" s="70">
        <f t="shared" si="7"/>
        <v>30</v>
      </c>
      <c r="T22" s="70">
        <f t="shared" si="7"/>
        <v>90</v>
      </c>
      <c r="U22" s="70">
        <f t="shared" si="7"/>
        <v>100</v>
      </c>
      <c r="V22" s="70">
        <f t="shared" si="7"/>
        <v>100</v>
      </c>
      <c r="W22" s="54">
        <f>SUM(M22:V22)</f>
        <v>349.55</v>
      </c>
      <c r="X22" s="55">
        <f>W22-J22</f>
        <v>310.85000000000002</v>
      </c>
      <c r="Y22" s="63">
        <v>140.69999999999999</v>
      </c>
      <c r="Z22" s="63">
        <v>97.3</v>
      </c>
      <c r="AA22" s="66">
        <f>X22+Z22</f>
        <v>408.15000000000003</v>
      </c>
      <c r="AB22" s="55">
        <v>60</v>
      </c>
      <c r="AC22" s="55">
        <f>Y22-AB22</f>
        <v>80.699999999999989</v>
      </c>
      <c r="AD22" s="55">
        <f>X22-Y22</f>
        <v>170.15000000000003</v>
      </c>
      <c r="AE22" s="55">
        <v>50</v>
      </c>
      <c r="AF22" s="55">
        <f>AD22-AE22</f>
        <v>120.15000000000003</v>
      </c>
      <c r="AG22" s="61"/>
      <c r="AH22" s="77">
        <f>(SUM(Y22:Z22)/(1+10/100))*(10/100)</f>
        <v>21.636363636363637</v>
      </c>
      <c r="AI22" s="61"/>
    </row>
    <row r="23" spans="1:35" ht="12.75" x14ac:dyDescent="0.2">
      <c r="AH23" s="41"/>
    </row>
    <row r="24" spans="1:35" ht="12.75" x14ac:dyDescent="0.2">
      <c r="AH24" s="41"/>
    </row>
    <row r="25" spans="1:35" ht="51" x14ac:dyDescent="0.2">
      <c r="A25" s="52" t="s">
        <v>135</v>
      </c>
      <c r="B25" s="53">
        <v>45694</v>
      </c>
      <c r="C25" s="54"/>
      <c r="D25" s="54"/>
      <c r="E25" s="54"/>
      <c r="F25" s="54"/>
      <c r="G25" s="54"/>
      <c r="H25" s="54"/>
      <c r="I25" s="54"/>
      <c r="J25" s="55" t="s">
        <v>141</v>
      </c>
      <c r="K25" s="56"/>
      <c r="L25" s="52" t="s">
        <v>136</v>
      </c>
      <c r="M25" s="53">
        <v>45694</v>
      </c>
      <c r="N25" s="54"/>
      <c r="O25" s="54"/>
      <c r="P25" s="54"/>
      <c r="Q25" s="54"/>
      <c r="R25" s="54"/>
      <c r="S25" s="54"/>
      <c r="T25" s="54"/>
      <c r="U25" s="54"/>
      <c r="V25" s="54"/>
      <c r="W25" s="55" t="s">
        <v>141</v>
      </c>
      <c r="X25" s="57" t="s">
        <v>192</v>
      </c>
      <c r="Y25" s="58" t="s">
        <v>142</v>
      </c>
      <c r="Z25" s="59" t="s">
        <v>193</v>
      </c>
      <c r="AA25" s="60" t="s">
        <v>194</v>
      </c>
      <c r="AB25" s="57" t="s">
        <v>165</v>
      </c>
      <c r="AC25" s="55" t="s">
        <v>195</v>
      </c>
      <c r="AD25" s="55" t="s">
        <v>196</v>
      </c>
      <c r="AE25" s="57" t="s">
        <v>197</v>
      </c>
      <c r="AF25" s="55" t="s">
        <v>198</v>
      </c>
      <c r="AG25" s="61"/>
      <c r="AH25" s="77"/>
      <c r="AI25" s="61"/>
    </row>
    <row r="26" spans="1:35" ht="12.75" x14ac:dyDescent="0.2">
      <c r="A26" s="55" t="s">
        <v>199</v>
      </c>
      <c r="B26" s="62">
        <v>0.05</v>
      </c>
      <c r="C26" s="62">
        <v>0.1</v>
      </c>
      <c r="D26" s="62">
        <v>0.2</v>
      </c>
      <c r="E26" s="62">
        <v>0.5</v>
      </c>
      <c r="F26" s="62">
        <v>1</v>
      </c>
      <c r="G26" s="62">
        <v>2</v>
      </c>
      <c r="H26" s="62">
        <v>5</v>
      </c>
      <c r="I26" s="62">
        <v>10</v>
      </c>
      <c r="K26" s="56"/>
      <c r="L26" s="55" t="s">
        <v>199</v>
      </c>
      <c r="M26" s="62">
        <v>0.05</v>
      </c>
      <c r="N26" s="62">
        <v>0.1</v>
      </c>
      <c r="O26" s="62">
        <v>0.2</v>
      </c>
      <c r="P26" s="62">
        <v>0.5</v>
      </c>
      <c r="Q26" s="62">
        <v>1</v>
      </c>
      <c r="R26" s="62">
        <v>2</v>
      </c>
      <c r="S26" s="62">
        <v>5</v>
      </c>
      <c r="T26" s="62">
        <v>10</v>
      </c>
      <c r="U26" s="62">
        <v>20</v>
      </c>
      <c r="V26" s="62">
        <v>50</v>
      </c>
      <c r="W26" s="54"/>
      <c r="X26" s="127"/>
      <c r="Z26" s="63"/>
      <c r="AA26" s="64"/>
      <c r="AB26" s="54"/>
      <c r="AC26" s="54"/>
      <c r="AD26" s="54"/>
      <c r="AE26" s="54"/>
      <c r="AF26" s="54"/>
      <c r="AH26" s="41"/>
    </row>
    <row r="27" spans="1:35" ht="12.75" x14ac:dyDescent="0.2">
      <c r="A27" s="55" t="s">
        <v>200</v>
      </c>
      <c r="B27" s="38">
        <v>85</v>
      </c>
      <c r="C27" s="38">
        <v>20</v>
      </c>
      <c r="D27" s="65">
        <v>9</v>
      </c>
      <c r="E27" s="65">
        <v>5</v>
      </c>
      <c r="F27" s="65">
        <v>8</v>
      </c>
      <c r="G27" s="65">
        <v>6</v>
      </c>
      <c r="H27" s="65">
        <v>2</v>
      </c>
      <c r="I27" s="65"/>
      <c r="J27" s="54"/>
      <c r="K27" s="56"/>
      <c r="L27" s="55" t="s">
        <v>200</v>
      </c>
      <c r="M27" s="38">
        <v>91</v>
      </c>
      <c r="N27" s="38">
        <v>51</v>
      </c>
      <c r="O27" s="38">
        <v>17</v>
      </c>
      <c r="P27" s="38">
        <v>8</v>
      </c>
      <c r="Q27" s="38">
        <v>13</v>
      </c>
      <c r="R27" s="38">
        <v>7</v>
      </c>
      <c r="S27" s="65">
        <v>4</v>
      </c>
      <c r="T27" s="65">
        <v>12</v>
      </c>
      <c r="U27" s="65">
        <v>10</v>
      </c>
      <c r="V27" s="65">
        <v>0</v>
      </c>
      <c r="W27" s="65"/>
      <c r="X27" s="128"/>
      <c r="Y27" s="65"/>
      <c r="Z27" s="65"/>
      <c r="AA27" s="65"/>
      <c r="AB27" s="54"/>
      <c r="AC27" s="54"/>
      <c r="AD27" s="54"/>
      <c r="AE27" s="54"/>
      <c r="AF27" s="54"/>
      <c r="AH27" s="41"/>
    </row>
    <row r="28" spans="1:35" ht="12.75" x14ac:dyDescent="0.2">
      <c r="A28" s="55" t="s">
        <v>141</v>
      </c>
      <c r="B28" s="65">
        <f t="shared" ref="B28:I28" si="8">B27*B26</f>
        <v>4.25</v>
      </c>
      <c r="C28" s="65">
        <f t="shared" si="8"/>
        <v>2</v>
      </c>
      <c r="D28" s="65">
        <f t="shared" si="8"/>
        <v>1.8</v>
      </c>
      <c r="E28" s="65">
        <f t="shared" si="8"/>
        <v>2.5</v>
      </c>
      <c r="F28" s="65">
        <f t="shared" si="8"/>
        <v>8</v>
      </c>
      <c r="G28" s="65">
        <f t="shared" si="8"/>
        <v>12</v>
      </c>
      <c r="H28" s="65">
        <f t="shared" si="8"/>
        <v>10</v>
      </c>
      <c r="I28" s="65">
        <f t="shared" si="8"/>
        <v>0</v>
      </c>
      <c r="J28" s="54">
        <f>SUM(B28:I28)</f>
        <v>40.549999999999997</v>
      </c>
      <c r="K28" s="56"/>
      <c r="L28" s="55" t="s">
        <v>141</v>
      </c>
      <c r="M28" s="70">
        <f t="shared" ref="M28:V28" si="9">M27*M26</f>
        <v>4.55</v>
      </c>
      <c r="N28" s="70">
        <f t="shared" si="9"/>
        <v>5.1000000000000005</v>
      </c>
      <c r="O28" s="70">
        <f t="shared" si="9"/>
        <v>3.4000000000000004</v>
      </c>
      <c r="P28" s="70">
        <f t="shared" si="9"/>
        <v>4</v>
      </c>
      <c r="Q28" s="70">
        <f t="shared" si="9"/>
        <v>13</v>
      </c>
      <c r="R28" s="70">
        <f t="shared" si="9"/>
        <v>14</v>
      </c>
      <c r="S28" s="70">
        <f t="shared" si="9"/>
        <v>20</v>
      </c>
      <c r="T28" s="70">
        <f t="shared" si="9"/>
        <v>120</v>
      </c>
      <c r="U28" s="70">
        <f t="shared" si="9"/>
        <v>200</v>
      </c>
      <c r="V28" s="70">
        <f t="shared" si="9"/>
        <v>0</v>
      </c>
      <c r="W28" s="54">
        <f>SUM(M28:V28)</f>
        <v>384.05</v>
      </c>
      <c r="X28" s="55">
        <f>W28-J28</f>
        <v>343.5</v>
      </c>
      <c r="Y28" s="63">
        <v>135.1</v>
      </c>
      <c r="Z28" s="63">
        <v>50.5</v>
      </c>
      <c r="AA28" s="66">
        <f>X28+Z28</f>
        <v>394</v>
      </c>
      <c r="AB28" s="55">
        <v>70</v>
      </c>
      <c r="AC28" s="55">
        <f>Y28-AB28</f>
        <v>65.099999999999994</v>
      </c>
      <c r="AD28" s="55">
        <f>X28-Y28</f>
        <v>208.4</v>
      </c>
      <c r="AE28" s="55">
        <v>50</v>
      </c>
      <c r="AF28" s="55">
        <f>AD28-AE28</f>
        <v>158.4</v>
      </c>
      <c r="AG28" s="61"/>
      <c r="AH28" s="77">
        <f>(SUM(Y28:Z28)/(1+10/100))*(10/100)</f>
        <v>16.872727272727271</v>
      </c>
      <c r="AI28" s="61"/>
    </row>
    <row r="29" spans="1:35" ht="12.75" x14ac:dyDescent="0.2">
      <c r="AH29" s="41"/>
    </row>
    <row r="30" spans="1:35" ht="12.75" x14ac:dyDescent="0.2">
      <c r="AH30" s="41"/>
    </row>
    <row r="31" spans="1:35" ht="51" x14ac:dyDescent="0.2">
      <c r="A31" s="52" t="s">
        <v>135</v>
      </c>
      <c r="B31" s="53">
        <v>45695</v>
      </c>
      <c r="C31" s="54"/>
      <c r="D31" s="54"/>
      <c r="E31" s="54"/>
      <c r="F31" s="54"/>
      <c r="G31" s="54"/>
      <c r="H31" s="54"/>
      <c r="I31" s="54"/>
      <c r="J31" s="55" t="s">
        <v>141</v>
      </c>
      <c r="K31" s="56"/>
      <c r="L31" s="52" t="s">
        <v>136</v>
      </c>
      <c r="M31" s="53">
        <v>45695</v>
      </c>
      <c r="N31" s="54"/>
      <c r="O31" s="54"/>
      <c r="P31" s="54"/>
      <c r="Q31" s="54"/>
      <c r="R31" s="54"/>
      <c r="S31" s="54"/>
      <c r="T31" s="54"/>
      <c r="U31" s="54"/>
      <c r="V31" s="54"/>
      <c r="W31" s="55" t="s">
        <v>141</v>
      </c>
      <c r="X31" s="57" t="s">
        <v>192</v>
      </c>
      <c r="Y31" s="58" t="s">
        <v>142</v>
      </c>
      <c r="Z31" s="59" t="s">
        <v>193</v>
      </c>
      <c r="AA31" s="60" t="s">
        <v>194</v>
      </c>
      <c r="AB31" s="57" t="s">
        <v>165</v>
      </c>
      <c r="AC31" s="55" t="s">
        <v>195</v>
      </c>
      <c r="AD31" s="55" t="s">
        <v>196</v>
      </c>
      <c r="AE31" s="57" t="s">
        <v>197</v>
      </c>
      <c r="AF31" s="55" t="s">
        <v>198</v>
      </c>
      <c r="AG31" s="61"/>
      <c r="AH31" s="77"/>
      <c r="AI31" s="61"/>
    </row>
    <row r="32" spans="1:35" ht="12.75" x14ac:dyDescent="0.2">
      <c r="A32" s="55" t="s">
        <v>199</v>
      </c>
      <c r="B32" s="62">
        <v>0.05</v>
      </c>
      <c r="C32" s="62">
        <v>0.1</v>
      </c>
      <c r="D32" s="62">
        <v>0.2</v>
      </c>
      <c r="E32" s="62">
        <v>0.5</v>
      </c>
      <c r="F32" s="62">
        <v>1</v>
      </c>
      <c r="G32" s="62">
        <v>2</v>
      </c>
      <c r="H32" s="62">
        <v>5</v>
      </c>
      <c r="I32" s="62">
        <v>10</v>
      </c>
      <c r="K32" s="56"/>
      <c r="L32" s="55" t="s">
        <v>199</v>
      </c>
      <c r="M32" s="62">
        <v>0.05</v>
      </c>
      <c r="N32" s="62">
        <v>0.1</v>
      </c>
      <c r="O32" s="62">
        <v>0.2</v>
      </c>
      <c r="P32" s="62">
        <v>0.5</v>
      </c>
      <c r="Q32" s="62">
        <v>1</v>
      </c>
      <c r="R32" s="62">
        <v>2</v>
      </c>
      <c r="S32" s="62">
        <v>5</v>
      </c>
      <c r="T32" s="62">
        <v>10</v>
      </c>
      <c r="U32" s="62">
        <v>20</v>
      </c>
      <c r="V32" s="62">
        <v>50</v>
      </c>
      <c r="W32" s="54"/>
      <c r="X32" s="127"/>
      <c r="Z32" s="63"/>
      <c r="AA32" s="64"/>
      <c r="AB32" s="54"/>
      <c r="AC32" s="54"/>
      <c r="AD32" s="54"/>
      <c r="AE32" s="54"/>
      <c r="AF32" s="54"/>
      <c r="AH32" s="41"/>
    </row>
    <row r="33" spans="1:35" ht="12.75" x14ac:dyDescent="0.2">
      <c r="A33" s="55" t="s">
        <v>200</v>
      </c>
      <c r="B33" s="38">
        <v>91</v>
      </c>
      <c r="C33" s="38">
        <v>51</v>
      </c>
      <c r="D33" s="38">
        <v>17</v>
      </c>
      <c r="E33" s="38">
        <v>8</v>
      </c>
      <c r="F33" s="38">
        <v>8</v>
      </c>
      <c r="G33" s="38">
        <v>5</v>
      </c>
      <c r="H33" s="65">
        <v>2</v>
      </c>
      <c r="I33" s="65"/>
      <c r="J33" s="54"/>
      <c r="K33" s="56"/>
      <c r="L33" s="55" t="s">
        <v>200</v>
      </c>
      <c r="M33" s="38">
        <v>76</v>
      </c>
      <c r="N33" s="38">
        <v>50</v>
      </c>
      <c r="O33" s="38">
        <v>22</v>
      </c>
      <c r="P33" s="38">
        <v>3</v>
      </c>
      <c r="Q33" s="38">
        <v>10</v>
      </c>
      <c r="R33" s="38">
        <v>6</v>
      </c>
      <c r="S33" s="65"/>
      <c r="T33" s="65">
        <v>11</v>
      </c>
      <c r="U33" s="65">
        <v>9</v>
      </c>
      <c r="V33" s="65">
        <v>4</v>
      </c>
      <c r="W33" s="65"/>
      <c r="X33" s="128"/>
      <c r="Y33" s="65"/>
      <c r="Z33" s="65"/>
      <c r="AA33" s="65"/>
      <c r="AB33" s="54"/>
      <c r="AC33" s="54"/>
      <c r="AD33" s="54"/>
      <c r="AE33" s="54"/>
      <c r="AF33" s="54"/>
      <c r="AH33" s="41"/>
    </row>
    <row r="34" spans="1:35" ht="12.75" x14ac:dyDescent="0.2">
      <c r="A34" s="55" t="s">
        <v>141</v>
      </c>
      <c r="B34" s="65">
        <f t="shared" ref="B34:I34" si="10">B33*B32</f>
        <v>4.55</v>
      </c>
      <c r="C34" s="65">
        <f t="shared" si="10"/>
        <v>5.1000000000000005</v>
      </c>
      <c r="D34" s="65">
        <f t="shared" si="10"/>
        <v>3.4000000000000004</v>
      </c>
      <c r="E34" s="65">
        <f t="shared" si="10"/>
        <v>4</v>
      </c>
      <c r="F34" s="65">
        <f t="shared" si="10"/>
        <v>8</v>
      </c>
      <c r="G34" s="65">
        <f t="shared" si="10"/>
        <v>10</v>
      </c>
      <c r="H34" s="65">
        <f t="shared" si="10"/>
        <v>10</v>
      </c>
      <c r="I34" s="65">
        <f t="shared" si="10"/>
        <v>0</v>
      </c>
      <c r="J34" s="54">
        <f>SUM(B34:I34)</f>
        <v>45.05</v>
      </c>
      <c r="K34" s="56"/>
      <c r="L34" s="55" t="s">
        <v>141</v>
      </c>
      <c r="M34" s="70">
        <f t="shared" ref="M34:V34" si="11">M33*M32</f>
        <v>3.8000000000000003</v>
      </c>
      <c r="N34" s="70">
        <f t="shared" si="11"/>
        <v>5</v>
      </c>
      <c r="O34" s="70">
        <f t="shared" si="11"/>
        <v>4.4000000000000004</v>
      </c>
      <c r="P34" s="70">
        <f t="shared" si="11"/>
        <v>1.5</v>
      </c>
      <c r="Q34" s="70">
        <f t="shared" si="11"/>
        <v>10</v>
      </c>
      <c r="R34" s="70">
        <f t="shared" si="11"/>
        <v>12</v>
      </c>
      <c r="S34" s="70">
        <f t="shared" si="11"/>
        <v>0</v>
      </c>
      <c r="T34" s="70">
        <f t="shared" si="11"/>
        <v>110</v>
      </c>
      <c r="U34" s="70">
        <f t="shared" si="11"/>
        <v>180</v>
      </c>
      <c r="V34" s="70">
        <f t="shared" si="11"/>
        <v>200</v>
      </c>
      <c r="W34" s="54">
        <f>SUM(M34:V34)</f>
        <v>526.70000000000005</v>
      </c>
      <c r="X34" s="55">
        <f>W34-J34</f>
        <v>481.65000000000003</v>
      </c>
      <c r="Y34" s="63">
        <v>146.80000000000001</v>
      </c>
      <c r="Z34" s="63">
        <v>76.8</v>
      </c>
      <c r="AA34" s="66">
        <f>X34+Z34</f>
        <v>558.45000000000005</v>
      </c>
      <c r="AB34" s="55">
        <v>70</v>
      </c>
      <c r="AC34" s="55">
        <f>Y34-AB34</f>
        <v>76.800000000000011</v>
      </c>
      <c r="AD34" s="55">
        <f>X34-Y34</f>
        <v>334.85</v>
      </c>
      <c r="AE34" s="55">
        <v>34.85</v>
      </c>
      <c r="AF34" s="55">
        <f>AD34-AE34</f>
        <v>300</v>
      </c>
      <c r="AG34" s="61"/>
      <c r="AH34" s="77">
        <f>(SUM(Y34:Z34)/(1+10/100))*(10/100)</f>
        <v>20.327272727272728</v>
      </c>
      <c r="AI34" s="61"/>
    </row>
    <row r="35" spans="1:35" ht="12.75" x14ac:dyDescent="0.2">
      <c r="AH35" s="41"/>
    </row>
    <row r="36" spans="1:35" ht="12.75" x14ac:dyDescent="0.2">
      <c r="AH36" s="41"/>
    </row>
    <row r="37" spans="1:35" ht="51" x14ac:dyDescent="0.2">
      <c r="A37" s="52" t="s">
        <v>135</v>
      </c>
      <c r="B37" s="53">
        <v>45696</v>
      </c>
      <c r="C37" s="54"/>
      <c r="D37" s="54"/>
      <c r="E37" s="54"/>
      <c r="F37" s="54"/>
      <c r="G37" s="54"/>
      <c r="H37" s="54"/>
      <c r="I37" s="54"/>
      <c r="J37" s="55" t="s">
        <v>141</v>
      </c>
      <c r="K37" s="56"/>
      <c r="L37" s="52" t="s">
        <v>136</v>
      </c>
      <c r="M37" s="53">
        <v>45696</v>
      </c>
      <c r="N37" s="54"/>
      <c r="O37" s="54"/>
      <c r="P37" s="54"/>
      <c r="Q37" s="54"/>
      <c r="R37" s="54"/>
      <c r="S37" s="54"/>
      <c r="T37" s="54"/>
      <c r="U37" s="54"/>
      <c r="V37" s="54"/>
      <c r="W37" s="55" t="s">
        <v>141</v>
      </c>
      <c r="X37" s="57" t="s">
        <v>192</v>
      </c>
      <c r="Y37" s="58" t="s">
        <v>142</v>
      </c>
      <c r="Z37" s="59" t="s">
        <v>193</v>
      </c>
      <c r="AA37" s="60" t="s">
        <v>194</v>
      </c>
      <c r="AB37" s="57" t="s">
        <v>165</v>
      </c>
      <c r="AC37" s="55" t="s">
        <v>195</v>
      </c>
      <c r="AD37" s="55" t="s">
        <v>196</v>
      </c>
      <c r="AE37" s="57" t="s">
        <v>197</v>
      </c>
      <c r="AF37" s="55" t="s">
        <v>198</v>
      </c>
      <c r="AG37" s="61"/>
      <c r="AH37" s="77"/>
      <c r="AI37" s="61"/>
    </row>
    <row r="38" spans="1:35" ht="12.75" x14ac:dyDescent="0.2">
      <c r="A38" s="55" t="s">
        <v>199</v>
      </c>
      <c r="B38" s="62">
        <v>0.05</v>
      </c>
      <c r="C38" s="62">
        <v>0.1</v>
      </c>
      <c r="D38" s="62">
        <v>0.2</v>
      </c>
      <c r="E38" s="62">
        <v>0.5</v>
      </c>
      <c r="F38" s="62">
        <v>1</v>
      </c>
      <c r="G38" s="62">
        <v>2</v>
      </c>
      <c r="H38" s="62">
        <v>5</v>
      </c>
      <c r="I38" s="62">
        <v>10</v>
      </c>
      <c r="K38" s="56"/>
      <c r="L38" s="55" t="s">
        <v>199</v>
      </c>
      <c r="M38" s="62">
        <v>0.05</v>
      </c>
      <c r="N38" s="62">
        <v>0.1</v>
      </c>
      <c r="O38" s="62">
        <v>0.2</v>
      </c>
      <c r="P38" s="62">
        <v>0.5</v>
      </c>
      <c r="Q38" s="62">
        <v>1</v>
      </c>
      <c r="R38" s="62">
        <v>2</v>
      </c>
      <c r="S38" s="62">
        <v>5</v>
      </c>
      <c r="T38" s="62">
        <v>10</v>
      </c>
      <c r="U38" s="62">
        <v>20</v>
      </c>
      <c r="V38" s="62">
        <v>50</v>
      </c>
      <c r="W38" s="54"/>
      <c r="X38" s="127"/>
      <c r="Z38" s="63"/>
      <c r="AA38" s="64"/>
      <c r="AB38" s="54"/>
      <c r="AC38" s="54"/>
      <c r="AD38" s="54"/>
      <c r="AE38" s="54"/>
      <c r="AF38" s="54"/>
      <c r="AH38" s="41"/>
    </row>
    <row r="39" spans="1:35" ht="12.75" x14ac:dyDescent="0.2">
      <c r="A39" s="55" t="s">
        <v>200</v>
      </c>
      <c r="B39" s="38">
        <v>76</v>
      </c>
      <c r="C39" s="38">
        <v>50</v>
      </c>
      <c r="D39" s="38">
        <v>22</v>
      </c>
      <c r="E39" s="38">
        <v>3</v>
      </c>
      <c r="F39" s="38">
        <v>8</v>
      </c>
      <c r="G39" s="38">
        <v>5</v>
      </c>
      <c r="H39" s="65">
        <v>1</v>
      </c>
      <c r="I39" s="65"/>
      <c r="J39" s="54"/>
      <c r="K39" s="56"/>
      <c r="L39" s="55" t="s">
        <v>200</v>
      </c>
      <c r="M39" s="38">
        <v>81</v>
      </c>
      <c r="N39" s="38">
        <v>58</v>
      </c>
      <c r="O39" s="38">
        <v>10</v>
      </c>
      <c r="P39" s="38">
        <v>1</v>
      </c>
      <c r="Q39" s="38">
        <v>4</v>
      </c>
      <c r="R39" s="38">
        <v>4</v>
      </c>
      <c r="S39" s="65">
        <v>7</v>
      </c>
      <c r="T39" s="65">
        <v>3</v>
      </c>
      <c r="U39" s="65">
        <v>9</v>
      </c>
      <c r="V39" s="65">
        <v>0</v>
      </c>
      <c r="W39" s="65"/>
      <c r="X39" s="128"/>
      <c r="Y39" s="65"/>
      <c r="Z39" s="65"/>
      <c r="AA39" s="65"/>
      <c r="AB39" s="54"/>
      <c r="AC39" s="54"/>
      <c r="AD39" s="54"/>
      <c r="AE39" s="54"/>
      <c r="AF39" s="54"/>
      <c r="AH39" s="41"/>
    </row>
    <row r="40" spans="1:35" ht="12.75" x14ac:dyDescent="0.2">
      <c r="A40" s="55" t="s">
        <v>141</v>
      </c>
      <c r="B40" s="65">
        <f t="shared" ref="B40:I40" si="12">B39*B38</f>
        <v>3.8000000000000003</v>
      </c>
      <c r="C40" s="65">
        <f t="shared" si="12"/>
        <v>5</v>
      </c>
      <c r="D40" s="65">
        <f t="shared" si="12"/>
        <v>4.4000000000000004</v>
      </c>
      <c r="E40" s="65">
        <f t="shared" si="12"/>
        <v>1.5</v>
      </c>
      <c r="F40" s="65">
        <f t="shared" si="12"/>
        <v>8</v>
      </c>
      <c r="G40" s="65">
        <f t="shared" si="12"/>
        <v>10</v>
      </c>
      <c r="H40" s="65">
        <f t="shared" si="12"/>
        <v>5</v>
      </c>
      <c r="I40" s="65">
        <f t="shared" si="12"/>
        <v>0</v>
      </c>
      <c r="J40" s="54">
        <f>SUM(B40:I40)</f>
        <v>37.700000000000003</v>
      </c>
      <c r="K40" s="56"/>
      <c r="L40" s="55" t="s">
        <v>141</v>
      </c>
      <c r="M40" s="70">
        <f t="shared" ref="M40:V40" si="13">M39*M38</f>
        <v>4.05</v>
      </c>
      <c r="N40" s="70">
        <f t="shared" si="13"/>
        <v>5.8000000000000007</v>
      </c>
      <c r="O40" s="70">
        <f t="shared" si="13"/>
        <v>2</v>
      </c>
      <c r="P40" s="70">
        <f t="shared" si="13"/>
        <v>0.5</v>
      </c>
      <c r="Q40" s="70">
        <f t="shared" si="13"/>
        <v>4</v>
      </c>
      <c r="R40" s="70">
        <f t="shared" si="13"/>
        <v>8</v>
      </c>
      <c r="S40" s="70">
        <f t="shared" si="13"/>
        <v>35</v>
      </c>
      <c r="T40" s="70">
        <f t="shared" si="13"/>
        <v>30</v>
      </c>
      <c r="U40" s="70">
        <f t="shared" si="13"/>
        <v>180</v>
      </c>
      <c r="V40" s="70">
        <f t="shared" si="13"/>
        <v>0</v>
      </c>
      <c r="W40" s="54">
        <f>SUM(M40:V40)</f>
        <v>269.35000000000002</v>
      </c>
      <c r="X40" s="55">
        <f>W40-J40</f>
        <v>231.65000000000003</v>
      </c>
      <c r="Y40" s="63">
        <v>116.7</v>
      </c>
      <c r="Z40" s="63">
        <v>35.6</v>
      </c>
      <c r="AA40" s="66">
        <f>X40+Z40</f>
        <v>267.25000000000006</v>
      </c>
      <c r="AB40" s="55">
        <v>50</v>
      </c>
      <c r="AC40" s="55">
        <f>Y40-AB40</f>
        <v>66.7</v>
      </c>
      <c r="AD40" s="55">
        <f>X40-Y40</f>
        <v>114.95000000000003</v>
      </c>
      <c r="AE40" s="55">
        <v>60</v>
      </c>
      <c r="AF40" s="55">
        <f>AD40-AE40</f>
        <v>54.950000000000031</v>
      </c>
      <c r="AG40" s="61"/>
      <c r="AH40" s="77">
        <f>(SUM(Y40:Z40)/(1+10/100))*(10/100)</f>
        <v>13.845454545454547</v>
      </c>
      <c r="AI40" s="61"/>
    </row>
    <row r="41" spans="1:35" ht="12.75" x14ac:dyDescent="0.2">
      <c r="AC41" s="38">
        <v>-36.700000000000003</v>
      </c>
      <c r="AH41" s="41"/>
    </row>
    <row r="42" spans="1:35" ht="12.75" x14ac:dyDescent="0.2">
      <c r="AH42" s="41"/>
    </row>
    <row r="43" spans="1:35" ht="51" x14ac:dyDescent="0.2">
      <c r="A43" s="52" t="s">
        <v>135</v>
      </c>
      <c r="B43" s="53">
        <v>45698</v>
      </c>
      <c r="C43" s="54"/>
      <c r="D43" s="54"/>
      <c r="E43" s="54"/>
      <c r="F43" s="54"/>
      <c r="G43" s="54"/>
      <c r="H43" s="54"/>
      <c r="I43" s="54"/>
      <c r="J43" s="55" t="s">
        <v>141</v>
      </c>
      <c r="K43" s="56"/>
      <c r="L43" s="52" t="s">
        <v>136</v>
      </c>
      <c r="M43" s="53">
        <v>45698</v>
      </c>
      <c r="N43" s="54"/>
      <c r="O43" s="54"/>
      <c r="P43" s="54"/>
      <c r="Q43" s="54"/>
      <c r="R43" s="54"/>
      <c r="S43" s="54"/>
      <c r="T43" s="54"/>
      <c r="U43" s="54"/>
      <c r="V43" s="54"/>
      <c r="W43" s="55" t="s">
        <v>141</v>
      </c>
      <c r="X43" s="57" t="s">
        <v>192</v>
      </c>
      <c r="Y43" s="58" t="s">
        <v>142</v>
      </c>
      <c r="Z43" s="59" t="s">
        <v>193</v>
      </c>
      <c r="AA43" s="60" t="s">
        <v>194</v>
      </c>
      <c r="AB43" s="57" t="s">
        <v>165</v>
      </c>
      <c r="AC43" s="55" t="s">
        <v>195</v>
      </c>
      <c r="AD43" s="55" t="s">
        <v>196</v>
      </c>
      <c r="AE43" s="57" t="s">
        <v>197</v>
      </c>
      <c r="AF43" s="55" t="s">
        <v>198</v>
      </c>
      <c r="AG43" s="61"/>
      <c r="AH43" s="77"/>
      <c r="AI43" s="61"/>
    </row>
    <row r="44" spans="1:35" ht="12.75" x14ac:dyDescent="0.2">
      <c r="A44" s="55" t="s">
        <v>199</v>
      </c>
      <c r="B44" s="62">
        <v>0.05</v>
      </c>
      <c r="C44" s="62">
        <v>0.1</v>
      </c>
      <c r="D44" s="62">
        <v>0.2</v>
      </c>
      <c r="E44" s="62">
        <v>0.5</v>
      </c>
      <c r="F44" s="62">
        <v>1</v>
      </c>
      <c r="G44" s="62">
        <v>2</v>
      </c>
      <c r="H44" s="62">
        <v>5</v>
      </c>
      <c r="I44" s="62">
        <v>10</v>
      </c>
      <c r="K44" s="56"/>
      <c r="L44" s="55" t="s">
        <v>199</v>
      </c>
      <c r="M44" s="62">
        <v>0.05</v>
      </c>
      <c r="N44" s="62">
        <v>0.1</v>
      </c>
      <c r="O44" s="62">
        <v>0.2</v>
      </c>
      <c r="P44" s="62">
        <v>0.5</v>
      </c>
      <c r="Q44" s="62">
        <v>1</v>
      </c>
      <c r="R44" s="62">
        <v>2</v>
      </c>
      <c r="S44" s="62">
        <v>5</v>
      </c>
      <c r="T44" s="62">
        <v>10</v>
      </c>
      <c r="U44" s="62">
        <v>20</v>
      </c>
      <c r="V44" s="62">
        <v>50</v>
      </c>
      <c r="W44" s="54"/>
      <c r="X44" s="127"/>
      <c r="Z44" s="63"/>
      <c r="AA44" s="64"/>
      <c r="AB44" s="54"/>
      <c r="AC44" s="54"/>
      <c r="AD44" s="54"/>
      <c r="AE44" s="54"/>
      <c r="AF44" s="54"/>
      <c r="AH44" s="41"/>
    </row>
    <row r="45" spans="1:35" ht="12.75" x14ac:dyDescent="0.2">
      <c r="A45" s="55" t="s">
        <v>200</v>
      </c>
      <c r="B45" s="38">
        <v>81</v>
      </c>
      <c r="C45" s="38">
        <v>58</v>
      </c>
      <c r="D45" s="38">
        <v>10</v>
      </c>
      <c r="E45" s="38">
        <v>1</v>
      </c>
      <c r="F45" s="38">
        <v>4</v>
      </c>
      <c r="G45" s="38">
        <v>4</v>
      </c>
      <c r="H45" s="65">
        <v>2</v>
      </c>
      <c r="I45" s="65"/>
      <c r="J45" s="54"/>
      <c r="K45" s="56"/>
      <c r="L45" s="55" t="s">
        <v>200</v>
      </c>
      <c r="M45" s="38">
        <v>77</v>
      </c>
      <c r="N45" s="38">
        <v>59</v>
      </c>
      <c r="O45" s="38">
        <v>17</v>
      </c>
      <c r="P45" s="38">
        <v>1</v>
      </c>
      <c r="Q45" s="38">
        <v>12</v>
      </c>
      <c r="R45" s="38">
        <v>16</v>
      </c>
      <c r="S45" s="65">
        <v>18</v>
      </c>
      <c r="T45" s="65">
        <v>1</v>
      </c>
      <c r="U45" s="65">
        <v>6</v>
      </c>
      <c r="V45" s="65"/>
      <c r="W45" s="65"/>
      <c r="X45" s="128"/>
      <c r="Y45" s="65"/>
      <c r="Z45" s="65"/>
      <c r="AA45" s="65"/>
      <c r="AB45" s="54"/>
      <c r="AC45" s="54"/>
      <c r="AD45" s="54"/>
      <c r="AE45" s="54"/>
      <c r="AF45" s="54"/>
      <c r="AH45" s="41"/>
    </row>
    <row r="46" spans="1:35" ht="12.75" x14ac:dyDescent="0.2">
      <c r="A46" s="55" t="s">
        <v>141</v>
      </c>
      <c r="B46" s="65">
        <f t="shared" ref="B46:I46" si="14">B45*B44</f>
        <v>4.05</v>
      </c>
      <c r="C46" s="65">
        <f t="shared" si="14"/>
        <v>5.8000000000000007</v>
      </c>
      <c r="D46" s="65">
        <f t="shared" si="14"/>
        <v>2</v>
      </c>
      <c r="E46" s="65">
        <f t="shared" si="14"/>
        <v>0.5</v>
      </c>
      <c r="F46" s="65">
        <f t="shared" si="14"/>
        <v>4</v>
      </c>
      <c r="G46" s="65">
        <f t="shared" si="14"/>
        <v>8</v>
      </c>
      <c r="H46" s="65">
        <f t="shared" si="14"/>
        <v>10</v>
      </c>
      <c r="I46" s="65">
        <f t="shared" si="14"/>
        <v>0</v>
      </c>
      <c r="J46" s="54">
        <f>SUM(B46:I46)</f>
        <v>34.35</v>
      </c>
      <c r="K46" s="56"/>
      <c r="L46" s="55" t="s">
        <v>141</v>
      </c>
      <c r="M46" s="70">
        <f t="shared" ref="M46:V46" si="15">M45*M44</f>
        <v>3.85</v>
      </c>
      <c r="N46" s="70">
        <f t="shared" si="15"/>
        <v>5.9</v>
      </c>
      <c r="O46" s="70">
        <f t="shared" si="15"/>
        <v>3.4000000000000004</v>
      </c>
      <c r="P46" s="70">
        <f t="shared" si="15"/>
        <v>0.5</v>
      </c>
      <c r="Q46" s="70">
        <f t="shared" si="15"/>
        <v>12</v>
      </c>
      <c r="R46" s="70">
        <f t="shared" si="15"/>
        <v>32</v>
      </c>
      <c r="S46" s="70">
        <f t="shared" si="15"/>
        <v>90</v>
      </c>
      <c r="T46" s="70">
        <f t="shared" si="15"/>
        <v>10</v>
      </c>
      <c r="U46" s="70">
        <f t="shared" si="15"/>
        <v>120</v>
      </c>
      <c r="V46" s="70">
        <f t="shared" si="15"/>
        <v>0</v>
      </c>
      <c r="W46" s="54">
        <f>SUM(M46:V46)</f>
        <v>277.64999999999998</v>
      </c>
      <c r="X46" s="55">
        <f>W46-J46</f>
        <v>243.29999999999998</v>
      </c>
      <c r="Y46" s="63">
        <v>112.1</v>
      </c>
      <c r="Z46" s="63">
        <v>36.5</v>
      </c>
      <c r="AA46" s="66">
        <f>X46+Z46</f>
        <v>279.79999999999995</v>
      </c>
      <c r="AB46" s="55">
        <v>112.1</v>
      </c>
      <c r="AC46" s="55">
        <f>Y46-AB46</f>
        <v>0</v>
      </c>
      <c r="AD46" s="55">
        <f>X46-Y46</f>
        <v>131.19999999999999</v>
      </c>
      <c r="AE46" s="55">
        <v>50</v>
      </c>
      <c r="AF46" s="55">
        <f>AD46-AE46</f>
        <v>81.199999999999989</v>
      </c>
      <c r="AG46" s="61" t="s">
        <v>246</v>
      </c>
      <c r="AH46" s="77">
        <f>(SUM(Y46:Z46)/(1+10/100))*(10/100)</f>
        <v>13.509090909090908</v>
      </c>
      <c r="AI46" s="61"/>
    </row>
    <row r="47" spans="1:35" ht="12.75" x14ac:dyDescent="0.2">
      <c r="AH47" s="41"/>
    </row>
    <row r="48" spans="1:35" ht="12.75" x14ac:dyDescent="0.2">
      <c r="AH48" s="41"/>
    </row>
    <row r="49" spans="1:35" ht="51" x14ac:dyDescent="0.2">
      <c r="A49" s="52" t="s">
        <v>135</v>
      </c>
      <c r="B49" s="53">
        <v>45699</v>
      </c>
      <c r="C49" s="54"/>
      <c r="D49" s="54"/>
      <c r="E49" s="54"/>
      <c r="F49" s="54"/>
      <c r="G49" s="54"/>
      <c r="H49" s="54"/>
      <c r="I49" s="54"/>
      <c r="J49" s="55"/>
      <c r="K49" s="56"/>
      <c r="L49" s="52" t="s">
        <v>136</v>
      </c>
      <c r="M49" s="53">
        <v>45699</v>
      </c>
      <c r="N49" s="54"/>
      <c r="O49" s="54"/>
      <c r="P49" s="54"/>
      <c r="Q49" s="54"/>
      <c r="R49" s="54"/>
      <c r="S49" s="54"/>
      <c r="T49" s="54"/>
      <c r="U49" s="54"/>
      <c r="V49" s="54"/>
      <c r="W49" s="55" t="s">
        <v>141</v>
      </c>
      <c r="X49" s="57" t="s">
        <v>192</v>
      </c>
      <c r="Y49" s="58" t="s">
        <v>142</v>
      </c>
      <c r="Z49" s="59" t="s">
        <v>193</v>
      </c>
      <c r="AA49" s="60" t="s">
        <v>194</v>
      </c>
      <c r="AB49" s="57" t="s">
        <v>165</v>
      </c>
      <c r="AC49" s="55" t="s">
        <v>195</v>
      </c>
      <c r="AD49" s="55" t="s">
        <v>196</v>
      </c>
      <c r="AE49" s="57" t="s">
        <v>197</v>
      </c>
      <c r="AF49" s="55" t="s">
        <v>198</v>
      </c>
      <c r="AG49" s="61"/>
      <c r="AH49" s="77"/>
      <c r="AI49" s="61"/>
    </row>
    <row r="50" spans="1:35" ht="12.75" x14ac:dyDescent="0.2">
      <c r="A50" s="55" t="s">
        <v>199</v>
      </c>
      <c r="B50" s="62">
        <v>0.05</v>
      </c>
      <c r="C50" s="62">
        <v>0.1</v>
      </c>
      <c r="D50" s="62">
        <v>0.2</v>
      </c>
      <c r="E50" s="62">
        <v>0.5</v>
      </c>
      <c r="F50" s="62">
        <v>1</v>
      </c>
      <c r="G50" s="62">
        <v>2</v>
      </c>
      <c r="H50" s="62">
        <v>5</v>
      </c>
      <c r="I50" s="62">
        <v>10</v>
      </c>
      <c r="K50" s="56"/>
      <c r="L50" s="55" t="s">
        <v>199</v>
      </c>
      <c r="M50" s="62">
        <v>0.05</v>
      </c>
      <c r="N50" s="62">
        <v>0.1</v>
      </c>
      <c r="O50" s="62">
        <v>0.2</v>
      </c>
      <c r="P50" s="62">
        <v>0.5</v>
      </c>
      <c r="Q50" s="62">
        <v>1</v>
      </c>
      <c r="R50" s="62">
        <v>2</v>
      </c>
      <c r="S50" s="62">
        <v>5</v>
      </c>
      <c r="T50" s="62">
        <v>10</v>
      </c>
      <c r="U50" s="62">
        <v>20</v>
      </c>
      <c r="V50" s="62">
        <v>50</v>
      </c>
      <c r="W50" s="54"/>
      <c r="X50" s="127"/>
      <c r="Z50" s="63"/>
      <c r="AA50" s="64"/>
      <c r="AB50" s="54"/>
      <c r="AC50" s="54"/>
      <c r="AD50" s="54"/>
      <c r="AE50" s="54"/>
      <c r="AF50" s="54"/>
      <c r="AH50" s="41"/>
    </row>
    <row r="51" spans="1:35" ht="12.75" x14ac:dyDescent="0.2">
      <c r="A51" s="55" t="s">
        <v>200</v>
      </c>
      <c r="B51" s="38">
        <v>77</v>
      </c>
      <c r="C51" s="38">
        <v>59</v>
      </c>
      <c r="D51" s="38">
        <v>17</v>
      </c>
      <c r="E51" s="38">
        <v>1</v>
      </c>
      <c r="F51" s="38">
        <v>8</v>
      </c>
      <c r="G51" s="38">
        <v>5</v>
      </c>
      <c r="H51" s="65">
        <v>2</v>
      </c>
      <c r="I51" s="65"/>
      <c r="J51" s="54"/>
      <c r="K51" s="56"/>
      <c r="L51" s="55" t="s">
        <v>200</v>
      </c>
      <c r="N51" s="38">
        <v>59</v>
      </c>
      <c r="O51" s="38">
        <v>28</v>
      </c>
      <c r="P51" s="38">
        <v>8</v>
      </c>
      <c r="Q51" s="38">
        <v>22</v>
      </c>
      <c r="R51" s="38">
        <v>9</v>
      </c>
      <c r="S51" s="65">
        <v>8</v>
      </c>
      <c r="T51" s="65">
        <v>10</v>
      </c>
      <c r="U51" s="65">
        <v>4</v>
      </c>
      <c r="V51" s="65">
        <v>1</v>
      </c>
      <c r="W51" s="65"/>
      <c r="X51" s="128"/>
      <c r="Y51" s="65"/>
      <c r="Z51" s="65"/>
      <c r="AA51" s="65"/>
      <c r="AB51" s="54"/>
      <c r="AC51" s="54"/>
      <c r="AD51" s="54"/>
      <c r="AE51" s="54"/>
      <c r="AF51" s="54"/>
      <c r="AH51" s="41"/>
    </row>
    <row r="52" spans="1:35" ht="12.75" x14ac:dyDescent="0.2">
      <c r="A52" s="55" t="s">
        <v>141</v>
      </c>
      <c r="B52" s="65">
        <f t="shared" ref="B52:I52" si="16">B51*B50</f>
        <v>3.85</v>
      </c>
      <c r="C52" s="65">
        <f t="shared" si="16"/>
        <v>5.9</v>
      </c>
      <c r="D52" s="65">
        <f t="shared" si="16"/>
        <v>3.4000000000000004</v>
      </c>
      <c r="E52" s="65">
        <f t="shared" si="16"/>
        <v>0.5</v>
      </c>
      <c r="F52" s="65">
        <f t="shared" si="16"/>
        <v>8</v>
      </c>
      <c r="G52" s="65">
        <f t="shared" si="16"/>
        <v>10</v>
      </c>
      <c r="H52" s="65">
        <f t="shared" si="16"/>
        <v>10</v>
      </c>
      <c r="I52" s="65">
        <f t="shared" si="16"/>
        <v>0</v>
      </c>
      <c r="J52" s="54">
        <f>SUM(B52:I52)</f>
        <v>41.65</v>
      </c>
      <c r="K52" s="56"/>
      <c r="L52" s="55" t="s">
        <v>141</v>
      </c>
      <c r="M52" s="70">
        <f t="shared" ref="M52:V52" si="17">M51*M50</f>
        <v>0</v>
      </c>
      <c r="N52" s="70">
        <f t="shared" si="17"/>
        <v>5.9</v>
      </c>
      <c r="O52" s="70">
        <f t="shared" si="17"/>
        <v>5.6000000000000005</v>
      </c>
      <c r="P52" s="70">
        <f t="shared" si="17"/>
        <v>4</v>
      </c>
      <c r="Q52" s="70">
        <f t="shared" si="17"/>
        <v>22</v>
      </c>
      <c r="R52" s="70">
        <f t="shared" si="17"/>
        <v>18</v>
      </c>
      <c r="S52" s="70">
        <f t="shared" si="17"/>
        <v>40</v>
      </c>
      <c r="T52" s="70">
        <f t="shared" si="17"/>
        <v>100</v>
      </c>
      <c r="U52" s="70">
        <f t="shared" si="17"/>
        <v>80</v>
      </c>
      <c r="V52" s="70">
        <f t="shared" si="17"/>
        <v>50</v>
      </c>
      <c r="W52" s="54">
        <f>SUM(M52:V52)</f>
        <v>325.5</v>
      </c>
      <c r="X52" s="55">
        <f>W52-J52</f>
        <v>283.85000000000002</v>
      </c>
      <c r="Y52" s="63">
        <v>113.8</v>
      </c>
      <c r="Z52" s="63">
        <v>32.4</v>
      </c>
      <c r="AA52" s="66">
        <f>X52+Z52</f>
        <v>316.25</v>
      </c>
      <c r="AB52" s="55">
        <v>60</v>
      </c>
      <c r="AC52" s="55">
        <f>Y52-AB52</f>
        <v>53.8</v>
      </c>
      <c r="AD52" s="55">
        <f>X52-Y52</f>
        <v>170.05</v>
      </c>
      <c r="AE52" s="55">
        <v>70</v>
      </c>
      <c r="AF52" s="55">
        <f>AD52-AE52</f>
        <v>100.05000000000001</v>
      </c>
      <c r="AG52" s="61" t="s">
        <v>247</v>
      </c>
      <c r="AH52" s="77">
        <f>(SUM(Y52:Z52)/(1+10/100))*(10/100)</f>
        <v>13.290909090909089</v>
      </c>
      <c r="AI52" s="61"/>
    </row>
    <row r="53" spans="1:35" ht="12.75" x14ac:dyDescent="0.2">
      <c r="AB53" s="38" t="s">
        <v>248</v>
      </c>
      <c r="AC53" s="38">
        <v>-3</v>
      </c>
      <c r="AE53" s="38" t="s">
        <v>167</v>
      </c>
      <c r="AG53" s="38" t="s">
        <v>249</v>
      </c>
      <c r="AH53" s="41"/>
      <c r="AI53" s="38"/>
    </row>
    <row r="54" spans="1:35" ht="12.75" x14ac:dyDescent="0.2">
      <c r="AH54" s="41"/>
    </row>
    <row r="55" spans="1:35" ht="51" x14ac:dyDescent="0.2">
      <c r="A55" s="52" t="s">
        <v>135</v>
      </c>
      <c r="B55" s="53">
        <v>45700</v>
      </c>
      <c r="C55" s="54"/>
      <c r="D55" s="54"/>
      <c r="E55" s="54"/>
      <c r="F55" s="54"/>
      <c r="G55" s="54"/>
      <c r="H55" s="54"/>
      <c r="I55" s="54"/>
      <c r="J55" s="55"/>
      <c r="K55" s="56"/>
      <c r="L55" s="52" t="s">
        <v>136</v>
      </c>
      <c r="M55" s="53">
        <v>45700</v>
      </c>
      <c r="N55" s="54"/>
      <c r="O55" s="54"/>
      <c r="P55" s="54"/>
      <c r="Q55" s="54"/>
      <c r="R55" s="54"/>
      <c r="S55" s="54"/>
      <c r="T55" s="54"/>
      <c r="U55" s="54"/>
      <c r="V55" s="54"/>
      <c r="W55" s="55" t="s">
        <v>141</v>
      </c>
      <c r="X55" s="57" t="s">
        <v>192</v>
      </c>
      <c r="Y55" s="58" t="s">
        <v>142</v>
      </c>
      <c r="Z55" s="59" t="s">
        <v>193</v>
      </c>
      <c r="AA55" s="60" t="s">
        <v>194</v>
      </c>
      <c r="AB55" s="57" t="s">
        <v>165</v>
      </c>
      <c r="AC55" s="55" t="s">
        <v>195</v>
      </c>
      <c r="AD55" s="55" t="s">
        <v>196</v>
      </c>
      <c r="AE55" s="57" t="s">
        <v>197</v>
      </c>
      <c r="AF55" s="55" t="s">
        <v>198</v>
      </c>
      <c r="AG55" s="61"/>
      <c r="AH55" s="77"/>
      <c r="AI55" s="61"/>
    </row>
    <row r="56" spans="1:35" ht="12.75" x14ac:dyDescent="0.2">
      <c r="A56" s="55" t="s">
        <v>199</v>
      </c>
      <c r="B56" s="62">
        <v>0.05</v>
      </c>
      <c r="C56" s="62">
        <v>0.1</v>
      </c>
      <c r="D56" s="62">
        <v>0.2</v>
      </c>
      <c r="E56" s="62">
        <v>0.5</v>
      </c>
      <c r="F56" s="62">
        <v>1</v>
      </c>
      <c r="G56" s="62">
        <v>2</v>
      </c>
      <c r="H56" s="62">
        <v>5</v>
      </c>
      <c r="I56" s="62">
        <v>10</v>
      </c>
      <c r="K56" s="56"/>
      <c r="L56" s="55" t="s">
        <v>199</v>
      </c>
      <c r="M56" s="62">
        <v>0.05</v>
      </c>
      <c r="N56" s="62">
        <v>0.1</v>
      </c>
      <c r="O56" s="62">
        <v>0.2</v>
      </c>
      <c r="P56" s="62">
        <v>0.5</v>
      </c>
      <c r="Q56" s="62">
        <v>1</v>
      </c>
      <c r="R56" s="62">
        <v>2</v>
      </c>
      <c r="S56" s="62">
        <v>5</v>
      </c>
      <c r="T56" s="62">
        <v>10</v>
      </c>
      <c r="U56" s="62">
        <v>20</v>
      </c>
      <c r="V56" s="62">
        <v>50</v>
      </c>
      <c r="W56" s="54"/>
      <c r="X56" s="127"/>
      <c r="Z56" s="63"/>
      <c r="AA56" s="64"/>
      <c r="AB56" s="54"/>
      <c r="AC56" s="54"/>
      <c r="AD56" s="54"/>
      <c r="AE56" s="54"/>
      <c r="AF56" s="54"/>
      <c r="AH56" s="41"/>
    </row>
    <row r="57" spans="1:35" ht="12.75" x14ac:dyDescent="0.2">
      <c r="A57" s="55" t="s">
        <v>200</v>
      </c>
      <c r="B57" s="38">
        <v>77</v>
      </c>
      <c r="C57" s="38">
        <v>59</v>
      </c>
      <c r="D57" s="38">
        <v>28</v>
      </c>
      <c r="E57" s="38">
        <v>8</v>
      </c>
      <c r="F57" s="38">
        <v>8</v>
      </c>
      <c r="G57" s="38">
        <v>4</v>
      </c>
      <c r="H57" s="65">
        <v>2</v>
      </c>
      <c r="I57" s="65"/>
      <c r="J57" s="54"/>
      <c r="K57" s="56"/>
      <c r="L57" s="55" t="s">
        <v>200</v>
      </c>
      <c r="M57" s="38">
        <v>82</v>
      </c>
      <c r="N57" s="38">
        <v>72</v>
      </c>
      <c r="O57" s="38">
        <v>38</v>
      </c>
      <c r="P57" s="38">
        <v>12</v>
      </c>
      <c r="Q57" s="38">
        <v>2</v>
      </c>
      <c r="R57" s="38">
        <v>9</v>
      </c>
      <c r="S57" s="65">
        <v>6</v>
      </c>
      <c r="T57" s="65">
        <v>2</v>
      </c>
      <c r="U57" s="65">
        <v>13</v>
      </c>
      <c r="V57" s="65">
        <v>1</v>
      </c>
      <c r="W57" s="65"/>
      <c r="X57" s="128"/>
      <c r="Y57" s="65"/>
      <c r="Z57" s="65"/>
      <c r="AA57" s="65"/>
      <c r="AB57" s="54"/>
      <c r="AC57" s="54"/>
      <c r="AD57" s="54"/>
      <c r="AE57" s="54"/>
      <c r="AF57" s="54"/>
      <c r="AH57" s="41"/>
    </row>
    <row r="58" spans="1:35" ht="12.75" x14ac:dyDescent="0.2">
      <c r="A58" s="55" t="s">
        <v>141</v>
      </c>
      <c r="B58" s="65">
        <f t="shared" ref="B58:I58" si="18">B57*B56</f>
        <v>3.85</v>
      </c>
      <c r="C58" s="65">
        <f t="shared" si="18"/>
        <v>5.9</v>
      </c>
      <c r="D58" s="65">
        <f t="shared" si="18"/>
        <v>5.6000000000000005</v>
      </c>
      <c r="E58" s="65">
        <f t="shared" si="18"/>
        <v>4</v>
      </c>
      <c r="F58" s="65">
        <f t="shared" si="18"/>
        <v>8</v>
      </c>
      <c r="G58" s="65">
        <f t="shared" si="18"/>
        <v>8</v>
      </c>
      <c r="H58" s="65">
        <f t="shared" si="18"/>
        <v>10</v>
      </c>
      <c r="I58" s="65">
        <f t="shared" si="18"/>
        <v>0</v>
      </c>
      <c r="J58" s="54">
        <f>SUM(B58:I58)</f>
        <v>45.35</v>
      </c>
      <c r="K58" s="56"/>
      <c r="L58" s="55" t="s">
        <v>141</v>
      </c>
      <c r="M58" s="70">
        <f t="shared" ref="M58:V58" si="19">M57*M56</f>
        <v>4.1000000000000005</v>
      </c>
      <c r="N58" s="70">
        <f t="shared" si="19"/>
        <v>7.2</v>
      </c>
      <c r="O58" s="70">
        <f t="shared" si="19"/>
        <v>7.6000000000000005</v>
      </c>
      <c r="P58" s="70">
        <f t="shared" si="19"/>
        <v>6</v>
      </c>
      <c r="Q58" s="70">
        <f t="shared" si="19"/>
        <v>2</v>
      </c>
      <c r="R58" s="70">
        <f t="shared" si="19"/>
        <v>18</v>
      </c>
      <c r="S58" s="70">
        <f t="shared" si="19"/>
        <v>30</v>
      </c>
      <c r="T58" s="70">
        <f t="shared" si="19"/>
        <v>20</v>
      </c>
      <c r="U58" s="70">
        <f t="shared" si="19"/>
        <v>260</v>
      </c>
      <c r="V58" s="70">
        <f t="shared" si="19"/>
        <v>50</v>
      </c>
      <c r="W58" s="54">
        <f>SUM(M58:V58)</f>
        <v>404.9</v>
      </c>
      <c r="X58" s="55">
        <f>W58-J58</f>
        <v>359.54999999999995</v>
      </c>
      <c r="Y58" s="65">
        <v>84</v>
      </c>
      <c r="Z58" s="65">
        <v>57.9</v>
      </c>
      <c r="AA58" s="66">
        <f>X58+Z58</f>
        <v>417.44999999999993</v>
      </c>
      <c r="AB58" s="55">
        <v>40</v>
      </c>
      <c r="AC58" s="55">
        <f>Y58-AB58</f>
        <v>44</v>
      </c>
      <c r="AD58" s="55">
        <f>X58-Y58</f>
        <v>275.54999999999995</v>
      </c>
      <c r="AE58" s="55">
        <v>60</v>
      </c>
      <c r="AF58" s="55">
        <f>AD58-AE58</f>
        <v>215.54999999999995</v>
      </c>
      <c r="AG58" s="61"/>
      <c r="AH58" s="77">
        <f>(SUM(Y58:Z58)/(1+10/100))*(10/100)</f>
        <v>12.9</v>
      </c>
      <c r="AI58" s="61"/>
    </row>
    <row r="59" spans="1:35" ht="12.75" x14ac:dyDescent="0.2">
      <c r="AE59" s="38" t="s">
        <v>250</v>
      </c>
      <c r="AF59" s="38">
        <v>-5.55</v>
      </c>
      <c r="AG59" s="38" t="s">
        <v>251</v>
      </c>
      <c r="AH59" s="41"/>
      <c r="AI59" s="38"/>
    </row>
    <row r="60" spans="1:35" ht="12.75" x14ac:dyDescent="0.2">
      <c r="AH60" s="41"/>
    </row>
    <row r="61" spans="1:35" ht="51" x14ac:dyDescent="0.2">
      <c r="A61" s="52" t="s">
        <v>135</v>
      </c>
      <c r="B61" s="53">
        <v>45701</v>
      </c>
      <c r="C61" s="54"/>
      <c r="D61" s="54"/>
      <c r="E61" s="54"/>
      <c r="F61" s="54"/>
      <c r="G61" s="54"/>
      <c r="H61" s="54"/>
      <c r="I61" s="54"/>
      <c r="J61" s="55"/>
      <c r="K61" s="56"/>
      <c r="L61" s="52" t="s">
        <v>136</v>
      </c>
      <c r="M61" s="53">
        <v>45701</v>
      </c>
      <c r="N61" s="54"/>
      <c r="O61" s="54"/>
      <c r="P61" s="54"/>
      <c r="Q61" s="54"/>
      <c r="R61" s="54"/>
      <c r="S61" s="54"/>
      <c r="T61" s="54"/>
      <c r="U61" s="54"/>
      <c r="V61" s="54"/>
      <c r="W61" s="55" t="s">
        <v>141</v>
      </c>
      <c r="X61" s="57" t="s">
        <v>192</v>
      </c>
      <c r="Y61" s="58" t="s">
        <v>142</v>
      </c>
      <c r="Z61" s="59" t="s">
        <v>193</v>
      </c>
      <c r="AA61" s="60" t="s">
        <v>194</v>
      </c>
      <c r="AB61" s="57" t="s">
        <v>165</v>
      </c>
      <c r="AC61" s="55" t="s">
        <v>195</v>
      </c>
      <c r="AD61" s="55" t="s">
        <v>196</v>
      </c>
      <c r="AE61" s="57" t="s">
        <v>197</v>
      </c>
      <c r="AF61" s="55" t="s">
        <v>198</v>
      </c>
      <c r="AG61" s="61"/>
      <c r="AH61" s="77"/>
      <c r="AI61" s="61"/>
    </row>
    <row r="62" spans="1:35" ht="12.75" x14ac:dyDescent="0.2">
      <c r="A62" s="55" t="s">
        <v>199</v>
      </c>
      <c r="B62" s="62">
        <v>0.05</v>
      </c>
      <c r="C62" s="62">
        <v>0.1</v>
      </c>
      <c r="D62" s="62">
        <v>0.2</v>
      </c>
      <c r="E62" s="62">
        <v>0.5</v>
      </c>
      <c r="F62" s="62">
        <v>1</v>
      </c>
      <c r="G62" s="62">
        <v>2</v>
      </c>
      <c r="H62" s="62">
        <v>5</v>
      </c>
      <c r="I62" s="62">
        <v>10</v>
      </c>
      <c r="K62" s="56"/>
      <c r="L62" s="55" t="s">
        <v>199</v>
      </c>
      <c r="M62" s="62">
        <v>0.05</v>
      </c>
      <c r="N62" s="62">
        <v>0.1</v>
      </c>
      <c r="O62" s="62">
        <v>0.2</v>
      </c>
      <c r="P62" s="62">
        <v>0.5</v>
      </c>
      <c r="Q62" s="62">
        <v>1</v>
      </c>
      <c r="R62" s="62">
        <v>2</v>
      </c>
      <c r="S62" s="62">
        <v>5</v>
      </c>
      <c r="T62" s="62">
        <v>10</v>
      </c>
      <c r="U62" s="62">
        <v>20</v>
      </c>
      <c r="V62" s="62">
        <v>50</v>
      </c>
      <c r="W62" s="54"/>
      <c r="X62" s="127"/>
      <c r="Y62" s="54"/>
      <c r="Z62" s="63"/>
      <c r="AA62" s="64"/>
      <c r="AB62" s="54"/>
      <c r="AC62" s="54"/>
      <c r="AD62" s="54"/>
      <c r="AE62" s="54"/>
      <c r="AF62" s="54"/>
      <c r="AH62" s="41"/>
    </row>
    <row r="63" spans="1:35" ht="12.75" x14ac:dyDescent="0.2">
      <c r="A63" s="55" t="s">
        <v>200</v>
      </c>
      <c r="B63" s="38">
        <v>82</v>
      </c>
      <c r="C63" s="38">
        <v>72</v>
      </c>
      <c r="D63" s="38">
        <v>38</v>
      </c>
      <c r="E63" s="38">
        <v>8</v>
      </c>
      <c r="F63" s="38">
        <v>10</v>
      </c>
      <c r="G63" s="38">
        <v>4</v>
      </c>
      <c r="H63" s="65">
        <v>2</v>
      </c>
      <c r="I63" s="65"/>
      <c r="J63" s="54"/>
      <c r="K63" s="56"/>
      <c r="L63" s="55" t="s">
        <v>200</v>
      </c>
      <c r="M63" s="38">
        <v>87</v>
      </c>
      <c r="N63" s="38">
        <v>77</v>
      </c>
      <c r="O63" s="38">
        <v>32</v>
      </c>
      <c r="P63" s="38">
        <v>5</v>
      </c>
      <c r="Q63" s="38">
        <v>17</v>
      </c>
      <c r="R63" s="38">
        <v>7</v>
      </c>
      <c r="S63" s="65">
        <v>13</v>
      </c>
      <c r="T63" s="65">
        <v>8</v>
      </c>
      <c r="U63" s="65">
        <v>9</v>
      </c>
      <c r="V63" s="38">
        <v>0</v>
      </c>
      <c r="W63" s="54"/>
      <c r="X63" s="128"/>
      <c r="Y63" s="54"/>
      <c r="Z63" s="54"/>
      <c r="AA63" s="54"/>
      <c r="AB63" s="54"/>
      <c r="AC63" s="54"/>
      <c r="AD63" s="65"/>
      <c r="AE63" s="65"/>
      <c r="AF63" s="54"/>
      <c r="AH63" s="41"/>
    </row>
    <row r="64" spans="1:35" ht="12.75" x14ac:dyDescent="0.2">
      <c r="A64" s="55" t="s">
        <v>141</v>
      </c>
      <c r="B64" s="65">
        <f t="shared" ref="B64:I64" si="20">B63*B62</f>
        <v>4.1000000000000005</v>
      </c>
      <c r="C64" s="65">
        <f t="shared" si="20"/>
        <v>7.2</v>
      </c>
      <c r="D64" s="65">
        <f t="shared" si="20"/>
        <v>7.6000000000000005</v>
      </c>
      <c r="E64" s="65">
        <f t="shared" si="20"/>
        <v>4</v>
      </c>
      <c r="F64" s="65">
        <f t="shared" si="20"/>
        <v>10</v>
      </c>
      <c r="G64" s="65">
        <f t="shared" si="20"/>
        <v>8</v>
      </c>
      <c r="H64" s="65">
        <f t="shared" si="20"/>
        <v>10</v>
      </c>
      <c r="I64" s="65">
        <f t="shared" si="20"/>
        <v>0</v>
      </c>
      <c r="J64" s="54">
        <f>SUM(B64:I64)</f>
        <v>50.900000000000006</v>
      </c>
      <c r="K64" s="56"/>
      <c r="L64" s="55" t="s">
        <v>141</v>
      </c>
      <c r="M64" s="70">
        <f t="shared" ref="M64:V64" si="21">M63*M62</f>
        <v>4.3500000000000005</v>
      </c>
      <c r="N64" s="70">
        <f t="shared" si="21"/>
        <v>7.7</v>
      </c>
      <c r="O64" s="70">
        <f t="shared" si="21"/>
        <v>6.4</v>
      </c>
      <c r="P64" s="70">
        <f t="shared" si="21"/>
        <v>2.5</v>
      </c>
      <c r="Q64" s="70">
        <f t="shared" si="21"/>
        <v>17</v>
      </c>
      <c r="R64" s="70">
        <f t="shared" si="21"/>
        <v>14</v>
      </c>
      <c r="S64" s="70">
        <f t="shared" si="21"/>
        <v>65</v>
      </c>
      <c r="T64" s="70">
        <f t="shared" si="21"/>
        <v>80</v>
      </c>
      <c r="U64" s="70">
        <f t="shared" si="21"/>
        <v>180</v>
      </c>
      <c r="V64" s="70">
        <f t="shared" si="21"/>
        <v>0</v>
      </c>
      <c r="W64" s="54">
        <f>SUM(M64:V64)</f>
        <v>376.95</v>
      </c>
      <c r="X64" s="55">
        <f>W64-J64</f>
        <v>326.04999999999995</v>
      </c>
      <c r="Y64" s="63">
        <v>199.3</v>
      </c>
      <c r="Z64" s="63">
        <v>56.3</v>
      </c>
      <c r="AA64" s="66">
        <f>X64+Z64</f>
        <v>382.34999999999997</v>
      </c>
      <c r="AB64" s="55">
        <v>60</v>
      </c>
      <c r="AC64" s="55">
        <f>Y64-AB64</f>
        <v>139.30000000000001</v>
      </c>
      <c r="AD64" s="55">
        <f>X64-Y64</f>
        <v>126.74999999999994</v>
      </c>
      <c r="AE64" s="55">
        <v>26.75</v>
      </c>
      <c r="AF64" s="55">
        <f>AD64-AE64</f>
        <v>99.999999999999943</v>
      </c>
      <c r="AG64" s="61" t="s">
        <v>150</v>
      </c>
      <c r="AH64" s="77">
        <f>(SUM(Y64:Z64)/(1+10/100))*(10/100)</f>
        <v>23.236363636363638</v>
      </c>
      <c r="AI64" s="61"/>
    </row>
    <row r="65" spans="1:35" ht="12.75" x14ac:dyDescent="0.2">
      <c r="AC65" s="38">
        <v>-39.299999999999997</v>
      </c>
      <c r="AH65" s="41"/>
    </row>
    <row r="66" spans="1:35" ht="12.75" x14ac:dyDescent="0.2">
      <c r="AH66" s="41"/>
    </row>
    <row r="67" spans="1:35" ht="24.75" customHeight="1" x14ac:dyDescent="0.2">
      <c r="A67" s="52" t="s">
        <v>135</v>
      </c>
      <c r="B67" s="53">
        <v>45702</v>
      </c>
      <c r="C67" s="54"/>
      <c r="D67" s="54"/>
      <c r="E67" s="54"/>
      <c r="F67" s="54"/>
      <c r="G67" s="54"/>
      <c r="H67" s="54"/>
      <c r="I67" s="54"/>
      <c r="J67" s="55"/>
      <c r="K67" s="56"/>
      <c r="L67" s="52" t="s">
        <v>136</v>
      </c>
      <c r="M67" s="53">
        <v>45702</v>
      </c>
      <c r="N67" s="54"/>
      <c r="O67" s="54"/>
      <c r="P67" s="54"/>
      <c r="Q67" s="54"/>
      <c r="R67" s="54"/>
      <c r="S67" s="54"/>
      <c r="T67" s="54"/>
      <c r="U67" s="54"/>
      <c r="V67" s="54"/>
      <c r="W67" s="55" t="s">
        <v>141</v>
      </c>
      <c r="X67" s="57" t="s">
        <v>192</v>
      </c>
      <c r="Y67" s="58" t="s">
        <v>142</v>
      </c>
      <c r="Z67" s="59" t="s">
        <v>193</v>
      </c>
      <c r="AA67" s="60" t="s">
        <v>194</v>
      </c>
      <c r="AB67" s="57" t="s">
        <v>165</v>
      </c>
      <c r="AC67" s="55" t="s">
        <v>195</v>
      </c>
      <c r="AD67" s="55" t="s">
        <v>196</v>
      </c>
      <c r="AE67" s="57" t="s">
        <v>197</v>
      </c>
      <c r="AF67" s="55" t="s">
        <v>198</v>
      </c>
      <c r="AG67" s="61"/>
      <c r="AH67" s="77"/>
      <c r="AI67" s="61"/>
    </row>
    <row r="68" spans="1:35" ht="12.75" x14ac:dyDescent="0.2">
      <c r="A68" s="55" t="s">
        <v>199</v>
      </c>
      <c r="B68" s="62">
        <v>0.05</v>
      </c>
      <c r="C68" s="62">
        <v>0.1</v>
      </c>
      <c r="D68" s="62">
        <v>0.2</v>
      </c>
      <c r="E68" s="62">
        <v>0.5</v>
      </c>
      <c r="F68" s="62">
        <v>1</v>
      </c>
      <c r="G68" s="62">
        <v>2</v>
      </c>
      <c r="H68" s="62">
        <v>5</v>
      </c>
      <c r="I68" s="62">
        <v>10</v>
      </c>
      <c r="K68" s="56"/>
      <c r="L68" s="55" t="s">
        <v>199</v>
      </c>
      <c r="M68" s="62">
        <v>0.05</v>
      </c>
      <c r="N68" s="62">
        <v>0.1</v>
      </c>
      <c r="O68" s="62">
        <v>0.2</v>
      </c>
      <c r="P68" s="62">
        <v>0.5</v>
      </c>
      <c r="Q68" s="62">
        <v>1</v>
      </c>
      <c r="R68" s="62">
        <v>2</v>
      </c>
      <c r="S68" s="62">
        <v>5</v>
      </c>
      <c r="T68" s="62">
        <v>10</v>
      </c>
      <c r="U68" s="62">
        <v>20</v>
      </c>
      <c r="V68" s="62">
        <v>50</v>
      </c>
      <c r="W68" s="54"/>
      <c r="X68" s="54"/>
      <c r="Z68" s="63"/>
      <c r="AA68" s="64"/>
      <c r="AB68" s="54"/>
      <c r="AC68" s="54"/>
      <c r="AD68" s="54"/>
      <c r="AE68" s="54"/>
      <c r="AF68" s="54"/>
      <c r="AH68" s="41"/>
    </row>
    <row r="69" spans="1:35" ht="12.75" x14ac:dyDescent="0.2">
      <c r="A69" s="55" t="s">
        <v>200</v>
      </c>
      <c r="B69" s="38">
        <v>87</v>
      </c>
      <c r="C69" s="38">
        <v>77</v>
      </c>
      <c r="D69" s="38">
        <v>32</v>
      </c>
      <c r="E69" s="38">
        <v>5</v>
      </c>
      <c r="F69" s="38">
        <v>10</v>
      </c>
      <c r="G69" s="38">
        <v>5</v>
      </c>
      <c r="H69" s="65">
        <v>2</v>
      </c>
      <c r="I69" s="65"/>
      <c r="J69" s="54"/>
      <c r="K69" s="56"/>
      <c r="L69" s="55" t="s">
        <v>200</v>
      </c>
      <c r="M69" s="38">
        <v>83</v>
      </c>
      <c r="N69" s="38">
        <v>44</v>
      </c>
      <c r="O69" s="65">
        <v>18</v>
      </c>
      <c r="P69" s="65">
        <v>7</v>
      </c>
      <c r="Q69" s="65">
        <v>21</v>
      </c>
      <c r="R69" s="65">
        <v>15</v>
      </c>
      <c r="S69" s="65">
        <v>2</v>
      </c>
      <c r="T69" s="65">
        <v>2</v>
      </c>
      <c r="U69" s="65">
        <v>2</v>
      </c>
      <c r="V69" s="65">
        <v>5</v>
      </c>
      <c r="W69" s="65"/>
      <c r="X69" s="54"/>
      <c r="Z69" s="63"/>
      <c r="AA69" s="64"/>
      <c r="AB69" s="54"/>
      <c r="AC69" s="54"/>
      <c r="AD69" s="54"/>
      <c r="AE69" s="54"/>
      <c r="AF69" s="54"/>
      <c r="AH69" s="41"/>
    </row>
    <row r="70" spans="1:35" ht="12.75" x14ac:dyDescent="0.2">
      <c r="A70" s="55" t="s">
        <v>141</v>
      </c>
      <c r="B70" s="70">
        <f t="shared" ref="B70:I70" si="22">B69*B68</f>
        <v>4.3500000000000005</v>
      </c>
      <c r="C70" s="70">
        <f t="shared" si="22"/>
        <v>7.7</v>
      </c>
      <c r="D70" s="70">
        <f t="shared" si="22"/>
        <v>6.4</v>
      </c>
      <c r="E70" s="70">
        <f t="shared" si="22"/>
        <v>2.5</v>
      </c>
      <c r="F70" s="70">
        <f t="shared" si="22"/>
        <v>10</v>
      </c>
      <c r="G70" s="70">
        <f t="shared" si="22"/>
        <v>10</v>
      </c>
      <c r="H70" s="65">
        <f t="shared" si="22"/>
        <v>10</v>
      </c>
      <c r="I70" s="65">
        <f t="shared" si="22"/>
        <v>0</v>
      </c>
      <c r="J70" s="54">
        <f>SUM(B70:I70)</f>
        <v>50.95</v>
      </c>
      <c r="K70" s="56"/>
      <c r="L70" s="55" t="s">
        <v>141</v>
      </c>
      <c r="M70" s="70">
        <f t="shared" ref="M70:V70" si="23">M69*M68</f>
        <v>4.1500000000000004</v>
      </c>
      <c r="N70" s="70">
        <f t="shared" si="23"/>
        <v>4.4000000000000004</v>
      </c>
      <c r="O70" s="70">
        <f t="shared" si="23"/>
        <v>3.6</v>
      </c>
      <c r="P70" s="70">
        <f t="shared" si="23"/>
        <v>3.5</v>
      </c>
      <c r="Q70" s="70">
        <f t="shared" si="23"/>
        <v>21</v>
      </c>
      <c r="R70" s="70">
        <f t="shared" si="23"/>
        <v>30</v>
      </c>
      <c r="S70" s="70">
        <f t="shared" si="23"/>
        <v>10</v>
      </c>
      <c r="T70" s="70">
        <f t="shared" si="23"/>
        <v>20</v>
      </c>
      <c r="U70" s="70">
        <f t="shared" si="23"/>
        <v>40</v>
      </c>
      <c r="V70" s="70">
        <f t="shared" si="23"/>
        <v>250</v>
      </c>
      <c r="W70" s="54">
        <f>SUM(M70:V70)</f>
        <v>386.65</v>
      </c>
      <c r="X70" s="55">
        <f>W70-J70</f>
        <v>335.7</v>
      </c>
      <c r="Y70" s="63">
        <f>177.2-22</f>
        <v>155.19999999999999</v>
      </c>
      <c r="Z70" s="63">
        <v>57.1</v>
      </c>
      <c r="AA70" s="66">
        <f>X70+Z70</f>
        <v>392.8</v>
      </c>
      <c r="AB70" s="55">
        <v>60</v>
      </c>
      <c r="AC70" s="55">
        <f>Y70-AB70</f>
        <v>95.199999999999989</v>
      </c>
      <c r="AD70" s="55">
        <f>X70-Y70</f>
        <v>180.5</v>
      </c>
      <c r="AE70" s="55">
        <v>30.5</v>
      </c>
      <c r="AF70" s="55">
        <f>AD70-AE70</f>
        <v>150</v>
      </c>
      <c r="AG70" s="61"/>
      <c r="AH70" s="77">
        <f>(SUM(Y70:Z70)/(1+10/100))*(10/100)</f>
        <v>19.299999999999997</v>
      </c>
      <c r="AI70" s="61"/>
    </row>
    <row r="71" spans="1:35" ht="12.75" x14ac:dyDescent="0.2">
      <c r="AB71" s="38" t="s">
        <v>205</v>
      </c>
      <c r="AC71" s="38">
        <v>-35</v>
      </c>
      <c r="AH71" s="41"/>
    </row>
    <row r="72" spans="1:35" ht="12.75" x14ac:dyDescent="0.2">
      <c r="AB72" s="38" t="s">
        <v>167</v>
      </c>
      <c r="AH72" s="41"/>
    </row>
    <row r="73" spans="1:35" ht="24.75" customHeight="1" x14ac:dyDescent="0.2">
      <c r="A73" s="52" t="s">
        <v>135</v>
      </c>
      <c r="B73" s="53">
        <v>45703</v>
      </c>
      <c r="C73" s="54"/>
      <c r="D73" s="54"/>
      <c r="E73" s="54"/>
      <c r="F73" s="54"/>
      <c r="G73" s="54"/>
      <c r="H73" s="54"/>
      <c r="I73" s="54"/>
      <c r="J73" s="55"/>
      <c r="K73" s="56"/>
      <c r="L73" s="52" t="s">
        <v>136</v>
      </c>
      <c r="M73" s="53">
        <v>45703</v>
      </c>
      <c r="N73" s="54"/>
      <c r="O73" s="54"/>
      <c r="P73" s="54"/>
      <c r="Q73" s="54"/>
      <c r="R73" s="54"/>
      <c r="S73" s="54"/>
      <c r="T73" s="54"/>
      <c r="U73" s="54"/>
      <c r="V73" s="54"/>
      <c r="W73" s="55" t="s">
        <v>141</v>
      </c>
      <c r="X73" s="57" t="s">
        <v>192</v>
      </c>
      <c r="Y73" s="58" t="s">
        <v>142</v>
      </c>
      <c r="Z73" s="59" t="s">
        <v>193</v>
      </c>
      <c r="AA73" s="60" t="s">
        <v>194</v>
      </c>
      <c r="AB73" s="57" t="s">
        <v>165</v>
      </c>
      <c r="AC73" s="55" t="s">
        <v>195</v>
      </c>
      <c r="AD73" s="55" t="s">
        <v>196</v>
      </c>
      <c r="AE73" s="57" t="s">
        <v>197</v>
      </c>
      <c r="AF73" s="55" t="s">
        <v>198</v>
      </c>
      <c r="AG73" s="61"/>
      <c r="AH73" s="77"/>
      <c r="AI73" s="61"/>
    </row>
    <row r="74" spans="1:35" ht="12.75" x14ac:dyDescent="0.2">
      <c r="A74" s="55" t="s">
        <v>199</v>
      </c>
      <c r="B74" s="62">
        <v>0.05</v>
      </c>
      <c r="C74" s="62">
        <v>0.1</v>
      </c>
      <c r="D74" s="62">
        <v>0.2</v>
      </c>
      <c r="E74" s="62">
        <v>0.5</v>
      </c>
      <c r="F74" s="62">
        <v>1</v>
      </c>
      <c r="G74" s="62">
        <v>2</v>
      </c>
      <c r="H74" s="62">
        <v>5</v>
      </c>
      <c r="I74" s="62">
        <v>10</v>
      </c>
      <c r="K74" s="56"/>
      <c r="L74" s="55" t="s">
        <v>199</v>
      </c>
      <c r="M74" s="62">
        <v>0.05</v>
      </c>
      <c r="N74" s="62">
        <v>0.1</v>
      </c>
      <c r="O74" s="62">
        <v>0.2</v>
      </c>
      <c r="P74" s="62">
        <v>0.5</v>
      </c>
      <c r="Q74" s="62">
        <v>1</v>
      </c>
      <c r="R74" s="62">
        <v>2</v>
      </c>
      <c r="S74" s="62">
        <v>5</v>
      </c>
      <c r="T74" s="62">
        <v>10</v>
      </c>
      <c r="U74" s="62">
        <v>20</v>
      </c>
      <c r="V74" s="62">
        <v>50</v>
      </c>
      <c r="W74" s="54"/>
      <c r="X74" s="54"/>
      <c r="Z74" s="63"/>
      <c r="AA74" s="64"/>
      <c r="AB74" s="54"/>
      <c r="AC74" s="54"/>
      <c r="AD74" s="54"/>
      <c r="AE74" s="54"/>
      <c r="AF74" s="54"/>
      <c r="AH74" s="41"/>
    </row>
    <row r="75" spans="1:35" ht="12.75" x14ac:dyDescent="0.2">
      <c r="A75" s="55" t="s">
        <v>200</v>
      </c>
      <c r="B75" s="38">
        <v>83</v>
      </c>
      <c r="C75" s="38">
        <v>44</v>
      </c>
      <c r="D75" s="65">
        <v>18</v>
      </c>
      <c r="E75" s="65">
        <v>7</v>
      </c>
      <c r="F75" s="65">
        <v>10</v>
      </c>
      <c r="G75" s="65">
        <v>5</v>
      </c>
      <c r="H75" s="65">
        <v>2</v>
      </c>
      <c r="I75" s="65"/>
      <c r="J75" s="54"/>
      <c r="K75" s="56"/>
      <c r="L75" s="55" t="s">
        <v>200</v>
      </c>
      <c r="M75" s="38">
        <v>84</v>
      </c>
      <c r="N75" s="38">
        <v>45</v>
      </c>
      <c r="O75" s="65">
        <v>17</v>
      </c>
      <c r="P75" s="65">
        <v>1</v>
      </c>
      <c r="Q75" s="65">
        <v>9</v>
      </c>
      <c r="R75" s="65">
        <v>3</v>
      </c>
      <c r="S75" s="65">
        <v>7</v>
      </c>
      <c r="T75" s="65">
        <v>5</v>
      </c>
      <c r="U75" s="65">
        <v>5</v>
      </c>
      <c r="V75" s="65">
        <v>2</v>
      </c>
      <c r="W75" s="65"/>
      <c r="X75" s="54"/>
      <c r="Z75" s="63"/>
      <c r="AA75" s="64"/>
      <c r="AB75" s="54"/>
      <c r="AC75" s="54"/>
      <c r="AD75" s="54"/>
      <c r="AE75" s="54"/>
      <c r="AF75" s="54"/>
      <c r="AH75" s="41"/>
    </row>
    <row r="76" spans="1:35" ht="12.75" x14ac:dyDescent="0.2">
      <c r="A76" s="55" t="s">
        <v>141</v>
      </c>
      <c r="B76" s="70">
        <f t="shared" ref="B76:I76" si="24">B75*B74</f>
        <v>4.1500000000000004</v>
      </c>
      <c r="C76" s="70">
        <f t="shared" si="24"/>
        <v>4.4000000000000004</v>
      </c>
      <c r="D76" s="70">
        <f t="shared" si="24"/>
        <v>3.6</v>
      </c>
      <c r="E76" s="70">
        <f t="shared" si="24"/>
        <v>3.5</v>
      </c>
      <c r="F76" s="70">
        <f t="shared" si="24"/>
        <v>10</v>
      </c>
      <c r="G76" s="70">
        <f t="shared" si="24"/>
        <v>10</v>
      </c>
      <c r="H76" s="65">
        <f t="shared" si="24"/>
        <v>10</v>
      </c>
      <c r="I76" s="65">
        <f t="shared" si="24"/>
        <v>0</v>
      </c>
      <c r="J76" s="54">
        <f>SUM(B76:I76)</f>
        <v>45.65</v>
      </c>
      <c r="K76" s="56"/>
      <c r="L76" s="55" t="s">
        <v>141</v>
      </c>
      <c r="M76" s="70">
        <f t="shared" ref="M76:V76" si="25">M75*M74</f>
        <v>4.2</v>
      </c>
      <c r="N76" s="70">
        <f t="shared" si="25"/>
        <v>4.5</v>
      </c>
      <c r="O76" s="70">
        <f t="shared" si="25"/>
        <v>3.4000000000000004</v>
      </c>
      <c r="P76" s="70">
        <f t="shared" si="25"/>
        <v>0.5</v>
      </c>
      <c r="Q76" s="70">
        <f t="shared" si="25"/>
        <v>9</v>
      </c>
      <c r="R76" s="70">
        <f t="shared" si="25"/>
        <v>6</v>
      </c>
      <c r="S76" s="70">
        <f t="shared" si="25"/>
        <v>35</v>
      </c>
      <c r="T76" s="70">
        <f t="shared" si="25"/>
        <v>50</v>
      </c>
      <c r="U76" s="70">
        <f t="shared" si="25"/>
        <v>100</v>
      </c>
      <c r="V76" s="70">
        <f t="shared" si="25"/>
        <v>100</v>
      </c>
      <c r="W76" s="54">
        <f>SUM(M76:V76)</f>
        <v>312.60000000000002</v>
      </c>
      <c r="X76" s="55">
        <f>W76-J76</f>
        <v>266.95000000000005</v>
      </c>
      <c r="Y76" s="63">
        <v>169.4</v>
      </c>
      <c r="Z76" s="63">
        <v>104.7</v>
      </c>
      <c r="AA76" s="66">
        <f>X76+Z76</f>
        <v>371.65000000000003</v>
      </c>
      <c r="AB76" s="55">
        <v>70</v>
      </c>
      <c r="AC76" s="55">
        <f>Y76-AB76</f>
        <v>99.4</v>
      </c>
      <c r="AD76" s="55">
        <f>X76-Y76</f>
        <v>97.55000000000004</v>
      </c>
      <c r="AE76" s="55"/>
      <c r="AF76" s="55">
        <f>AD76-AE76</f>
        <v>97.55000000000004</v>
      </c>
      <c r="AG76" s="61"/>
      <c r="AH76" s="77">
        <f>(SUM(Y76:Z76)/(1+10/100))*(10/100)</f>
        <v>24.918181818181822</v>
      </c>
      <c r="AI76" s="61"/>
    </row>
    <row r="77" spans="1:35" ht="12.75" x14ac:dyDescent="0.2">
      <c r="AB77" s="38" t="s">
        <v>205</v>
      </c>
      <c r="AC77" s="38">
        <v>-50</v>
      </c>
      <c r="AG77" s="61"/>
      <c r="AH77" s="77"/>
      <c r="AI77" s="61"/>
    </row>
    <row r="78" spans="1:35" ht="12.75" x14ac:dyDescent="0.2">
      <c r="AH78" s="41"/>
    </row>
    <row r="79" spans="1:35" ht="51" x14ac:dyDescent="0.2">
      <c r="A79" s="52" t="s">
        <v>135</v>
      </c>
      <c r="B79" s="53">
        <v>45705</v>
      </c>
      <c r="C79" s="54"/>
      <c r="D79" s="54"/>
      <c r="E79" s="54"/>
      <c r="F79" s="54"/>
      <c r="G79" s="54"/>
      <c r="H79" s="54"/>
      <c r="I79" s="54"/>
      <c r="J79" s="55"/>
      <c r="K79" s="56"/>
      <c r="L79" s="52" t="s">
        <v>136</v>
      </c>
      <c r="M79" s="53">
        <v>45705</v>
      </c>
      <c r="N79" s="54"/>
      <c r="O79" s="54"/>
      <c r="P79" s="54"/>
      <c r="Q79" s="54"/>
      <c r="R79" s="54"/>
      <c r="S79" s="54"/>
      <c r="T79" s="54"/>
      <c r="U79" s="54"/>
      <c r="V79" s="54"/>
      <c r="W79" s="55" t="s">
        <v>141</v>
      </c>
      <c r="X79" s="57" t="s">
        <v>192</v>
      </c>
      <c r="Y79" s="58" t="s">
        <v>142</v>
      </c>
      <c r="Z79" s="59" t="s">
        <v>193</v>
      </c>
      <c r="AA79" s="60" t="s">
        <v>194</v>
      </c>
      <c r="AB79" s="57" t="s">
        <v>165</v>
      </c>
      <c r="AC79" s="55" t="s">
        <v>195</v>
      </c>
      <c r="AD79" s="55" t="s">
        <v>196</v>
      </c>
      <c r="AE79" s="57" t="s">
        <v>197</v>
      </c>
      <c r="AF79" s="55" t="s">
        <v>198</v>
      </c>
      <c r="AG79" s="61"/>
      <c r="AH79" s="77"/>
      <c r="AI79" s="61"/>
    </row>
    <row r="80" spans="1:35" ht="12.75" x14ac:dyDescent="0.2">
      <c r="A80" s="55" t="s">
        <v>199</v>
      </c>
      <c r="B80" s="62">
        <v>0.05</v>
      </c>
      <c r="C80" s="62">
        <v>0.1</v>
      </c>
      <c r="D80" s="62">
        <v>0.2</v>
      </c>
      <c r="E80" s="62">
        <v>0.5</v>
      </c>
      <c r="F80" s="62">
        <v>1</v>
      </c>
      <c r="G80" s="62">
        <v>2</v>
      </c>
      <c r="H80" s="62">
        <v>5</v>
      </c>
      <c r="I80" s="62">
        <v>10</v>
      </c>
      <c r="K80" s="56"/>
      <c r="L80" s="55" t="s">
        <v>199</v>
      </c>
      <c r="M80" s="62">
        <v>0.05</v>
      </c>
      <c r="N80" s="62">
        <v>0.1</v>
      </c>
      <c r="O80" s="62">
        <v>0.2</v>
      </c>
      <c r="P80" s="62">
        <v>0.5</v>
      </c>
      <c r="Q80" s="62">
        <v>1</v>
      </c>
      <c r="R80" s="62">
        <v>2</v>
      </c>
      <c r="S80" s="62">
        <v>5</v>
      </c>
      <c r="T80" s="62">
        <v>10</v>
      </c>
      <c r="U80" s="62">
        <v>20</v>
      </c>
      <c r="V80" s="62">
        <v>50</v>
      </c>
      <c r="W80" s="54"/>
      <c r="X80" s="54"/>
      <c r="Z80" s="63"/>
      <c r="AA80" s="64"/>
      <c r="AB80" s="54"/>
      <c r="AC80" s="54"/>
      <c r="AD80" s="54"/>
      <c r="AE80" s="54"/>
      <c r="AF80" s="54"/>
      <c r="AH80" s="41"/>
    </row>
    <row r="81" spans="1:35" ht="12.75" x14ac:dyDescent="0.2">
      <c r="A81" s="55" t="s">
        <v>200</v>
      </c>
      <c r="B81" s="38">
        <v>84</v>
      </c>
      <c r="C81" s="38">
        <v>45</v>
      </c>
      <c r="D81" s="65">
        <v>17</v>
      </c>
      <c r="E81" s="65">
        <v>3</v>
      </c>
      <c r="F81" s="65">
        <v>8</v>
      </c>
      <c r="G81" s="65">
        <v>3</v>
      </c>
      <c r="H81" s="65">
        <v>2</v>
      </c>
      <c r="I81" s="65"/>
      <c r="J81" s="54"/>
      <c r="K81" s="56"/>
      <c r="L81" s="55" t="s">
        <v>200</v>
      </c>
      <c r="M81" s="38">
        <v>86</v>
      </c>
      <c r="N81" s="38">
        <v>46</v>
      </c>
      <c r="O81" s="65">
        <v>14</v>
      </c>
      <c r="P81" s="65">
        <v>11</v>
      </c>
      <c r="Q81" s="65">
        <v>15</v>
      </c>
      <c r="R81" s="65">
        <v>7</v>
      </c>
      <c r="S81" s="65">
        <v>5</v>
      </c>
      <c r="T81" s="65">
        <v>7</v>
      </c>
      <c r="U81" s="65">
        <v>7</v>
      </c>
      <c r="V81" s="65"/>
      <c r="W81" s="65"/>
      <c r="X81" s="54"/>
      <c r="Z81" s="63"/>
      <c r="AA81" s="64"/>
      <c r="AB81" s="54"/>
      <c r="AC81" s="54"/>
      <c r="AD81" s="54"/>
      <c r="AE81" s="54"/>
      <c r="AF81" s="54"/>
      <c r="AH81" s="41"/>
    </row>
    <row r="82" spans="1:35" ht="12.75" x14ac:dyDescent="0.2">
      <c r="A82" s="55" t="s">
        <v>141</v>
      </c>
      <c r="B82" s="70">
        <f t="shared" ref="B82:I82" si="26">B81*B80</f>
        <v>4.2</v>
      </c>
      <c r="C82" s="70">
        <f t="shared" si="26"/>
        <v>4.5</v>
      </c>
      <c r="D82" s="70">
        <f t="shared" si="26"/>
        <v>3.4000000000000004</v>
      </c>
      <c r="E82" s="70">
        <f t="shared" si="26"/>
        <v>1.5</v>
      </c>
      <c r="F82" s="70">
        <f t="shared" si="26"/>
        <v>8</v>
      </c>
      <c r="G82" s="70">
        <f t="shared" si="26"/>
        <v>6</v>
      </c>
      <c r="H82" s="65">
        <f t="shared" si="26"/>
        <v>10</v>
      </c>
      <c r="I82" s="65">
        <f t="shared" si="26"/>
        <v>0</v>
      </c>
      <c r="J82" s="54">
        <f>SUM(B82:I82)</f>
        <v>37.6</v>
      </c>
      <c r="K82" s="56"/>
      <c r="L82" s="55" t="s">
        <v>141</v>
      </c>
      <c r="M82" s="70">
        <f t="shared" ref="M82:V82" si="27">M81*M80</f>
        <v>4.3</v>
      </c>
      <c r="N82" s="70">
        <f t="shared" si="27"/>
        <v>4.6000000000000005</v>
      </c>
      <c r="O82" s="70">
        <f t="shared" si="27"/>
        <v>2.8000000000000003</v>
      </c>
      <c r="P82" s="70">
        <f t="shared" si="27"/>
        <v>5.5</v>
      </c>
      <c r="Q82" s="70">
        <f t="shared" si="27"/>
        <v>15</v>
      </c>
      <c r="R82" s="70">
        <f t="shared" si="27"/>
        <v>14</v>
      </c>
      <c r="S82" s="70">
        <f t="shared" si="27"/>
        <v>25</v>
      </c>
      <c r="T82" s="70">
        <f t="shared" si="27"/>
        <v>70</v>
      </c>
      <c r="U82" s="70">
        <f t="shared" si="27"/>
        <v>140</v>
      </c>
      <c r="V82" s="70">
        <f t="shared" si="27"/>
        <v>0</v>
      </c>
      <c r="W82" s="54">
        <f>SUM(M82:V82)</f>
        <v>281.2</v>
      </c>
      <c r="X82" s="55">
        <f>W82-J82</f>
        <v>243.6</v>
      </c>
      <c r="Y82" s="63">
        <v>139.6</v>
      </c>
      <c r="Z82" s="63">
        <v>10.7</v>
      </c>
      <c r="AA82" s="66">
        <f>X82+Z82</f>
        <v>254.29999999999998</v>
      </c>
      <c r="AB82" s="55">
        <v>61.6</v>
      </c>
      <c r="AC82" s="55">
        <f>Y82-AB82</f>
        <v>78</v>
      </c>
      <c r="AD82" s="55">
        <f>X82-Y82</f>
        <v>104</v>
      </c>
      <c r="AE82" s="55">
        <v>80</v>
      </c>
      <c r="AF82" s="55">
        <f>AD82-AE82</f>
        <v>24</v>
      </c>
      <c r="AG82" s="61"/>
      <c r="AH82" s="77">
        <f>(SUM(Y82:Z82)/(1+10/100))*(10/100)</f>
        <v>13.66363636363636</v>
      </c>
      <c r="AI82" s="61"/>
    </row>
    <row r="83" spans="1:35" ht="12.75" x14ac:dyDescent="0.2">
      <c r="AH83" s="41"/>
    </row>
    <row r="84" spans="1:35" ht="12.75" x14ac:dyDescent="0.2">
      <c r="AH84" s="41"/>
    </row>
    <row r="85" spans="1:35" ht="51" x14ac:dyDescent="0.2">
      <c r="A85" s="52" t="s">
        <v>135</v>
      </c>
      <c r="B85" s="53">
        <v>45706</v>
      </c>
      <c r="C85" s="54"/>
      <c r="D85" s="54"/>
      <c r="E85" s="54"/>
      <c r="F85" s="54"/>
      <c r="G85" s="54"/>
      <c r="H85" s="54"/>
      <c r="I85" s="54"/>
      <c r="J85" s="55"/>
      <c r="K85" s="56"/>
      <c r="L85" s="52" t="s">
        <v>136</v>
      </c>
      <c r="M85" s="53">
        <v>45706</v>
      </c>
      <c r="N85" s="54"/>
      <c r="O85" s="54"/>
      <c r="P85" s="54"/>
      <c r="Q85" s="54"/>
      <c r="R85" s="54"/>
      <c r="S85" s="54"/>
      <c r="T85" s="54"/>
      <c r="U85" s="54"/>
      <c r="V85" s="54"/>
      <c r="W85" s="55" t="s">
        <v>141</v>
      </c>
      <c r="X85" s="57" t="s">
        <v>192</v>
      </c>
      <c r="Y85" s="58" t="s">
        <v>142</v>
      </c>
      <c r="Z85" s="59" t="s">
        <v>193</v>
      </c>
      <c r="AA85" s="60" t="s">
        <v>194</v>
      </c>
      <c r="AB85" s="57" t="s">
        <v>165</v>
      </c>
      <c r="AC85" s="55" t="s">
        <v>195</v>
      </c>
      <c r="AD85" s="55" t="s">
        <v>196</v>
      </c>
      <c r="AE85" s="57" t="s">
        <v>197</v>
      </c>
      <c r="AF85" s="55" t="s">
        <v>198</v>
      </c>
      <c r="AG85" s="61"/>
      <c r="AH85" s="77"/>
      <c r="AI85" s="61"/>
    </row>
    <row r="86" spans="1:35" ht="12.75" x14ac:dyDescent="0.2">
      <c r="A86" s="55" t="s">
        <v>199</v>
      </c>
      <c r="B86" s="62">
        <v>0.05</v>
      </c>
      <c r="C86" s="62">
        <v>0.1</v>
      </c>
      <c r="D86" s="62">
        <v>0.2</v>
      </c>
      <c r="E86" s="62">
        <v>0.5</v>
      </c>
      <c r="F86" s="62">
        <v>1</v>
      </c>
      <c r="G86" s="62">
        <v>2</v>
      </c>
      <c r="H86" s="62">
        <v>5</v>
      </c>
      <c r="I86" s="62">
        <v>10</v>
      </c>
      <c r="K86" s="56"/>
      <c r="L86" s="55" t="s">
        <v>199</v>
      </c>
      <c r="M86" s="62">
        <v>0.05</v>
      </c>
      <c r="N86" s="62">
        <v>0.1</v>
      </c>
      <c r="O86" s="62">
        <v>0.2</v>
      </c>
      <c r="P86" s="62">
        <v>0.5</v>
      </c>
      <c r="Q86" s="62">
        <v>1</v>
      </c>
      <c r="R86" s="62">
        <v>2</v>
      </c>
      <c r="S86" s="62">
        <v>5</v>
      </c>
      <c r="T86" s="62">
        <v>10</v>
      </c>
      <c r="U86" s="62">
        <v>20</v>
      </c>
      <c r="V86" s="62">
        <v>50</v>
      </c>
      <c r="W86" s="54"/>
      <c r="X86" s="54"/>
      <c r="Z86" s="63"/>
      <c r="AA86" s="64"/>
      <c r="AB86" s="54"/>
      <c r="AC86" s="54"/>
      <c r="AD86" s="54"/>
      <c r="AE86" s="54"/>
      <c r="AF86" s="54"/>
      <c r="AH86" s="41"/>
    </row>
    <row r="87" spans="1:35" ht="12.75" x14ac:dyDescent="0.2">
      <c r="A87" s="55" t="s">
        <v>200</v>
      </c>
      <c r="B87" s="38">
        <v>86</v>
      </c>
      <c r="C87" s="38">
        <v>46</v>
      </c>
      <c r="D87" s="65">
        <v>14</v>
      </c>
      <c r="E87" s="65">
        <v>11</v>
      </c>
      <c r="F87" s="65">
        <v>8</v>
      </c>
      <c r="G87" s="65">
        <v>5</v>
      </c>
      <c r="H87" s="65">
        <v>2</v>
      </c>
      <c r="I87" s="65"/>
      <c r="J87" s="54"/>
      <c r="K87" s="56"/>
      <c r="L87" s="55" t="s">
        <v>200</v>
      </c>
      <c r="M87" s="38">
        <v>93</v>
      </c>
      <c r="N87" s="38">
        <v>47</v>
      </c>
      <c r="O87" s="65">
        <v>21</v>
      </c>
      <c r="P87" s="65">
        <v>11</v>
      </c>
      <c r="Q87" s="65">
        <v>10</v>
      </c>
      <c r="R87" s="65">
        <v>5</v>
      </c>
      <c r="S87" s="65">
        <v>9</v>
      </c>
      <c r="T87" s="65">
        <v>8</v>
      </c>
      <c r="U87" s="65">
        <v>5</v>
      </c>
      <c r="V87" s="65">
        <v>1</v>
      </c>
      <c r="W87" s="65"/>
      <c r="X87" s="54"/>
      <c r="Y87" s="50"/>
      <c r="Z87" s="63"/>
      <c r="AA87" s="64"/>
      <c r="AB87" s="54"/>
      <c r="AC87" s="54"/>
      <c r="AD87" s="54"/>
      <c r="AE87" s="54"/>
      <c r="AF87" s="54"/>
      <c r="AH87" s="41"/>
    </row>
    <row r="88" spans="1:35" ht="12.75" x14ac:dyDescent="0.2">
      <c r="A88" s="55" t="s">
        <v>141</v>
      </c>
      <c r="B88" s="70">
        <f t="shared" ref="B88:I88" si="28">B87*B86</f>
        <v>4.3</v>
      </c>
      <c r="C88" s="70">
        <f t="shared" si="28"/>
        <v>4.6000000000000005</v>
      </c>
      <c r="D88" s="70">
        <f t="shared" si="28"/>
        <v>2.8000000000000003</v>
      </c>
      <c r="E88" s="70">
        <f t="shared" si="28"/>
        <v>5.5</v>
      </c>
      <c r="F88" s="70">
        <f t="shared" si="28"/>
        <v>8</v>
      </c>
      <c r="G88" s="70">
        <f t="shared" si="28"/>
        <v>10</v>
      </c>
      <c r="H88" s="65">
        <f t="shared" si="28"/>
        <v>10</v>
      </c>
      <c r="I88" s="65">
        <f t="shared" si="28"/>
        <v>0</v>
      </c>
      <c r="J88" s="54">
        <f>SUM(B88:I88)</f>
        <v>45.2</v>
      </c>
      <c r="K88" s="56"/>
      <c r="L88" s="55" t="s">
        <v>141</v>
      </c>
      <c r="M88" s="70">
        <f t="shared" ref="M88:V88" si="29">M87*M86</f>
        <v>4.6500000000000004</v>
      </c>
      <c r="N88" s="70">
        <f t="shared" si="29"/>
        <v>4.7</v>
      </c>
      <c r="O88" s="70">
        <f t="shared" si="29"/>
        <v>4.2</v>
      </c>
      <c r="P88" s="70">
        <f t="shared" si="29"/>
        <v>5.5</v>
      </c>
      <c r="Q88" s="70">
        <f t="shared" si="29"/>
        <v>10</v>
      </c>
      <c r="R88" s="70">
        <f t="shared" si="29"/>
        <v>10</v>
      </c>
      <c r="S88" s="70">
        <f t="shared" si="29"/>
        <v>45</v>
      </c>
      <c r="T88" s="70">
        <f t="shared" si="29"/>
        <v>80</v>
      </c>
      <c r="U88" s="70">
        <f t="shared" si="29"/>
        <v>100</v>
      </c>
      <c r="V88" s="70">
        <f t="shared" si="29"/>
        <v>50</v>
      </c>
      <c r="W88" s="54">
        <f>SUM(M88:V88)</f>
        <v>314.05</v>
      </c>
      <c r="X88" s="55">
        <f>W88-J88</f>
        <v>268.85000000000002</v>
      </c>
      <c r="Y88" s="63">
        <v>85.5</v>
      </c>
      <c r="Z88" s="63">
        <v>17.2</v>
      </c>
      <c r="AA88" s="66">
        <f>X88+Z88</f>
        <v>286.05</v>
      </c>
      <c r="AB88" s="55">
        <v>50</v>
      </c>
      <c r="AC88" s="55">
        <f>Y88-AB88</f>
        <v>35.5</v>
      </c>
      <c r="AD88" s="55">
        <f>X88-Y88</f>
        <v>183.35000000000002</v>
      </c>
      <c r="AE88" s="55">
        <v>70</v>
      </c>
      <c r="AF88" s="55">
        <f>AD88-AE88</f>
        <v>113.35000000000002</v>
      </c>
      <c r="AG88" s="61"/>
      <c r="AH88" s="77">
        <f>(SUM(Y88:Z88)/(1+10/100))*(10/100)</f>
        <v>9.336363636363636</v>
      </c>
      <c r="AI88" s="61"/>
    </row>
    <row r="89" spans="1:35" ht="12.75" x14ac:dyDescent="0.2">
      <c r="AH89" s="41"/>
    </row>
    <row r="90" spans="1:35" ht="12.75" x14ac:dyDescent="0.2">
      <c r="AH90" s="41"/>
    </row>
    <row r="91" spans="1:35" ht="51" x14ac:dyDescent="0.2">
      <c r="A91" s="52" t="s">
        <v>135</v>
      </c>
      <c r="B91" s="53">
        <v>45707</v>
      </c>
      <c r="C91" s="54"/>
      <c r="D91" s="54"/>
      <c r="E91" s="54"/>
      <c r="F91" s="54"/>
      <c r="G91" s="54"/>
      <c r="H91" s="54"/>
      <c r="I91" s="54"/>
      <c r="J91" s="55"/>
      <c r="K91" s="56"/>
      <c r="L91" s="52" t="s">
        <v>136</v>
      </c>
      <c r="M91" s="53">
        <v>45707</v>
      </c>
      <c r="N91" s="54"/>
      <c r="O91" s="54"/>
      <c r="P91" s="54"/>
      <c r="Q91" s="54"/>
      <c r="R91" s="54"/>
      <c r="S91" s="54"/>
      <c r="T91" s="54"/>
      <c r="U91" s="54"/>
      <c r="V91" s="54"/>
      <c r="W91" s="55" t="s">
        <v>141</v>
      </c>
      <c r="X91" s="57" t="s">
        <v>192</v>
      </c>
      <c r="Y91" s="58" t="s">
        <v>142</v>
      </c>
      <c r="Z91" s="59" t="s">
        <v>193</v>
      </c>
      <c r="AA91" s="60" t="s">
        <v>194</v>
      </c>
      <c r="AB91" s="57" t="s">
        <v>165</v>
      </c>
      <c r="AC91" s="55" t="s">
        <v>195</v>
      </c>
      <c r="AD91" s="55" t="s">
        <v>196</v>
      </c>
      <c r="AE91" s="57" t="s">
        <v>197</v>
      </c>
      <c r="AF91" s="55" t="s">
        <v>198</v>
      </c>
      <c r="AG91" s="61"/>
      <c r="AH91" s="77"/>
      <c r="AI91" s="61"/>
    </row>
    <row r="92" spans="1:35" ht="12.75" x14ac:dyDescent="0.2">
      <c r="A92" s="55" t="s">
        <v>199</v>
      </c>
      <c r="B92" s="62">
        <v>0.05</v>
      </c>
      <c r="C92" s="62">
        <v>0.1</v>
      </c>
      <c r="D92" s="62">
        <v>0.2</v>
      </c>
      <c r="E92" s="62">
        <v>0.5</v>
      </c>
      <c r="F92" s="62">
        <v>1</v>
      </c>
      <c r="G92" s="62">
        <v>2</v>
      </c>
      <c r="H92" s="62">
        <v>5</v>
      </c>
      <c r="I92" s="62">
        <v>10</v>
      </c>
      <c r="K92" s="56"/>
      <c r="L92" s="55" t="s">
        <v>199</v>
      </c>
      <c r="M92" s="62">
        <v>0.05</v>
      </c>
      <c r="N92" s="62">
        <v>0.1</v>
      </c>
      <c r="O92" s="62">
        <v>0.2</v>
      </c>
      <c r="P92" s="62">
        <v>0.5</v>
      </c>
      <c r="Q92" s="62">
        <v>1</v>
      </c>
      <c r="R92" s="62">
        <v>2</v>
      </c>
      <c r="S92" s="62">
        <v>5</v>
      </c>
      <c r="T92" s="62">
        <v>10</v>
      </c>
      <c r="U92" s="62">
        <v>20</v>
      </c>
      <c r="V92" s="62">
        <v>50</v>
      </c>
      <c r="W92" s="54"/>
      <c r="X92" s="54"/>
      <c r="Z92" s="63"/>
      <c r="AA92" s="64"/>
      <c r="AB92" s="54"/>
      <c r="AC92" s="54"/>
      <c r="AD92" s="54"/>
      <c r="AE92" s="54"/>
      <c r="AF92" s="54"/>
      <c r="AH92" s="41"/>
    </row>
    <row r="93" spans="1:35" ht="12.75" x14ac:dyDescent="0.2">
      <c r="A93" s="55" t="s">
        <v>200</v>
      </c>
      <c r="B93" s="38">
        <v>93</v>
      </c>
      <c r="C93" s="38">
        <v>47</v>
      </c>
      <c r="D93" s="65">
        <v>21</v>
      </c>
      <c r="E93" s="65">
        <v>8</v>
      </c>
      <c r="F93" s="65">
        <v>10</v>
      </c>
      <c r="G93" s="65">
        <v>5</v>
      </c>
      <c r="H93" s="65">
        <v>2</v>
      </c>
      <c r="I93" s="65"/>
      <c r="J93" s="54"/>
      <c r="K93" s="56"/>
      <c r="L93" s="55" t="s">
        <v>200</v>
      </c>
      <c r="M93" s="38">
        <v>93</v>
      </c>
      <c r="N93" s="38">
        <v>40</v>
      </c>
      <c r="O93" s="65">
        <v>8</v>
      </c>
      <c r="P93" s="65">
        <v>7</v>
      </c>
      <c r="Q93" s="65">
        <v>8</v>
      </c>
      <c r="R93" s="65">
        <v>3</v>
      </c>
      <c r="S93" s="65">
        <v>4</v>
      </c>
      <c r="T93" s="65">
        <v>1</v>
      </c>
      <c r="U93" s="65">
        <v>11</v>
      </c>
      <c r="V93" s="65">
        <v>1</v>
      </c>
      <c r="W93" s="65"/>
      <c r="X93" s="54"/>
      <c r="Y93" s="38"/>
      <c r="Z93" s="63"/>
      <c r="AA93" s="64"/>
      <c r="AB93" s="54"/>
      <c r="AC93" s="54"/>
      <c r="AD93" s="54"/>
      <c r="AE93" s="54"/>
      <c r="AF93" s="54"/>
      <c r="AH93" s="41"/>
    </row>
    <row r="94" spans="1:35" ht="12.75" x14ac:dyDescent="0.2">
      <c r="A94" s="55" t="s">
        <v>141</v>
      </c>
      <c r="B94" s="70">
        <f t="shared" ref="B94:I94" si="30">B93*B92</f>
        <v>4.6500000000000004</v>
      </c>
      <c r="C94" s="70">
        <f t="shared" si="30"/>
        <v>4.7</v>
      </c>
      <c r="D94" s="70">
        <f t="shared" si="30"/>
        <v>4.2</v>
      </c>
      <c r="E94" s="70">
        <f t="shared" si="30"/>
        <v>4</v>
      </c>
      <c r="F94" s="70">
        <f t="shared" si="30"/>
        <v>10</v>
      </c>
      <c r="G94" s="70">
        <f t="shared" si="30"/>
        <v>10</v>
      </c>
      <c r="H94" s="65">
        <f t="shared" si="30"/>
        <v>10</v>
      </c>
      <c r="I94" s="65">
        <f t="shared" si="30"/>
        <v>0</v>
      </c>
      <c r="J94" s="54">
        <f>SUM(B94:I94)</f>
        <v>47.55</v>
      </c>
      <c r="K94" s="56"/>
      <c r="L94" s="55" t="s">
        <v>141</v>
      </c>
      <c r="M94" s="70">
        <f t="shared" ref="M94:V94" si="31">M93*M92</f>
        <v>4.6500000000000004</v>
      </c>
      <c r="N94" s="70">
        <f t="shared" si="31"/>
        <v>4</v>
      </c>
      <c r="O94" s="70">
        <f t="shared" si="31"/>
        <v>1.6</v>
      </c>
      <c r="P94" s="70">
        <f t="shared" si="31"/>
        <v>3.5</v>
      </c>
      <c r="Q94" s="70">
        <f t="shared" si="31"/>
        <v>8</v>
      </c>
      <c r="R94" s="70">
        <f t="shared" si="31"/>
        <v>6</v>
      </c>
      <c r="S94" s="70">
        <f t="shared" si="31"/>
        <v>20</v>
      </c>
      <c r="T94" s="70">
        <f t="shared" si="31"/>
        <v>10</v>
      </c>
      <c r="U94" s="70">
        <f t="shared" si="31"/>
        <v>220</v>
      </c>
      <c r="V94" s="70">
        <f t="shared" si="31"/>
        <v>50</v>
      </c>
      <c r="W94" s="54">
        <f>SUM(M94:V94)</f>
        <v>327.75</v>
      </c>
      <c r="X94" s="55">
        <f>W94-J94</f>
        <v>280.2</v>
      </c>
      <c r="Y94" s="63">
        <v>168.1</v>
      </c>
      <c r="Z94" s="63">
        <v>23.2</v>
      </c>
      <c r="AA94" s="66">
        <f>X94+Z94</f>
        <v>303.39999999999998</v>
      </c>
      <c r="AB94" s="55">
        <v>70</v>
      </c>
      <c r="AC94" s="55">
        <f>Y94-AB94</f>
        <v>98.1</v>
      </c>
      <c r="AD94" s="55">
        <f>X94-Y94</f>
        <v>112.1</v>
      </c>
      <c r="AE94" s="55">
        <v>12.1</v>
      </c>
      <c r="AF94" s="55">
        <f>AD94-AE94</f>
        <v>100</v>
      </c>
      <c r="AG94" s="61"/>
      <c r="AH94" s="77">
        <f>(SUM(Y94:Z94)/(1+10/100))*(10/100)</f>
        <v>17.390909090909087</v>
      </c>
      <c r="AI94" s="61"/>
    </row>
    <row r="95" spans="1:35" ht="12.75" x14ac:dyDescent="0.2">
      <c r="AC95" s="38">
        <v>-20</v>
      </c>
      <c r="AH95" s="41"/>
    </row>
    <row r="96" spans="1:35" ht="12.75" x14ac:dyDescent="0.2">
      <c r="AH96" s="41"/>
    </row>
    <row r="97" spans="1:35" ht="51" x14ac:dyDescent="0.2">
      <c r="A97" s="52" t="s">
        <v>135</v>
      </c>
      <c r="B97" s="53"/>
      <c r="C97" s="54"/>
      <c r="D97" s="54"/>
      <c r="E97" s="54"/>
      <c r="F97" s="54"/>
      <c r="G97" s="54"/>
      <c r="H97" s="54"/>
      <c r="I97" s="54"/>
      <c r="J97" s="55"/>
      <c r="K97" s="56"/>
      <c r="L97" s="52" t="s">
        <v>136</v>
      </c>
      <c r="M97" s="53">
        <v>45708</v>
      </c>
      <c r="N97" s="54"/>
      <c r="O97" s="54"/>
      <c r="P97" s="54"/>
      <c r="Q97" s="54"/>
      <c r="R97" s="54"/>
      <c r="S97" s="54"/>
      <c r="T97" s="54"/>
      <c r="U97" s="54"/>
      <c r="V97" s="54"/>
      <c r="W97" s="55" t="s">
        <v>141</v>
      </c>
      <c r="X97" s="57" t="s">
        <v>192</v>
      </c>
      <c r="Y97" s="58" t="s">
        <v>142</v>
      </c>
      <c r="Z97" s="59" t="s">
        <v>193</v>
      </c>
      <c r="AA97" s="60" t="s">
        <v>194</v>
      </c>
      <c r="AB97" s="57" t="s">
        <v>165</v>
      </c>
      <c r="AC97" s="55" t="s">
        <v>195</v>
      </c>
      <c r="AD97" s="55" t="s">
        <v>196</v>
      </c>
      <c r="AE97" s="57" t="s">
        <v>197</v>
      </c>
      <c r="AF97" s="55" t="s">
        <v>198</v>
      </c>
      <c r="AG97" s="61"/>
      <c r="AH97" s="77"/>
      <c r="AI97" s="61"/>
    </row>
    <row r="98" spans="1:35" ht="12.75" x14ac:dyDescent="0.2">
      <c r="A98" s="55" t="s">
        <v>199</v>
      </c>
      <c r="B98" s="62">
        <v>0.05</v>
      </c>
      <c r="C98" s="62">
        <v>0.1</v>
      </c>
      <c r="D98" s="62">
        <v>0.2</v>
      </c>
      <c r="E98" s="62">
        <v>0.5</v>
      </c>
      <c r="F98" s="62">
        <v>1</v>
      </c>
      <c r="G98" s="62">
        <v>2</v>
      </c>
      <c r="H98" s="62">
        <v>5</v>
      </c>
      <c r="I98" s="62">
        <v>10</v>
      </c>
      <c r="K98" s="56"/>
      <c r="L98" s="55" t="s">
        <v>199</v>
      </c>
      <c r="M98" s="62">
        <v>0.05</v>
      </c>
      <c r="N98" s="62">
        <v>0.1</v>
      </c>
      <c r="O98" s="62">
        <v>0.2</v>
      </c>
      <c r="P98" s="62">
        <v>0.5</v>
      </c>
      <c r="Q98" s="62">
        <v>1</v>
      </c>
      <c r="R98" s="62">
        <v>2</v>
      </c>
      <c r="S98" s="62">
        <v>5</v>
      </c>
      <c r="T98" s="62">
        <v>10</v>
      </c>
      <c r="U98" s="62">
        <v>20</v>
      </c>
      <c r="V98" s="62">
        <v>50</v>
      </c>
      <c r="W98" s="54"/>
      <c r="X98" s="54"/>
      <c r="Z98" s="63"/>
      <c r="AA98" s="64"/>
      <c r="AB98" s="54"/>
      <c r="AC98" s="54"/>
      <c r="AD98" s="54"/>
      <c r="AE98" s="54"/>
      <c r="AF98" s="54"/>
      <c r="AH98" s="41"/>
    </row>
    <row r="99" spans="1:35" ht="12.75" x14ac:dyDescent="0.2">
      <c r="A99" s="55" t="s">
        <v>200</v>
      </c>
      <c r="B99" s="38">
        <v>93</v>
      </c>
      <c r="C99" s="38">
        <v>40</v>
      </c>
      <c r="D99" s="65">
        <v>8</v>
      </c>
      <c r="E99" s="65">
        <v>7</v>
      </c>
      <c r="F99" s="65">
        <v>8</v>
      </c>
      <c r="G99" s="65">
        <v>3</v>
      </c>
      <c r="H99" s="65">
        <v>2</v>
      </c>
      <c r="I99" s="65"/>
      <c r="J99" s="54"/>
      <c r="K99" s="56"/>
      <c r="L99" s="55" t="s">
        <v>200</v>
      </c>
      <c r="M99" s="38">
        <v>93</v>
      </c>
      <c r="N99" s="38">
        <v>43</v>
      </c>
      <c r="O99" s="65">
        <v>9</v>
      </c>
      <c r="P99" s="65">
        <v>5</v>
      </c>
      <c r="Q99" s="65">
        <v>10</v>
      </c>
      <c r="R99" s="65">
        <v>9</v>
      </c>
      <c r="S99" s="65">
        <v>8</v>
      </c>
      <c r="T99" s="65">
        <v>6</v>
      </c>
      <c r="U99" s="65">
        <v>6</v>
      </c>
      <c r="V99" s="65">
        <v>1</v>
      </c>
      <c r="W99" s="65"/>
      <c r="X99" s="54"/>
      <c r="Z99" s="63"/>
      <c r="AA99" s="64"/>
      <c r="AB99" s="54"/>
      <c r="AC99" s="54"/>
      <c r="AD99" s="54"/>
      <c r="AE99" s="54"/>
      <c r="AF99" s="54"/>
      <c r="AH99" s="41"/>
    </row>
    <row r="100" spans="1:35" ht="12.75" x14ac:dyDescent="0.2">
      <c r="A100" s="55" t="s">
        <v>141</v>
      </c>
      <c r="B100" s="70">
        <f t="shared" ref="B100:I100" si="32">B99*B98</f>
        <v>4.6500000000000004</v>
      </c>
      <c r="C100" s="70">
        <f t="shared" si="32"/>
        <v>4</v>
      </c>
      <c r="D100" s="70">
        <f t="shared" si="32"/>
        <v>1.6</v>
      </c>
      <c r="E100" s="70">
        <f t="shared" si="32"/>
        <v>3.5</v>
      </c>
      <c r="F100" s="70">
        <f t="shared" si="32"/>
        <v>8</v>
      </c>
      <c r="G100" s="70">
        <f t="shared" si="32"/>
        <v>6</v>
      </c>
      <c r="H100" s="65">
        <f t="shared" si="32"/>
        <v>10</v>
      </c>
      <c r="I100" s="65">
        <f t="shared" si="32"/>
        <v>0</v>
      </c>
      <c r="J100" s="54">
        <f>SUM(B100:I100)</f>
        <v>37.75</v>
      </c>
      <c r="K100" s="56"/>
      <c r="L100" s="55" t="s">
        <v>141</v>
      </c>
      <c r="M100" s="70">
        <f t="shared" ref="M100:V100" si="33">M99*M98</f>
        <v>4.6500000000000004</v>
      </c>
      <c r="N100" s="70">
        <f t="shared" si="33"/>
        <v>4.3</v>
      </c>
      <c r="O100" s="70">
        <f t="shared" si="33"/>
        <v>1.8</v>
      </c>
      <c r="P100" s="70">
        <f t="shared" si="33"/>
        <v>2.5</v>
      </c>
      <c r="Q100" s="70">
        <f t="shared" si="33"/>
        <v>10</v>
      </c>
      <c r="R100" s="70">
        <f t="shared" si="33"/>
        <v>18</v>
      </c>
      <c r="S100" s="70">
        <f t="shared" si="33"/>
        <v>40</v>
      </c>
      <c r="T100" s="70">
        <f t="shared" si="33"/>
        <v>60</v>
      </c>
      <c r="U100" s="70">
        <f t="shared" si="33"/>
        <v>120</v>
      </c>
      <c r="V100" s="70">
        <f t="shared" si="33"/>
        <v>50</v>
      </c>
      <c r="W100" s="54">
        <f>SUM(M100:V100)</f>
        <v>311.25</v>
      </c>
      <c r="X100" s="55">
        <f>W100-J100</f>
        <v>273.5</v>
      </c>
      <c r="Y100" s="63">
        <v>122.6</v>
      </c>
      <c r="Z100" s="63">
        <v>49.9</v>
      </c>
      <c r="AA100" s="66">
        <f>X100+Z100</f>
        <v>323.39999999999998</v>
      </c>
      <c r="AB100" s="55">
        <v>50</v>
      </c>
      <c r="AC100" s="55">
        <f>Y100-AB100</f>
        <v>72.599999999999994</v>
      </c>
      <c r="AD100" s="55">
        <f>X100-Y100</f>
        <v>150.9</v>
      </c>
      <c r="AE100" s="55">
        <v>50</v>
      </c>
      <c r="AF100" s="55">
        <f>AD100-AE100</f>
        <v>100.9</v>
      </c>
      <c r="AG100" s="61"/>
      <c r="AH100" s="77">
        <f>(SUM(Y100:Z100)/(1+10/100))*(10/100)</f>
        <v>15.681818181818182</v>
      </c>
      <c r="AI100" s="61"/>
    </row>
    <row r="101" spans="1:35" ht="12.75" x14ac:dyDescent="0.2">
      <c r="AC101" s="38">
        <v>-22.6</v>
      </c>
      <c r="AH101" s="41"/>
    </row>
    <row r="102" spans="1:35" ht="12.75" x14ac:dyDescent="0.2">
      <c r="AH102" s="41"/>
    </row>
    <row r="103" spans="1:35" ht="51" x14ac:dyDescent="0.2">
      <c r="A103" s="52" t="s">
        <v>135</v>
      </c>
      <c r="B103" s="53">
        <v>45709</v>
      </c>
      <c r="C103" s="54"/>
      <c r="D103" s="54"/>
      <c r="E103" s="54"/>
      <c r="F103" s="54"/>
      <c r="G103" s="54"/>
      <c r="H103" s="54"/>
      <c r="I103" s="54"/>
      <c r="J103" s="55"/>
      <c r="K103" s="56"/>
      <c r="L103" s="52" t="s">
        <v>136</v>
      </c>
      <c r="M103" s="53">
        <v>45709</v>
      </c>
      <c r="N103" s="54"/>
      <c r="O103" s="54"/>
      <c r="P103" s="54"/>
      <c r="Q103" s="54"/>
      <c r="R103" s="54"/>
      <c r="S103" s="54"/>
      <c r="T103" s="54"/>
      <c r="U103" s="54"/>
      <c r="V103" s="54"/>
      <c r="W103" s="55" t="s">
        <v>141</v>
      </c>
      <c r="X103" s="57" t="s">
        <v>192</v>
      </c>
      <c r="Y103" s="58" t="s">
        <v>142</v>
      </c>
      <c r="Z103" s="59" t="s">
        <v>193</v>
      </c>
      <c r="AA103" s="60" t="s">
        <v>194</v>
      </c>
      <c r="AB103" s="57" t="s">
        <v>165</v>
      </c>
      <c r="AC103" s="55" t="s">
        <v>195</v>
      </c>
      <c r="AD103" s="55" t="s">
        <v>196</v>
      </c>
      <c r="AE103" s="57" t="s">
        <v>197</v>
      </c>
      <c r="AF103" s="55" t="s">
        <v>198</v>
      </c>
      <c r="AG103" s="61"/>
      <c r="AH103" s="77"/>
      <c r="AI103" s="61"/>
    </row>
    <row r="104" spans="1:35" ht="12.75" x14ac:dyDescent="0.2">
      <c r="A104" s="55" t="s">
        <v>199</v>
      </c>
      <c r="B104" s="62">
        <v>0.05</v>
      </c>
      <c r="C104" s="62">
        <v>0.1</v>
      </c>
      <c r="D104" s="62">
        <v>0.2</v>
      </c>
      <c r="E104" s="62">
        <v>0.5</v>
      </c>
      <c r="F104" s="62">
        <v>1</v>
      </c>
      <c r="G104" s="62">
        <v>2</v>
      </c>
      <c r="H104" s="62">
        <v>5</v>
      </c>
      <c r="I104" s="62">
        <v>10</v>
      </c>
      <c r="K104" s="56"/>
      <c r="L104" s="55" t="s">
        <v>199</v>
      </c>
      <c r="M104" s="62">
        <v>0.05</v>
      </c>
      <c r="N104" s="62">
        <v>0.1</v>
      </c>
      <c r="O104" s="62">
        <v>0.2</v>
      </c>
      <c r="P104" s="62">
        <v>0.5</v>
      </c>
      <c r="Q104" s="62">
        <v>1</v>
      </c>
      <c r="R104" s="62">
        <v>2</v>
      </c>
      <c r="S104" s="62">
        <v>5</v>
      </c>
      <c r="T104" s="62">
        <v>10</v>
      </c>
      <c r="U104" s="62">
        <v>20</v>
      </c>
      <c r="V104" s="62">
        <v>50</v>
      </c>
      <c r="W104" s="54"/>
      <c r="X104" s="54"/>
      <c r="Z104" s="63"/>
      <c r="AA104" s="64"/>
      <c r="AB104" s="54"/>
      <c r="AC104" s="54"/>
      <c r="AD104" s="54"/>
      <c r="AE104" s="54"/>
      <c r="AF104" s="54"/>
      <c r="AH104" s="41"/>
    </row>
    <row r="105" spans="1:35" ht="12.75" x14ac:dyDescent="0.2">
      <c r="A105" s="55" t="s">
        <v>200</v>
      </c>
      <c r="B105" s="38">
        <v>93</v>
      </c>
      <c r="C105" s="38">
        <v>43</v>
      </c>
      <c r="D105" s="65">
        <v>9</v>
      </c>
      <c r="E105" s="65">
        <v>5</v>
      </c>
      <c r="F105" s="65">
        <v>10</v>
      </c>
      <c r="G105" s="65">
        <v>9</v>
      </c>
      <c r="H105" s="65">
        <v>2</v>
      </c>
      <c r="I105" s="65"/>
      <c r="J105" s="54"/>
      <c r="K105" s="56"/>
      <c r="L105" s="55" t="s">
        <v>200</v>
      </c>
      <c r="M105" s="38">
        <v>90</v>
      </c>
      <c r="N105" s="38">
        <v>32</v>
      </c>
      <c r="O105" s="65">
        <v>10</v>
      </c>
      <c r="P105" s="65">
        <v>10</v>
      </c>
      <c r="Q105" s="65">
        <v>10</v>
      </c>
      <c r="R105" s="65">
        <v>1</v>
      </c>
      <c r="S105" s="65">
        <v>12</v>
      </c>
      <c r="T105" s="65">
        <v>7</v>
      </c>
      <c r="U105" s="65">
        <v>7</v>
      </c>
      <c r="V105" s="65">
        <v>2</v>
      </c>
      <c r="W105" s="65"/>
      <c r="X105" s="54"/>
      <c r="Z105" s="63"/>
      <c r="AA105" s="64"/>
      <c r="AB105" s="54"/>
      <c r="AC105" s="54"/>
      <c r="AD105" s="54"/>
      <c r="AE105" s="54"/>
      <c r="AF105" s="54"/>
      <c r="AH105" s="41"/>
    </row>
    <row r="106" spans="1:35" ht="12.75" x14ac:dyDescent="0.2">
      <c r="A106" s="55" t="s">
        <v>141</v>
      </c>
      <c r="B106" s="70">
        <f t="shared" ref="B106:I106" si="34">B105*B104</f>
        <v>4.6500000000000004</v>
      </c>
      <c r="C106" s="70">
        <f t="shared" si="34"/>
        <v>4.3</v>
      </c>
      <c r="D106" s="70">
        <f t="shared" si="34"/>
        <v>1.8</v>
      </c>
      <c r="E106" s="70">
        <f t="shared" si="34"/>
        <v>2.5</v>
      </c>
      <c r="F106" s="70">
        <f t="shared" si="34"/>
        <v>10</v>
      </c>
      <c r="G106" s="70">
        <f t="shared" si="34"/>
        <v>18</v>
      </c>
      <c r="H106" s="65">
        <f t="shared" si="34"/>
        <v>10</v>
      </c>
      <c r="I106" s="65">
        <f t="shared" si="34"/>
        <v>0</v>
      </c>
      <c r="J106" s="54">
        <f>SUM(B106:I106)</f>
        <v>51.25</v>
      </c>
      <c r="K106" s="56"/>
      <c r="L106" s="55" t="s">
        <v>141</v>
      </c>
      <c r="M106" s="70">
        <f t="shared" ref="M106:V106" si="35">M105*M104</f>
        <v>4.5</v>
      </c>
      <c r="N106" s="70">
        <f t="shared" si="35"/>
        <v>3.2</v>
      </c>
      <c r="O106" s="70">
        <f t="shared" si="35"/>
        <v>2</v>
      </c>
      <c r="P106" s="70">
        <f t="shared" si="35"/>
        <v>5</v>
      </c>
      <c r="Q106" s="70">
        <f t="shared" si="35"/>
        <v>10</v>
      </c>
      <c r="R106" s="70">
        <f t="shared" si="35"/>
        <v>2</v>
      </c>
      <c r="S106" s="70">
        <f t="shared" si="35"/>
        <v>60</v>
      </c>
      <c r="T106" s="70">
        <f t="shared" si="35"/>
        <v>70</v>
      </c>
      <c r="U106" s="70">
        <f t="shared" si="35"/>
        <v>140</v>
      </c>
      <c r="V106" s="70">
        <f t="shared" si="35"/>
        <v>100</v>
      </c>
      <c r="W106" s="54">
        <f>SUM(M106:V106)</f>
        <v>396.7</v>
      </c>
      <c r="X106" s="55">
        <f>W106-J106</f>
        <v>345.45</v>
      </c>
      <c r="Y106" s="63">
        <v>152.80000000000001</v>
      </c>
      <c r="Z106" s="63">
        <v>38.6</v>
      </c>
      <c r="AA106" s="66">
        <f>X106+Z106</f>
        <v>384.05</v>
      </c>
      <c r="AB106" s="55">
        <v>60</v>
      </c>
      <c r="AC106" s="55">
        <f>Y106-AB106</f>
        <v>92.800000000000011</v>
      </c>
      <c r="AD106" s="55">
        <f>X106-Y106</f>
        <v>192.64999999999998</v>
      </c>
      <c r="AE106" s="55">
        <v>50</v>
      </c>
      <c r="AF106" s="55">
        <f>AD106-AE106</f>
        <v>142.64999999999998</v>
      </c>
      <c r="AG106" s="61" t="s">
        <v>252</v>
      </c>
      <c r="AH106" s="77">
        <f>(SUM(Y106:Z106)/(1+10/100))*(10/100)</f>
        <v>17.400000000000002</v>
      </c>
      <c r="AI106" s="61"/>
    </row>
    <row r="107" spans="1:35" ht="12.75" x14ac:dyDescent="0.2">
      <c r="AC107" s="38">
        <v>-20</v>
      </c>
      <c r="AH107" s="41"/>
    </row>
    <row r="108" spans="1:35" ht="12.75" x14ac:dyDescent="0.2">
      <c r="AH108" s="41"/>
    </row>
    <row r="109" spans="1:35" ht="51" x14ac:dyDescent="0.2">
      <c r="A109" s="52" t="s">
        <v>135</v>
      </c>
      <c r="B109" s="53">
        <v>45710</v>
      </c>
      <c r="C109" s="54"/>
      <c r="D109" s="54"/>
      <c r="E109" s="54"/>
      <c r="F109" s="54"/>
      <c r="G109" s="54"/>
      <c r="H109" s="54"/>
      <c r="I109" s="54"/>
      <c r="J109" s="55"/>
      <c r="K109" s="56"/>
      <c r="L109" s="52" t="s">
        <v>136</v>
      </c>
      <c r="M109" s="53">
        <v>45710</v>
      </c>
      <c r="N109" s="54"/>
      <c r="O109" s="54"/>
      <c r="P109" s="54"/>
      <c r="Q109" s="54"/>
      <c r="R109" s="54"/>
      <c r="S109" s="54"/>
      <c r="T109" s="54"/>
      <c r="U109" s="54"/>
      <c r="V109" s="54"/>
      <c r="W109" s="55" t="s">
        <v>141</v>
      </c>
      <c r="X109" s="57" t="s">
        <v>192</v>
      </c>
      <c r="Y109" s="58" t="s">
        <v>142</v>
      </c>
      <c r="Z109" s="59" t="s">
        <v>193</v>
      </c>
      <c r="AA109" s="60" t="s">
        <v>194</v>
      </c>
      <c r="AB109" s="57" t="s">
        <v>165</v>
      </c>
      <c r="AC109" s="55" t="s">
        <v>195</v>
      </c>
      <c r="AD109" s="55" t="s">
        <v>196</v>
      </c>
      <c r="AE109" s="57" t="s">
        <v>197</v>
      </c>
      <c r="AF109" s="55" t="s">
        <v>198</v>
      </c>
      <c r="AG109" s="61"/>
      <c r="AH109" s="77"/>
      <c r="AI109" s="61"/>
    </row>
    <row r="110" spans="1:35" ht="12.75" x14ac:dyDescent="0.2">
      <c r="A110" s="55" t="s">
        <v>199</v>
      </c>
      <c r="B110" s="62">
        <v>0.05</v>
      </c>
      <c r="C110" s="62">
        <v>0.1</v>
      </c>
      <c r="D110" s="62">
        <v>0.2</v>
      </c>
      <c r="E110" s="62">
        <v>0.5</v>
      </c>
      <c r="F110" s="62">
        <v>1</v>
      </c>
      <c r="G110" s="62">
        <v>2</v>
      </c>
      <c r="H110" s="62">
        <v>5</v>
      </c>
      <c r="I110" s="62">
        <v>10</v>
      </c>
      <c r="K110" s="56"/>
      <c r="L110" s="55" t="s">
        <v>199</v>
      </c>
      <c r="M110" s="62">
        <v>0.05</v>
      </c>
      <c r="N110" s="62">
        <v>0.1</v>
      </c>
      <c r="O110" s="62">
        <v>0.2</v>
      </c>
      <c r="P110" s="62">
        <v>0.5</v>
      </c>
      <c r="Q110" s="62">
        <v>1</v>
      </c>
      <c r="R110" s="62">
        <v>2</v>
      </c>
      <c r="S110" s="62">
        <v>5</v>
      </c>
      <c r="T110" s="62">
        <v>10</v>
      </c>
      <c r="U110" s="62">
        <v>20</v>
      </c>
      <c r="V110" s="62">
        <v>50</v>
      </c>
      <c r="W110" s="54"/>
      <c r="X110" s="54"/>
      <c r="Z110" s="63"/>
      <c r="AA110" s="64"/>
      <c r="AB110" s="54"/>
      <c r="AC110" s="54"/>
      <c r="AD110" s="54"/>
      <c r="AE110" s="54"/>
      <c r="AF110" s="54"/>
      <c r="AH110" s="41"/>
    </row>
    <row r="111" spans="1:35" ht="12.75" x14ac:dyDescent="0.2">
      <c r="A111" s="55" t="s">
        <v>200</v>
      </c>
      <c r="B111" s="38">
        <v>90</v>
      </c>
      <c r="C111" s="38">
        <v>32</v>
      </c>
      <c r="D111" s="65">
        <v>10</v>
      </c>
      <c r="E111" s="65">
        <v>10</v>
      </c>
      <c r="F111" s="65">
        <v>10</v>
      </c>
      <c r="G111" s="65">
        <v>1</v>
      </c>
      <c r="H111" s="65">
        <v>2</v>
      </c>
      <c r="I111" s="65"/>
      <c r="J111" s="54"/>
      <c r="K111" s="56"/>
      <c r="L111" s="55" t="s">
        <v>200</v>
      </c>
      <c r="M111" s="38">
        <v>94</v>
      </c>
      <c r="N111" s="38">
        <v>35</v>
      </c>
      <c r="O111" s="65">
        <v>14</v>
      </c>
      <c r="P111" s="65">
        <v>4</v>
      </c>
      <c r="Q111" s="65">
        <v>6</v>
      </c>
      <c r="R111" s="65">
        <v>4</v>
      </c>
      <c r="S111" s="65">
        <v>1</v>
      </c>
      <c r="T111" s="65">
        <v>4</v>
      </c>
      <c r="U111" s="65">
        <v>6</v>
      </c>
      <c r="V111" s="65">
        <v>2</v>
      </c>
      <c r="W111" s="65"/>
      <c r="X111" s="54"/>
      <c r="Z111" s="63"/>
      <c r="AA111" s="64"/>
      <c r="AB111" s="54"/>
      <c r="AC111" s="54"/>
      <c r="AD111" s="54"/>
      <c r="AE111" s="54"/>
      <c r="AF111" s="54"/>
      <c r="AH111" s="41"/>
    </row>
    <row r="112" spans="1:35" ht="12.75" x14ac:dyDescent="0.2">
      <c r="A112" s="55" t="s">
        <v>141</v>
      </c>
      <c r="B112" s="70">
        <f t="shared" ref="B112:I112" si="36">B111*B110</f>
        <v>4.5</v>
      </c>
      <c r="C112" s="70">
        <f t="shared" si="36"/>
        <v>3.2</v>
      </c>
      <c r="D112" s="70">
        <f t="shared" si="36"/>
        <v>2</v>
      </c>
      <c r="E112" s="70">
        <f t="shared" si="36"/>
        <v>5</v>
      </c>
      <c r="F112" s="70">
        <f t="shared" si="36"/>
        <v>10</v>
      </c>
      <c r="G112" s="70">
        <f t="shared" si="36"/>
        <v>2</v>
      </c>
      <c r="H112" s="65">
        <f t="shared" si="36"/>
        <v>10</v>
      </c>
      <c r="I112" s="65">
        <f t="shared" si="36"/>
        <v>0</v>
      </c>
      <c r="J112" s="54">
        <f>SUM(B112:I112)</f>
        <v>36.700000000000003</v>
      </c>
      <c r="K112" s="56"/>
      <c r="L112" s="55" t="s">
        <v>141</v>
      </c>
      <c r="M112" s="70">
        <f t="shared" ref="M112:V112" si="37">M111*M110</f>
        <v>4.7</v>
      </c>
      <c r="N112" s="70">
        <f t="shared" si="37"/>
        <v>3.5</v>
      </c>
      <c r="O112" s="70">
        <f t="shared" si="37"/>
        <v>2.8000000000000003</v>
      </c>
      <c r="P112" s="70">
        <f t="shared" si="37"/>
        <v>2</v>
      </c>
      <c r="Q112" s="70">
        <f t="shared" si="37"/>
        <v>6</v>
      </c>
      <c r="R112" s="70">
        <f t="shared" si="37"/>
        <v>8</v>
      </c>
      <c r="S112" s="70">
        <f t="shared" si="37"/>
        <v>5</v>
      </c>
      <c r="T112" s="70">
        <f t="shared" si="37"/>
        <v>40</v>
      </c>
      <c r="U112" s="70">
        <f t="shared" si="37"/>
        <v>120</v>
      </c>
      <c r="V112" s="70">
        <f t="shared" si="37"/>
        <v>100</v>
      </c>
      <c r="W112" s="54">
        <f>SUM(M112:V112)</f>
        <v>292</v>
      </c>
      <c r="X112" s="55">
        <f>W112-J112</f>
        <v>255.3</v>
      </c>
      <c r="Y112" s="63">
        <v>96.5</v>
      </c>
      <c r="Z112" s="63">
        <v>46</v>
      </c>
      <c r="AA112" s="66">
        <f>X112+Z112</f>
        <v>301.3</v>
      </c>
      <c r="AB112" s="55">
        <v>60</v>
      </c>
      <c r="AC112" s="55">
        <f>Y112-AB112</f>
        <v>36.5</v>
      </c>
      <c r="AD112" s="55">
        <f>X112-Y112</f>
        <v>158.80000000000001</v>
      </c>
      <c r="AE112" s="55">
        <v>35</v>
      </c>
      <c r="AF112" s="55">
        <f>AD112-AE112</f>
        <v>123.80000000000001</v>
      </c>
      <c r="AG112" s="61"/>
      <c r="AH112" s="77">
        <f>(SUM(Y112:Z112)/(1+10/100))*(10/100)</f>
        <v>12.954545454545453</v>
      </c>
      <c r="AI112" s="61"/>
    </row>
    <row r="113" spans="1:35" ht="12.75" x14ac:dyDescent="0.2">
      <c r="AH113" s="41"/>
    </row>
    <row r="114" spans="1:35" ht="12.75" x14ac:dyDescent="0.2">
      <c r="AH114" s="41"/>
    </row>
    <row r="115" spans="1:35" ht="51" x14ac:dyDescent="0.2">
      <c r="A115" s="52" t="s">
        <v>135</v>
      </c>
      <c r="B115" s="53">
        <v>45712</v>
      </c>
      <c r="C115" s="54"/>
      <c r="D115" s="54"/>
      <c r="E115" s="54"/>
      <c r="F115" s="54"/>
      <c r="G115" s="54"/>
      <c r="H115" s="54"/>
      <c r="I115" s="54"/>
      <c r="J115" s="55"/>
      <c r="K115" s="56"/>
      <c r="L115" s="52" t="s">
        <v>136</v>
      </c>
      <c r="M115" s="53">
        <v>45712</v>
      </c>
      <c r="N115" s="54"/>
      <c r="O115" s="54"/>
      <c r="P115" s="54"/>
      <c r="Q115" s="54"/>
      <c r="R115" s="54"/>
      <c r="S115" s="54"/>
      <c r="T115" s="54"/>
      <c r="U115" s="54"/>
      <c r="V115" s="54"/>
      <c r="W115" s="55" t="s">
        <v>141</v>
      </c>
      <c r="X115" s="57" t="s">
        <v>192</v>
      </c>
      <c r="Y115" s="58" t="s">
        <v>142</v>
      </c>
      <c r="Z115" s="59" t="s">
        <v>193</v>
      </c>
      <c r="AA115" s="60" t="s">
        <v>194</v>
      </c>
      <c r="AB115" s="57" t="s">
        <v>165</v>
      </c>
      <c r="AC115" s="55" t="s">
        <v>195</v>
      </c>
      <c r="AD115" s="55" t="s">
        <v>196</v>
      </c>
      <c r="AE115" s="57" t="s">
        <v>197</v>
      </c>
      <c r="AF115" s="55" t="s">
        <v>198</v>
      </c>
      <c r="AG115" s="61"/>
      <c r="AH115" s="77"/>
      <c r="AI115" s="61"/>
    </row>
    <row r="116" spans="1:35" ht="12.75" x14ac:dyDescent="0.2">
      <c r="A116" s="55" t="s">
        <v>199</v>
      </c>
      <c r="B116" s="62">
        <v>0.05</v>
      </c>
      <c r="C116" s="62">
        <v>0.1</v>
      </c>
      <c r="D116" s="62">
        <v>0.2</v>
      </c>
      <c r="E116" s="62">
        <v>0.5</v>
      </c>
      <c r="F116" s="62">
        <v>1</v>
      </c>
      <c r="G116" s="62">
        <v>2</v>
      </c>
      <c r="H116" s="62">
        <v>5</v>
      </c>
      <c r="I116" s="62">
        <v>10</v>
      </c>
      <c r="K116" s="56"/>
      <c r="L116" s="55" t="s">
        <v>199</v>
      </c>
      <c r="M116" s="62">
        <v>0.05</v>
      </c>
      <c r="N116" s="62">
        <v>0.1</v>
      </c>
      <c r="O116" s="62">
        <v>0.2</v>
      </c>
      <c r="P116" s="62">
        <v>0.5</v>
      </c>
      <c r="Q116" s="62">
        <v>1</v>
      </c>
      <c r="R116" s="62">
        <v>2</v>
      </c>
      <c r="S116" s="62">
        <v>5</v>
      </c>
      <c r="T116" s="62">
        <v>10</v>
      </c>
      <c r="U116" s="62">
        <v>20</v>
      </c>
      <c r="V116" s="62">
        <v>50</v>
      </c>
      <c r="W116" s="54"/>
      <c r="X116" s="54"/>
      <c r="Z116" s="63"/>
      <c r="AA116" s="64"/>
      <c r="AB116" s="54"/>
      <c r="AC116" s="54"/>
      <c r="AD116" s="54"/>
      <c r="AE116" s="54"/>
      <c r="AF116" s="54"/>
      <c r="AH116" s="41"/>
    </row>
    <row r="117" spans="1:35" ht="12.75" x14ac:dyDescent="0.2">
      <c r="A117" s="55" t="s">
        <v>200</v>
      </c>
      <c r="B117" s="38">
        <v>94</v>
      </c>
      <c r="C117" s="38">
        <v>35</v>
      </c>
      <c r="D117" s="65">
        <v>14</v>
      </c>
      <c r="E117" s="65">
        <v>4</v>
      </c>
      <c r="F117" s="65">
        <v>6</v>
      </c>
      <c r="G117" s="65">
        <v>4</v>
      </c>
      <c r="H117" s="65">
        <v>2</v>
      </c>
      <c r="I117" s="65"/>
      <c r="J117" s="54"/>
      <c r="K117" s="56"/>
      <c r="L117" s="55" t="s">
        <v>200</v>
      </c>
      <c r="M117" s="38">
        <v>96</v>
      </c>
      <c r="N117" s="38">
        <v>33</v>
      </c>
      <c r="O117" s="65">
        <v>11</v>
      </c>
      <c r="P117" s="65">
        <v>2</v>
      </c>
      <c r="Q117" s="65">
        <v>3</v>
      </c>
      <c r="R117" s="65">
        <v>5</v>
      </c>
      <c r="S117" s="65">
        <v>14</v>
      </c>
      <c r="T117" s="65">
        <v>2</v>
      </c>
      <c r="U117" s="65">
        <v>9</v>
      </c>
      <c r="V117" s="65">
        <v>1</v>
      </c>
      <c r="W117" s="65"/>
      <c r="X117" s="54"/>
      <c r="Z117" s="63"/>
      <c r="AA117" s="64"/>
      <c r="AB117" s="54"/>
      <c r="AC117" s="54"/>
      <c r="AD117" s="54"/>
      <c r="AE117" s="54"/>
      <c r="AF117" s="54"/>
      <c r="AH117" s="41"/>
    </row>
    <row r="118" spans="1:35" ht="12.75" x14ac:dyDescent="0.2">
      <c r="A118" s="55" t="s">
        <v>141</v>
      </c>
      <c r="B118" s="70">
        <f t="shared" ref="B118:I118" si="38">B117*B116</f>
        <v>4.7</v>
      </c>
      <c r="C118" s="70">
        <f t="shared" si="38"/>
        <v>3.5</v>
      </c>
      <c r="D118" s="70">
        <f t="shared" si="38"/>
        <v>2.8000000000000003</v>
      </c>
      <c r="E118" s="70">
        <f t="shared" si="38"/>
        <v>2</v>
      </c>
      <c r="F118" s="70">
        <f t="shared" si="38"/>
        <v>6</v>
      </c>
      <c r="G118" s="70">
        <f t="shared" si="38"/>
        <v>8</v>
      </c>
      <c r="H118" s="65">
        <f t="shared" si="38"/>
        <v>10</v>
      </c>
      <c r="I118" s="65">
        <f t="shared" si="38"/>
        <v>0</v>
      </c>
      <c r="J118" s="54">
        <f>SUM(B118:I118)</f>
        <v>37</v>
      </c>
      <c r="K118" s="56"/>
      <c r="L118" s="55" t="s">
        <v>141</v>
      </c>
      <c r="M118" s="70">
        <f t="shared" ref="M118:V118" si="39">M117*M116</f>
        <v>4.8000000000000007</v>
      </c>
      <c r="N118" s="70">
        <f t="shared" si="39"/>
        <v>3.3000000000000003</v>
      </c>
      <c r="O118" s="70">
        <f t="shared" si="39"/>
        <v>2.2000000000000002</v>
      </c>
      <c r="P118" s="70">
        <f t="shared" si="39"/>
        <v>1</v>
      </c>
      <c r="Q118" s="70">
        <f t="shared" si="39"/>
        <v>3</v>
      </c>
      <c r="R118" s="70">
        <f t="shared" si="39"/>
        <v>10</v>
      </c>
      <c r="S118" s="70">
        <f t="shared" si="39"/>
        <v>70</v>
      </c>
      <c r="T118" s="70">
        <f t="shared" si="39"/>
        <v>20</v>
      </c>
      <c r="U118" s="70">
        <f t="shared" si="39"/>
        <v>180</v>
      </c>
      <c r="V118" s="70">
        <f t="shared" si="39"/>
        <v>50</v>
      </c>
      <c r="W118" s="54">
        <f>SUM(M118:V118)</f>
        <v>344.3</v>
      </c>
      <c r="X118" s="55">
        <f>W118-J118</f>
        <v>307.3</v>
      </c>
      <c r="Y118" s="63">
        <v>176</v>
      </c>
      <c r="Z118" s="63">
        <v>54.1</v>
      </c>
      <c r="AA118" s="66">
        <f>X118+Z118</f>
        <v>361.40000000000003</v>
      </c>
      <c r="AB118" s="55">
        <v>70</v>
      </c>
      <c r="AC118" s="55">
        <f>Y118-AB118</f>
        <v>106</v>
      </c>
      <c r="AD118" s="55">
        <f>X118-Y118</f>
        <v>131.30000000000001</v>
      </c>
      <c r="AE118" s="55">
        <v>10</v>
      </c>
      <c r="AF118" s="55">
        <f>AD118-AE118</f>
        <v>121.30000000000001</v>
      </c>
      <c r="AG118" s="61"/>
      <c r="AH118" s="77">
        <f>(SUM(Y118:Z118)/(1+10/100))*(10/100)</f>
        <v>20.918181818181818</v>
      </c>
      <c r="AI118" s="61"/>
    </row>
    <row r="119" spans="1:35" ht="12.75" x14ac:dyDescent="0.2">
      <c r="AC119" s="38">
        <v>-30</v>
      </c>
      <c r="AH119" s="41"/>
    </row>
    <row r="120" spans="1:35" ht="12.75" x14ac:dyDescent="0.2">
      <c r="AH120" s="41"/>
    </row>
    <row r="121" spans="1:35" ht="51" x14ac:dyDescent="0.2">
      <c r="A121" s="52" t="s">
        <v>135</v>
      </c>
      <c r="B121" s="53">
        <v>45713</v>
      </c>
      <c r="C121" s="54"/>
      <c r="D121" s="54"/>
      <c r="E121" s="54"/>
      <c r="F121" s="54"/>
      <c r="G121" s="54"/>
      <c r="H121" s="54"/>
      <c r="I121" s="54"/>
      <c r="J121" s="55"/>
      <c r="K121" s="56"/>
      <c r="L121" s="52" t="s">
        <v>136</v>
      </c>
      <c r="M121" s="53">
        <v>45713</v>
      </c>
      <c r="N121" s="54"/>
      <c r="O121" s="54"/>
      <c r="P121" s="54"/>
      <c r="Q121" s="54"/>
      <c r="R121" s="54"/>
      <c r="S121" s="54"/>
      <c r="T121" s="54"/>
      <c r="U121" s="54"/>
      <c r="V121" s="54"/>
      <c r="W121" s="55" t="s">
        <v>141</v>
      </c>
      <c r="X121" s="57" t="s">
        <v>192</v>
      </c>
      <c r="Y121" s="58" t="s">
        <v>142</v>
      </c>
      <c r="Z121" s="59" t="s">
        <v>193</v>
      </c>
      <c r="AA121" s="60" t="s">
        <v>194</v>
      </c>
      <c r="AB121" s="57" t="s">
        <v>165</v>
      </c>
      <c r="AC121" s="55" t="s">
        <v>195</v>
      </c>
      <c r="AD121" s="55" t="s">
        <v>196</v>
      </c>
      <c r="AE121" s="57" t="s">
        <v>197</v>
      </c>
      <c r="AF121" s="55" t="s">
        <v>198</v>
      </c>
      <c r="AG121" s="61"/>
      <c r="AH121" s="77"/>
      <c r="AI121" s="61"/>
    </row>
    <row r="122" spans="1:35" ht="12.75" x14ac:dyDescent="0.2">
      <c r="A122" s="55" t="s">
        <v>199</v>
      </c>
      <c r="B122" s="62">
        <v>0.05</v>
      </c>
      <c r="C122" s="62">
        <v>0.1</v>
      </c>
      <c r="D122" s="62">
        <v>0.2</v>
      </c>
      <c r="E122" s="62">
        <v>0.5</v>
      </c>
      <c r="F122" s="62">
        <v>1</v>
      </c>
      <c r="G122" s="62">
        <v>2</v>
      </c>
      <c r="H122" s="62">
        <v>5</v>
      </c>
      <c r="I122" s="62">
        <v>10</v>
      </c>
      <c r="K122" s="56"/>
      <c r="L122" s="55" t="s">
        <v>199</v>
      </c>
      <c r="M122" s="62">
        <v>0.05</v>
      </c>
      <c r="N122" s="62">
        <v>0.1</v>
      </c>
      <c r="O122" s="62">
        <v>0.2</v>
      </c>
      <c r="P122" s="62">
        <v>0.5</v>
      </c>
      <c r="Q122" s="62">
        <v>1</v>
      </c>
      <c r="R122" s="62">
        <v>2</v>
      </c>
      <c r="S122" s="62">
        <v>5</v>
      </c>
      <c r="T122" s="62">
        <v>10</v>
      </c>
      <c r="U122" s="62">
        <v>20</v>
      </c>
      <c r="V122" s="62">
        <v>50</v>
      </c>
      <c r="W122" s="54"/>
      <c r="X122" s="54"/>
      <c r="Z122" s="63"/>
      <c r="AA122" s="64"/>
      <c r="AB122" s="54"/>
      <c r="AC122" s="54"/>
      <c r="AD122" s="54"/>
      <c r="AE122" s="54"/>
      <c r="AF122" s="54"/>
      <c r="AH122" s="41"/>
    </row>
    <row r="123" spans="1:35" ht="12.75" x14ac:dyDescent="0.2">
      <c r="A123" s="55" t="s">
        <v>200</v>
      </c>
      <c r="B123" s="38">
        <v>96</v>
      </c>
      <c r="C123" s="38">
        <v>33</v>
      </c>
      <c r="D123" s="65">
        <v>11</v>
      </c>
      <c r="E123" s="65">
        <v>2</v>
      </c>
      <c r="F123" s="65">
        <v>3</v>
      </c>
      <c r="G123" s="65">
        <v>5</v>
      </c>
      <c r="H123" s="65">
        <v>2</v>
      </c>
      <c r="I123" s="65"/>
      <c r="J123" s="54"/>
      <c r="K123" s="56"/>
      <c r="L123" s="55" t="s">
        <v>200</v>
      </c>
      <c r="M123" s="38">
        <v>97</v>
      </c>
      <c r="N123" s="38">
        <v>20</v>
      </c>
      <c r="O123" s="65">
        <v>7</v>
      </c>
      <c r="P123" s="65">
        <v>8</v>
      </c>
      <c r="Q123" s="65">
        <v>8</v>
      </c>
      <c r="R123" s="65">
        <v>4</v>
      </c>
      <c r="S123" s="65">
        <v>6</v>
      </c>
      <c r="T123" s="65">
        <v>9</v>
      </c>
      <c r="U123" s="65">
        <v>7</v>
      </c>
      <c r="V123" s="65">
        <v>0</v>
      </c>
      <c r="W123" s="65"/>
      <c r="X123" s="54"/>
      <c r="Z123" s="63"/>
      <c r="AA123" s="64"/>
      <c r="AB123" s="54"/>
      <c r="AC123" s="54"/>
      <c r="AD123" s="54"/>
      <c r="AE123" s="54"/>
      <c r="AF123" s="54"/>
      <c r="AH123" s="41"/>
    </row>
    <row r="124" spans="1:35" ht="12.75" x14ac:dyDescent="0.2">
      <c r="A124" s="55" t="s">
        <v>141</v>
      </c>
      <c r="B124" s="70">
        <f t="shared" ref="B124:I124" si="40">B123*B122</f>
        <v>4.8000000000000007</v>
      </c>
      <c r="C124" s="70">
        <f t="shared" si="40"/>
        <v>3.3000000000000003</v>
      </c>
      <c r="D124" s="70">
        <f t="shared" si="40"/>
        <v>2.2000000000000002</v>
      </c>
      <c r="E124" s="70">
        <f t="shared" si="40"/>
        <v>1</v>
      </c>
      <c r="F124" s="70">
        <f t="shared" si="40"/>
        <v>3</v>
      </c>
      <c r="G124" s="70">
        <f t="shared" si="40"/>
        <v>10</v>
      </c>
      <c r="H124" s="65">
        <f t="shared" si="40"/>
        <v>10</v>
      </c>
      <c r="I124" s="65">
        <f t="shared" si="40"/>
        <v>0</v>
      </c>
      <c r="J124" s="54">
        <f>SUM(B124:I124)</f>
        <v>34.299999999999997</v>
      </c>
      <c r="K124" s="56"/>
      <c r="L124" s="55" t="s">
        <v>141</v>
      </c>
      <c r="M124" s="70">
        <f t="shared" ref="M124:V124" si="41">M123*M122</f>
        <v>4.8500000000000005</v>
      </c>
      <c r="N124" s="70">
        <f t="shared" si="41"/>
        <v>2</v>
      </c>
      <c r="O124" s="70">
        <f t="shared" si="41"/>
        <v>1.4000000000000001</v>
      </c>
      <c r="P124" s="70">
        <f t="shared" si="41"/>
        <v>4</v>
      </c>
      <c r="Q124" s="70">
        <f t="shared" si="41"/>
        <v>8</v>
      </c>
      <c r="R124" s="70">
        <f t="shared" si="41"/>
        <v>8</v>
      </c>
      <c r="S124" s="70">
        <f t="shared" si="41"/>
        <v>30</v>
      </c>
      <c r="T124" s="70">
        <f t="shared" si="41"/>
        <v>90</v>
      </c>
      <c r="U124" s="70">
        <f t="shared" si="41"/>
        <v>140</v>
      </c>
      <c r="V124" s="70">
        <f t="shared" si="41"/>
        <v>0</v>
      </c>
      <c r="W124" s="54">
        <f>SUM(M124:V124)</f>
        <v>288.25</v>
      </c>
      <c r="X124" s="55">
        <f>W124-J124</f>
        <v>253.95</v>
      </c>
      <c r="Y124" s="63">
        <v>122</v>
      </c>
      <c r="Z124" s="63">
        <v>15.5</v>
      </c>
      <c r="AA124" s="66">
        <f>X124+Z124</f>
        <v>269.45</v>
      </c>
      <c r="AB124" s="55">
        <v>50</v>
      </c>
      <c r="AC124" s="55">
        <f>Y124-AB124</f>
        <v>72</v>
      </c>
      <c r="AD124" s="55">
        <f>X124-Y124</f>
        <v>131.94999999999999</v>
      </c>
      <c r="AE124" s="55"/>
      <c r="AF124" s="55">
        <f>AD124-AE124</f>
        <v>131.94999999999999</v>
      </c>
      <c r="AG124" s="61"/>
      <c r="AH124" s="77">
        <f>(SUM(Y124:Z124)/(1+10/100))*(10/100)</f>
        <v>12.5</v>
      </c>
      <c r="AI124" s="61"/>
    </row>
    <row r="125" spans="1:35" ht="12.75" x14ac:dyDescent="0.2">
      <c r="AH125" s="41"/>
    </row>
    <row r="126" spans="1:35" ht="12.75" x14ac:dyDescent="0.2">
      <c r="AH126" s="41"/>
    </row>
    <row r="127" spans="1:35" ht="51" x14ac:dyDescent="0.2">
      <c r="A127" s="52" t="s">
        <v>135</v>
      </c>
      <c r="B127" s="53">
        <v>45714</v>
      </c>
      <c r="C127" s="54"/>
      <c r="D127" s="54"/>
      <c r="E127" s="54"/>
      <c r="F127" s="54"/>
      <c r="G127" s="54"/>
      <c r="H127" s="54"/>
      <c r="I127" s="54"/>
      <c r="J127" s="55"/>
      <c r="K127" s="56"/>
      <c r="L127" s="52" t="s">
        <v>136</v>
      </c>
      <c r="M127" s="53">
        <v>45714</v>
      </c>
      <c r="N127" s="54"/>
      <c r="O127" s="54"/>
      <c r="P127" s="54"/>
      <c r="Q127" s="54"/>
      <c r="R127" s="54"/>
      <c r="S127" s="54"/>
      <c r="T127" s="54"/>
      <c r="U127" s="54"/>
      <c r="V127" s="54"/>
      <c r="W127" s="55" t="s">
        <v>141</v>
      </c>
      <c r="X127" s="57" t="s">
        <v>192</v>
      </c>
      <c r="Y127" s="58" t="s">
        <v>142</v>
      </c>
      <c r="Z127" s="59" t="s">
        <v>193</v>
      </c>
      <c r="AA127" s="60" t="s">
        <v>194</v>
      </c>
      <c r="AB127" s="57" t="s">
        <v>165</v>
      </c>
      <c r="AC127" s="55" t="s">
        <v>195</v>
      </c>
      <c r="AD127" s="55" t="s">
        <v>196</v>
      </c>
      <c r="AE127" s="57" t="s">
        <v>197</v>
      </c>
      <c r="AF127" s="55" t="s">
        <v>198</v>
      </c>
      <c r="AG127" s="61"/>
      <c r="AH127" s="77"/>
      <c r="AI127" s="61"/>
    </row>
    <row r="128" spans="1:35" ht="12.75" x14ac:dyDescent="0.2">
      <c r="A128" s="55" t="s">
        <v>199</v>
      </c>
      <c r="B128" s="62">
        <v>0.05</v>
      </c>
      <c r="C128" s="62">
        <v>0.1</v>
      </c>
      <c r="D128" s="62">
        <v>0.2</v>
      </c>
      <c r="E128" s="62">
        <v>0.5</v>
      </c>
      <c r="F128" s="62">
        <v>1</v>
      </c>
      <c r="G128" s="62">
        <v>2</v>
      </c>
      <c r="H128" s="62">
        <v>5</v>
      </c>
      <c r="I128" s="62">
        <v>10</v>
      </c>
      <c r="K128" s="56"/>
      <c r="L128" s="55" t="s">
        <v>199</v>
      </c>
      <c r="M128" s="62">
        <v>0.05</v>
      </c>
      <c r="N128" s="62">
        <v>0.1</v>
      </c>
      <c r="O128" s="62">
        <v>0.2</v>
      </c>
      <c r="P128" s="62">
        <v>0.5</v>
      </c>
      <c r="Q128" s="62">
        <v>1</v>
      </c>
      <c r="R128" s="62">
        <v>2</v>
      </c>
      <c r="S128" s="62">
        <v>5</v>
      </c>
      <c r="T128" s="62">
        <v>10</v>
      </c>
      <c r="U128" s="62">
        <v>20</v>
      </c>
      <c r="V128" s="62">
        <v>50</v>
      </c>
      <c r="W128" s="54"/>
      <c r="X128" s="54"/>
      <c r="Z128" s="63"/>
      <c r="AA128" s="64"/>
      <c r="AB128" s="54"/>
      <c r="AC128" s="54"/>
      <c r="AD128" s="54"/>
      <c r="AE128" s="54"/>
      <c r="AF128" s="54"/>
      <c r="AH128" s="41"/>
    </row>
    <row r="129" spans="1:35" ht="12.75" x14ac:dyDescent="0.2">
      <c r="A129" s="55" t="s">
        <v>200</v>
      </c>
      <c r="B129" s="38">
        <v>97</v>
      </c>
      <c r="C129" s="38">
        <v>20</v>
      </c>
      <c r="D129" s="65">
        <v>7</v>
      </c>
      <c r="E129" s="65">
        <v>8</v>
      </c>
      <c r="F129" s="65">
        <v>8</v>
      </c>
      <c r="G129" s="65">
        <v>4</v>
      </c>
      <c r="H129" s="65">
        <v>2</v>
      </c>
      <c r="I129" s="65"/>
      <c r="J129" s="54"/>
      <c r="K129" s="56"/>
      <c r="L129" s="55" t="s">
        <v>200</v>
      </c>
      <c r="M129" s="38">
        <v>100</v>
      </c>
      <c r="N129" s="38">
        <v>23</v>
      </c>
      <c r="O129" s="65">
        <v>12</v>
      </c>
      <c r="P129" s="65">
        <v>16</v>
      </c>
      <c r="Q129" s="65">
        <v>10</v>
      </c>
      <c r="R129" s="65">
        <v>4</v>
      </c>
      <c r="S129" s="65">
        <v>7</v>
      </c>
      <c r="T129" s="65">
        <v>2</v>
      </c>
      <c r="U129" s="65">
        <v>9</v>
      </c>
      <c r="V129" s="65">
        <v>3</v>
      </c>
      <c r="W129" s="65"/>
      <c r="X129" s="54"/>
      <c r="Z129" s="63"/>
      <c r="AA129" s="64"/>
      <c r="AB129" s="54"/>
      <c r="AC129" s="54"/>
      <c r="AD129" s="54"/>
      <c r="AE129" s="54"/>
      <c r="AF129" s="54"/>
      <c r="AH129" s="41"/>
    </row>
    <row r="130" spans="1:35" ht="12.75" x14ac:dyDescent="0.2">
      <c r="A130" s="55" t="s">
        <v>141</v>
      </c>
      <c r="B130" s="70">
        <f t="shared" ref="B130:I130" si="42">B129*B128</f>
        <v>4.8500000000000005</v>
      </c>
      <c r="C130" s="70">
        <f t="shared" si="42"/>
        <v>2</v>
      </c>
      <c r="D130" s="70">
        <f t="shared" si="42"/>
        <v>1.4000000000000001</v>
      </c>
      <c r="E130" s="70">
        <f t="shared" si="42"/>
        <v>4</v>
      </c>
      <c r="F130" s="70">
        <f t="shared" si="42"/>
        <v>8</v>
      </c>
      <c r="G130" s="70">
        <f t="shared" si="42"/>
        <v>8</v>
      </c>
      <c r="H130" s="65">
        <f t="shared" si="42"/>
        <v>10</v>
      </c>
      <c r="I130" s="65">
        <f t="shared" si="42"/>
        <v>0</v>
      </c>
      <c r="J130" s="54">
        <f>SUM(B130:I130)</f>
        <v>38.25</v>
      </c>
      <c r="K130" s="56"/>
      <c r="L130" s="55" t="s">
        <v>141</v>
      </c>
      <c r="M130" s="70">
        <f t="shared" ref="M130:V130" si="43">M129*M128</f>
        <v>5</v>
      </c>
      <c r="N130" s="70">
        <f t="shared" si="43"/>
        <v>2.3000000000000003</v>
      </c>
      <c r="O130" s="70">
        <f t="shared" si="43"/>
        <v>2.4000000000000004</v>
      </c>
      <c r="P130" s="70">
        <f t="shared" si="43"/>
        <v>8</v>
      </c>
      <c r="Q130" s="70">
        <f t="shared" si="43"/>
        <v>10</v>
      </c>
      <c r="R130" s="70">
        <f t="shared" si="43"/>
        <v>8</v>
      </c>
      <c r="S130" s="70">
        <f t="shared" si="43"/>
        <v>35</v>
      </c>
      <c r="T130" s="70">
        <f t="shared" si="43"/>
        <v>20</v>
      </c>
      <c r="U130" s="70">
        <f t="shared" si="43"/>
        <v>180</v>
      </c>
      <c r="V130" s="70">
        <f t="shared" si="43"/>
        <v>150</v>
      </c>
      <c r="W130" s="54">
        <f>SUM(M130:V130)</f>
        <v>420.7</v>
      </c>
      <c r="X130" s="55">
        <f>W130-J130</f>
        <v>382.45</v>
      </c>
      <c r="Y130" s="63">
        <f>196.4-50</f>
        <v>146.4</v>
      </c>
      <c r="Z130" s="63">
        <v>138.19999999999999</v>
      </c>
      <c r="AA130" s="66">
        <f>X130+Z130</f>
        <v>520.65</v>
      </c>
      <c r="AB130" s="55">
        <v>90</v>
      </c>
      <c r="AC130" s="55">
        <f>Y130-AB130</f>
        <v>56.400000000000006</v>
      </c>
      <c r="AD130" s="55">
        <f>X130-Y130</f>
        <v>236.04999999999998</v>
      </c>
      <c r="AE130" s="55">
        <v>66.05</v>
      </c>
      <c r="AF130" s="55">
        <f>AD130-AE130</f>
        <v>170</v>
      </c>
      <c r="AG130" s="61"/>
      <c r="AH130" s="77">
        <f>(SUM(Y130:Z130)/(1+10/100))*(10/100)</f>
        <v>25.872727272727275</v>
      </c>
      <c r="AI130" s="61"/>
    </row>
    <row r="131" spans="1:35" ht="12.75" x14ac:dyDescent="0.2">
      <c r="AC131" s="38">
        <v>-20</v>
      </c>
      <c r="AH131" s="41"/>
    </row>
    <row r="132" spans="1:35" ht="12.75" x14ac:dyDescent="0.2">
      <c r="AH132" s="41"/>
    </row>
    <row r="133" spans="1:35" ht="51" x14ac:dyDescent="0.2">
      <c r="A133" s="52" t="s">
        <v>135</v>
      </c>
      <c r="B133" s="53">
        <v>45715</v>
      </c>
      <c r="C133" s="54"/>
      <c r="D133" s="54"/>
      <c r="E133" s="54"/>
      <c r="F133" s="54"/>
      <c r="G133" s="54"/>
      <c r="H133" s="54"/>
      <c r="I133" s="54"/>
      <c r="J133" s="55"/>
      <c r="K133" s="56"/>
      <c r="L133" s="52" t="s">
        <v>136</v>
      </c>
      <c r="M133" s="53">
        <v>45715</v>
      </c>
      <c r="N133" s="54"/>
      <c r="O133" s="54"/>
      <c r="P133" s="54"/>
      <c r="Q133" s="54"/>
      <c r="R133" s="54"/>
      <c r="S133" s="54"/>
      <c r="T133" s="54"/>
      <c r="U133" s="54"/>
      <c r="V133" s="54"/>
      <c r="W133" s="55" t="s">
        <v>141</v>
      </c>
      <c r="X133" s="57" t="s">
        <v>192</v>
      </c>
      <c r="Y133" s="58" t="s">
        <v>142</v>
      </c>
      <c r="Z133" s="59" t="s">
        <v>193</v>
      </c>
      <c r="AA133" s="60" t="s">
        <v>194</v>
      </c>
      <c r="AB133" s="57" t="s">
        <v>165</v>
      </c>
      <c r="AC133" s="55" t="s">
        <v>195</v>
      </c>
      <c r="AD133" s="55" t="s">
        <v>196</v>
      </c>
      <c r="AE133" s="57" t="s">
        <v>197</v>
      </c>
      <c r="AF133" s="55" t="s">
        <v>198</v>
      </c>
      <c r="AG133" s="61"/>
      <c r="AH133" s="77"/>
      <c r="AI133" s="61"/>
    </row>
    <row r="134" spans="1:35" ht="12.75" x14ac:dyDescent="0.2">
      <c r="A134" s="55" t="s">
        <v>199</v>
      </c>
      <c r="B134" s="62">
        <v>0.05</v>
      </c>
      <c r="C134" s="62">
        <v>0.1</v>
      </c>
      <c r="D134" s="62">
        <v>0.2</v>
      </c>
      <c r="E134" s="62">
        <v>0.5</v>
      </c>
      <c r="F134" s="62">
        <v>1</v>
      </c>
      <c r="G134" s="62">
        <v>2</v>
      </c>
      <c r="H134" s="62">
        <v>5</v>
      </c>
      <c r="I134" s="62">
        <v>10</v>
      </c>
      <c r="K134" s="56"/>
      <c r="L134" s="55" t="s">
        <v>199</v>
      </c>
      <c r="M134" s="62">
        <v>0.05</v>
      </c>
      <c r="N134" s="62">
        <v>0.1</v>
      </c>
      <c r="O134" s="62">
        <v>0.2</v>
      </c>
      <c r="P134" s="62">
        <v>0.5</v>
      </c>
      <c r="Q134" s="62">
        <v>1</v>
      </c>
      <c r="R134" s="62">
        <v>2</v>
      </c>
      <c r="S134" s="62">
        <v>5</v>
      </c>
      <c r="T134" s="62">
        <v>10</v>
      </c>
      <c r="U134" s="62">
        <v>20</v>
      </c>
      <c r="V134" s="62">
        <v>50</v>
      </c>
      <c r="W134" s="54"/>
      <c r="X134" s="54"/>
      <c r="Z134" s="63"/>
      <c r="AA134" s="64"/>
      <c r="AB134" s="54"/>
      <c r="AC134" s="54"/>
      <c r="AD134" s="54"/>
      <c r="AE134" s="54"/>
      <c r="AF134" s="54"/>
      <c r="AH134" s="41"/>
    </row>
    <row r="135" spans="1:35" ht="12.75" x14ac:dyDescent="0.2">
      <c r="A135" s="55" t="s">
        <v>200</v>
      </c>
      <c r="B135" s="38">
        <v>100</v>
      </c>
      <c r="C135" s="38">
        <v>23</v>
      </c>
      <c r="D135" s="65">
        <v>12</v>
      </c>
      <c r="E135" s="65">
        <v>8</v>
      </c>
      <c r="F135" s="65">
        <v>8</v>
      </c>
      <c r="G135" s="65">
        <v>4</v>
      </c>
      <c r="H135" s="65">
        <v>2</v>
      </c>
      <c r="I135" s="65"/>
      <c r="J135" s="54"/>
      <c r="K135" s="56"/>
      <c r="L135" s="55" t="s">
        <v>200</v>
      </c>
      <c r="M135" s="38">
        <v>93</v>
      </c>
      <c r="N135" s="38">
        <v>22</v>
      </c>
      <c r="O135" s="65">
        <v>11</v>
      </c>
      <c r="P135" s="65">
        <v>6</v>
      </c>
      <c r="Q135" s="65">
        <v>11</v>
      </c>
      <c r="R135" s="65"/>
      <c r="S135" s="65">
        <v>12</v>
      </c>
      <c r="T135" s="65">
        <v>9</v>
      </c>
      <c r="U135" s="65">
        <v>5</v>
      </c>
      <c r="V135" s="65"/>
      <c r="W135" s="65"/>
      <c r="X135" s="54"/>
      <c r="Z135" s="63"/>
      <c r="AA135" s="64"/>
      <c r="AB135" s="54"/>
      <c r="AC135" s="54"/>
      <c r="AD135" s="54"/>
      <c r="AE135" s="54"/>
      <c r="AF135" s="54"/>
      <c r="AH135" s="41"/>
    </row>
    <row r="136" spans="1:35" ht="12.75" x14ac:dyDescent="0.2">
      <c r="A136" s="55" t="s">
        <v>141</v>
      </c>
      <c r="B136" s="70">
        <f t="shared" ref="B136:I136" si="44">B135*B134</f>
        <v>5</v>
      </c>
      <c r="C136" s="70">
        <f t="shared" si="44"/>
        <v>2.3000000000000003</v>
      </c>
      <c r="D136" s="70">
        <f t="shared" si="44"/>
        <v>2.4000000000000004</v>
      </c>
      <c r="E136" s="70">
        <f t="shared" si="44"/>
        <v>4</v>
      </c>
      <c r="F136" s="70">
        <f t="shared" si="44"/>
        <v>8</v>
      </c>
      <c r="G136" s="70">
        <f t="shared" si="44"/>
        <v>8</v>
      </c>
      <c r="H136" s="65">
        <f t="shared" si="44"/>
        <v>10</v>
      </c>
      <c r="I136" s="65">
        <f t="shared" si="44"/>
        <v>0</v>
      </c>
      <c r="J136" s="54">
        <f>SUM(B136:I136)</f>
        <v>39.700000000000003</v>
      </c>
      <c r="K136" s="56"/>
      <c r="L136" s="55" t="s">
        <v>141</v>
      </c>
      <c r="M136" s="70">
        <f t="shared" ref="M136:V136" si="45">M135*M134</f>
        <v>4.6500000000000004</v>
      </c>
      <c r="N136" s="70">
        <f t="shared" si="45"/>
        <v>2.2000000000000002</v>
      </c>
      <c r="O136" s="70">
        <f t="shared" si="45"/>
        <v>2.2000000000000002</v>
      </c>
      <c r="P136" s="70">
        <f t="shared" si="45"/>
        <v>3</v>
      </c>
      <c r="Q136" s="70">
        <f t="shared" si="45"/>
        <v>11</v>
      </c>
      <c r="R136" s="70">
        <f t="shared" si="45"/>
        <v>0</v>
      </c>
      <c r="S136" s="70">
        <f t="shared" si="45"/>
        <v>60</v>
      </c>
      <c r="T136" s="70">
        <f t="shared" si="45"/>
        <v>90</v>
      </c>
      <c r="U136" s="70">
        <f t="shared" si="45"/>
        <v>100</v>
      </c>
      <c r="V136" s="70">
        <f t="shared" si="45"/>
        <v>0</v>
      </c>
      <c r="W136" s="54">
        <f>SUM(M136:V136)</f>
        <v>273.05</v>
      </c>
      <c r="X136" s="55">
        <f>W136-J136</f>
        <v>233.35000000000002</v>
      </c>
      <c r="Y136" s="63">
        <v>116.3</v>
      </c>
      <c r="Z136" s="63">
        <v>26.2</v>
      </c>
      <c r="AA136" s="66">
        <f>X136+Z136</f>
        <v>259.55</v>
      </c>
      <c r="AB136" s="55">
        <v>50</v>
      </c>
      <c r="AC136" s="55">
        <f>Y136-AB136</f>
        <v>66.3</v>
      </c>
      <c r="AD136" s="55">
        <f>X136-Y136</f>
        <v>117.05000000000003</v>
      </c>
      <c r="AE136" s="55">
        <v>17.05</v>
      </c>
      <c r="AF136" s="55">
        <f>AD136-AE136</f>
        <v>100.00000000000003</v>
      </c>
      <c r="AG136" s="61"/>
      <c r="AH136" s="77">
        <f>(SUM(Y136:Z136)/(1+10/100))*(10/100)</f>
        <v>12.954545454545453</v>
      </c>
      <c r="AI136" s="61"/>
    </row>
    <row r="137" spans="1:35" ht="12.75" x14ac:dyDescent="0.2">
      <c r="AH137" s="41"/>
    </row>
    <row r="138" spans="1:35" ht="12.75" x14ac:dyDescent="0.2">
      <c r="AH138" s="41"/>
    </row>
    <row r="139" spans="1:35" ht="51" x14ac:dyDescent="0.2">
      <c r="A139" s="52" t="s">
        <v>135</v>
      </c>
      <c r="B139" s="53">
        <v>45716</v>
      </c>
      <c r="C139" s="54"/>
      <c r="D139" s="54"/>
      <c r="E139" s="54"/>
      <c r="F139" s="54"/>
      <c r="G139" s="54"/>
      <c r="H139" s="54"/>
      <c r="I139" s="54"/>
      <c r="J139" s="55"/>
      <c r="K139" s="56"/>
      <c r="L139" s="52" t="s">
        <v>136</v>
      </c>
      <c r="M139" s="53">
        <v>45716</v>
      </c>
      <c r="N139" s="54"/>
      <c r="O139" s="54"/>
      <c r="P139" s="54"/>
      <c r="Q139" s="54"/>
      <c r="R139" s="54"/>
      <c r="S139" s="54"/>
      <c r="T139" s="54"/>
      <c r="U139" s="54"/>
      <c r="V139" s="54"/>
      <c r="W139" s="55" t="s">
        <v>141</v>
      </c>
      <c r="X139" s="57" t="s">
        <v>192</v>
      </c>
      <c r="Y139" s="58" t="s">
        <v>142</v>
      </c>
      <c r="Z139" s="59" t="s">
        <v>193</v>
      </c>
      <c r="AA139" s="60" t="s">
        <v>194</v>
      </c>
      <c r="AB139" s="57" t="s">
        <v>165</v>
      </c>
      <c r="AC139" s="55" t="s">
        <v>195</v>
      </c>
      <c r="AD139" s="55" t="s">
        <v>196</v>
      </c>
      <c r="AE139" s="57" t="s">
        <v>197</v>
      </c>
      <c r="AF139" s="55" t="s">
        <v>198</v>
      </c>
      <c r="AG139" s="61"/>
      <c r="AH139" s="77"/>
      <c r="AI139" s="61"/>
    </row>
    <row r="140" spans="1:35" ht="12.75" x14ac:dyDescent="0.2">
      <c r="A140" s="55" t="s">
        <v>199</v>
      </c>
      <c r="B140" s="62">
        <v>0.05</v>
      </c>
      <c r="C140" s="62">
        <v>0.1</v>
      </c>
      <c r="D140" s="62">
        <v>0.2</v>
      </c>
      <c r="E140" s="62">
        <v>0.5</v>
      </c>
      <c r="F140" s="62">
        <v>1</v>
      </c>
      <c r="G140" s="62">
        <v>2</v>
      </c>
      <c r="H140" s="62">
        <v>5</v>
      </c>
      <c r="I140" s="62">
        <v>10</v>
      </c>
      <c r="K140" s="56"/>
      <c r="L140" s="55" t="s">
        <v>199</v>
      </c>
      <c r="M140" s="62">
        <v>0.05</v>
      </c>
      <c r="N140" s="62">
        <v>0.1</v>
      </c>
      <c r="O140" s="62">
        <v>0.2</v>
      </c>
      <c r="P140" s="62">
        <v>0.5</v>
      </c>
      <c r="Q140" s="62">
        <v>1</v>
      </c>
      <c r="R140" s="62">
        <v>2</v>
      </c>
      <c r="S140" s="62">
        <v>5</v>
      </c>
      <c r="T140" s="62">
        <v>10</v>
      </c>
      <c r="U140" s="62">
        <v>20</v>
      </c>
      <c r="V140" s="62">
        <v>50</v>
      </c>
      <c r="W140" s="54"/>
      <c r="X140" s="54"/>
      <c r="Z140" s="63"/>
      <c r="AA140" s="64"/>
      <c r="AB140" s="54"/>
      <c r="AC140" s="54"/>
      <c r="AD140" s="54"/>
      <c r="AE140" s="54"/>
      <c r="AF140" s="54"/>
      <c r="AH140" s="41"/>
    </row>
    <row r="141" spans="1:35" ht="12.75" x14ac:dyDescent="0.2">
      <c r="A141" s="55" t="s">
        <v>200</v>
      </c>
      <c r="B141" s="38">
        <v>93</v>
      </c>
      <c r="C141" s="38">
        <v>22</v>
      </c>
      <c r="D141" s="65">
        <v>11</v>
      </c>
      <c r="E141" s="65">
        <v>6</v>
      </c>
      <c r="F141" s="65">
        <v>11</v>
      </c>
      <c r="G141" s="65"/>
      <c r="H141" s="65">
        <v>2</v>
      </c>
      <c r="I141" s="65"/>
      <c r="J141" s="54"/>
      <c r="K141" s="56"/>
      <c r="L141" s="55" t="s">
        <v>200</v>
      </c>
      <c r="M141" s="38">
        <v>101</v>
      </c>
      <c r="N141" s="38">
        <v>17</v>
      </c>
      <c r="O141" s="65">
        <v>9</v>
      </c>
      <c r="P141" s="65">
        <v>4</v>
      </c>
      <c r="Q141" s="65">
        <v>17</v>
      </c>
      <c r="R141" s="65">
        <v>8</v>
      </c>
      <c r="S141" s="65">
        <v>12</v>
      </c>
      <c r="T141" s="65">
        <v>1</v>
      </c>
      <c r="U141" s="65">
        <v>11</v>
      </c>
      <c r="V141" s="65">
        <v>4</v>
      </c>
      <c r="W141" s="65"/>
      <c r="X141" s="54"/>
      <c r="Z141" s="63"/>
      <c r="AA141" s="64"/>
      <c r="AB141" s="54"/>
      <c r="AC141" s="54"/>
      <c r="AD141" s="54"/>
      <c r="AE141" s="54"/>
      <c r="AF141" s="54"/>
      <c r="AH141" s="41"/>
    </row>
    <row r="142" spans="1:35" ht="12.75" x14ac:dyDescent="0.2">
      <c r="A142" s="55" t="s">
        <v>141</v>
      </c>
      <c r="B142" s="70">
        <f t="shared" ref="B142:I142" si="46">B141*B140</f>
        <v>4.6500000000000004</v>
      </c>
      <c r="C142" s="70">
        <f t="shared" si="46"/>
        <v>2.2000000000000002</v>
      </c>
      <c r="D142" s="70">
        <f t="shared" si="46"/>
        <v>2.2000000000000002</v>
      </c>
      <c r="E142" s="70">
        <f t="shared" si="46"/>
        <v>3</v>
      </c>
      <c r="F142" s="70">
        <f t="shared" si="46"/>
        <v>11</v>
      </c>
      <c r="G142" s="70">
        <f t="shared" si="46"/>
        <v>0</v>
      </c>
      <c r="H142" s="65">
        <f t="shared" si="46"/>
        <v>10</v>
      </c>
      <c r="I142" s="65">
        <f t="shared" si="46"/>
        <v>0</v>
      </c>
      <c r="J142" s="54">
        <f>SUM(B142:I142)</f>
        <v>33.049999999999997</v>
      </c>
      <c r="K142" s="56"/>
      <c r="L142" s="55" t="s">
        <v>141</v>
      </c>
      <c r="M142" s="70">
        <f t="shared" ref="M142:V142" si="47">M141*M140</f>
        <v>5.0500000000000007</v>
      </c>
      <c r="N142" s="70">
        <f t="shared" si="47"/>
        <v>1.7000000000000002</v>
      </c>
      <c r="O142" s="70">
        <f t="shared" si="47"/>
        <v>1.8</v>
      </c>
      <c r="P142" s="70">
        <f t="shared" si="47"/>
        <v>2</v>
      </c>
      <c r="Q142" s="70">
        <f t="shared" si="47"/>
        <v>17</v>
      </c>
      <c r="R142" s="70">
        <f t="shared" si="47"/>
        <v>16</v>
      </c>
      <c r="S142" s="70">
        <f t="shared" si="47"/>
        <v>60</v>
      </c>
      <c r="T142" s="70">
        <f t="shared" si="47"/>
        <v>10</v>
      </c>
      <c r="U142" s="70">
        <f t="shared" si="47"/>
        <v>220</v>
      </c>
      <c r="V142" s="70">
        <f t="shared" si="47"/>
        <v>200</v>
      </c>
      <c r="W142" s="54">
        <f>SUM(M142:V142)</f>
        <v>533.54999999999995</v>
      </c>
      <c r="X142" s="55">
        <f>W142-J142</f>
        <v>500.49999999999994</v>
      </c>
      <c r="Y142" s="63">
        <v>309.5</v>
      </c>
      <c r="Z142" s="63">
        <v>229.3</v>
      </c>
      <c r="AA142" s="66">
        <f>X142+Z142</f>
        <v>729.8</v>
      </c>
      <c r="AB142" s="55">
        <v>80</v>
      </c>
      <c r="AC142" s="55">
        <f>Y142-AB142</f>
        <v>229.5</v>
      </c>
      <c r="AD142" s="55">
        <f>X142-Y142</f>
        <v>190.99999999999994</v>
      </c>
      <c r="AE142" s="55"/>
      <c r="AF142" s="55">
        <f>AD142-AE142</f>
        <v>190.99999999999994</v>
      </c>
      <c r="AG142" s="61"/>
      <c r="AH142" s="77">
        <f>(SUM(Y142:Z142)/(1+10/100))*(10/100)</f>
        <v>48.981818181818177</v>
      </c>
      <c r="AI142" s="61"/>
    </row>
    <row r="143" spans="1:35" ht="12.75" x14ac:dyDescent="0.2">
      <c r="AC143" s="38">
        <v>-29.5</v>
      </c>
      <c r="AH143" s="41"/>
    </row>
    <row r="144" spans="1:35" ht="12.75" x14ac:dyDescent="0.2">
      <c r="AH144" s="41"/>
    </row>
    <row r="145" spans="24:34" ht="12.75" x14ac:dyDescent="0.2">
      <c r="AB145" s="38" t="s">
        <v>253</v>
      </c>
      <c r="AC145" s="38">
        <v>-200</v>
      </c>
    </row>
    <row r="146" spans="24:34" ht="12.75" x14ac:dyDescent="0.2">
      <c r="AB146" s="38" t="s">
        <v>217</v>
      </c>
      <c r="AC146" s="38">
        <v>-603</v>
      </c>
    </row>
    <row r="149" spans="24:34" ht="12.75" x14ac:dyDescent="0.2">
      <c r="AH149" s="41"/>
    </row>
    <row r="150" spans="24:34" ht="12.75" x14ac:dyDescent="0.2">
      <c r="AH150" s="41"/>
    </row>
    <row r="151" spans="24:34" ht="12.75" x14ac:dyDescent="0.2">
      <c r="AH151" s="41"/>
    </row>
    <row r="152" spans="24:34" ht="12.75" x14ac:dyDescent="0.2">
      <c r="AH152" s="41"/>
    </row>
    <row r="153" spans="24:34" ht="12.75" x14ac:dyDescent="0.2">
      <c r="AH153" s="41"/>
    </row>
    <row r="154" spans="24:34" x14ac:dyDescent="0.25">
      <c r="X154" s="68" t="s">
        <v>208</v>
      </c>
      <c r="Y154" s="69">
        <f t="shared" ref="Y154:AF154" si="48">SUM(Y2:Y150)</f>
        <v>3504.2000000000003</v>
      </c>
      <c r="Z154" s="69">
        <f t="shared" si="48"/>
        <v>1384.0000000000002</v>
      </c>
      <c r="AA154" s="69">
        <f t="shared" si="48"/>
        <v>8782.4499999999989</v>
      </c>
      <c r="AB154" s="69">
        <f t="shared" si="48"/>
        <v>1533.7</v>
      </c>
      <c r="AC154" s="69">
        <f t="shared" si="48"/>
        <v>775.60000000000014</v>
      </c>
      <c r="AD154" s="69">
        <f t="shared" si="48"/>
        <v>3894.2500000000009</v>
      </c>
      <c r="AE154" s="69">
        <f t="shared" si="48"/>
        <v>941.05</v>
      </c>
      <c r="AF154" s="69">
        <f t="shared" si="48"/>
        <v>2947.6500000000005</v>
      </c>
      <c r="AH154" s="41"/>
    </row>
    <row r="155" spans="24:34" ht="12.75" x14ac:dyDescent="0.2">
      <c r="AH155" s="41"/>
    </row>
    <row r="156" spans="24:34" ht="12.75" x14ac:dyDescent="0.2">
      <c r="AE156" s="38" t="s">
        <v>221</v>
      </c>
      <c r="AF156" s="38">
        <v>-900</v>
      </c>
      <c r="AH156" s="41"/>
    </row>
    <row r="157" spans="24:34" ht="12.75" x14ac:dyDescent="0.2">
      <c r="AE157" s="38" t="s">
        <v>211</v>
      </c>
      <c r="AF157" s="38">
        <v>-900</v>
      </c>
      <c r="AH157" s="41"/>
    </row>
    <row r="158" spans="24:34" ht="12.75" x14ac:dyDescent="0.2">
      <c r="AE158" s="38" t="s">
        <v>222</v>
      </c>
      <c r="AF158" s="38">
        <v>-796</v>
      </c>
      <c r="AH158" s="41"/>
    </row>
    <row r="159" spans="24:34" ht="12.75" x14ac:dyDescent="0.2">
      <c r="AE159" s="38" t="s">
        <v>229</v>
      </c>
      <c r="AF159" s="38">
        <v>-300</v>
      </c>
      <c r="AH159" s="41"/>
    </row>
    <row r="160" spans="24:34" ht="12.75" x14ac:dyDescent="0.2">
      <c r="AE160" s="38" t="s">
        <v>244</v>
      </c>
      <c r="AF160" s="38">
        <v>-40</v>
      </c>
      <c r="AH160" s="41"/>
    </row>
    <row r="161" spans="34:34" ht="12.75" x14ac:dyDescent="0.2">
      <c r="AH161" s="41"/>
    </row>
    <row r="162" spans="34:34" ht="12.75" x14ac:dyDescent="0.2">
      <c r="AH162" s="41"/>
    </row>
    <row r="163" spans="34:34" ht="12.75" x14ac:dyDescent="0.2">
      <c r="AH163" s="41"/>
    </row>
    <row r="164" spans="34:34" ht="12.75" x14ac:dyDescent="0.2">
      <c r="AH164" s="41"/>
    </row>
    <row r="165" spans="34:34" ht="12.75" x14ac:dyDescent="0.2">
      <c r="AH165" s="41"/>
    </row>
    <row r="166" spans="34:34" ht="12.75" x14ac:dyDescent="0.2">
      <c r="AH166" s="41"/>
    </row>
    <row r="167" spans="34:34" ht="12.75" x14ac:dyDescent="0.2">
      <c r="AH167" s="41"/>
    </row>
    <row r="168" spans="34:34" ht="12.75" x14ac:dyDescent="0.2">
      <c r="AH168" s="41"/>
    </row>
    <row r="169" spans="34:34" ht="12.75" x14ac:dyDescent="0.2">
      <c r="AH169" s="41"/>
    </row>
    <row r="170" spans="34:34" ht="12.75" x14ac:dyDescent="0.2">
      <c r="AH170" s="41"/>
    </row>
    <row r="171" spans="34:34" ht="12.75" x14ac:dyDescent="0.2">
      <c r="AH171" s="41"/>
    </row>
    <row r="172" spans="34:34" ht="12.75" x14ac:dyDescent="0.2">
      <c r="AH172" s="41"/>
    </row>
    <row r="173" spans="34:34" ht="12.75" x14ac:dyDescent="0.2">
      <c r="AH173" s="41"/>
    </row>
    <row r="174" spans="34:34" ht="12.75" x14ac:dyDescent="0.2">
      <c r="AH174" s="41"/>
    </row>
    <row r="175" spans="34:34" ht="12.75" x14ac:dyDescent="0.2">
      <c r="AH175" s="41"/>
    </row>
    <row r="176" spans="34:34" ht="12.75" x14ac:dyDescent="0.2">
      <c r="AH176" s="41"/>
    </row>
    <row r="177" spans="34:34" ht="12.75" x14ac:dyDescent="0.2">
      <c r="AH177" s="41"/>
    </row>
    <row r="178" spans="34:34" ht="12.75" x14ac:dyDescent="0.2">
      <c r="AH178" s="41"/>
    </row>
    <row r="179" spans="34:34" ht="12.75" x14ac:dyDescent="0.2">
      <c r="AH179" s="41"/>
    </row>
    <row r="180" spans="34:34" ht="12.75" x14ac:dyDescent="0.2">
      <c r="AH180" s="41"/>
    </row>
    <row r="181" spans="34:34" ht="12.75" x14ac:dyDescent="0.2">
      <c r="AH181" s="41"/>
    </row>
    <row r="182" spans="34:34" ht="12.75" x14ac:dyDescent="0.2">
      <c r="AH182" s="41"/>
    </row>
    <row r="183" spans="34:34" ht="12.75" x14ac:dyDescent="0.2">
      <c r="AH183" s="41"/>
    </row>
    <row r="184" spans="34:34" ht="12.75" x14ac:dyDescent="0.2">
      <c r="AH184" s="41"/>
    </row>
    <row r="185" spans="34:34" ht="12.75" x14ac:dyDescent="0.2">
      <c r="AH185" s="41"/>
    </row>
    <row r="186" spans="34:34" ht="12.75" x14ac:dyDescent="0.2">
      <c r="AH186" s="41"/>
    </row>
    <row r="187" spans="34:34" ht="12.75" x14ac:dyDescent="0.2">
      <c r="AH187" s="41"/>
    </row>
    <row r="188" spans="34:34" ht="12.75" x14ac:dyDescent="0.2">
      <c r="AH188" s="41"/>
    </row>
    <row r="189" spans="34:34" ht="12.75" x14ac:dyDescent="0.2">
      <c r="AH189" s="41"/>
    </row>
    <row r="190" spans="34:34" ht="12.75" x14ac:dyDescent="0.2">
      <c r="AH190" s="41"/>
    </row>
    <row r="191" spans="34:34" ht="12.75" x14ac:dyDescent="0.2">
      <c r="AH191" s="41"/>
    </row>
    <row r="192" spans="34:34" ht="12.75" x14ac:dyDescent="0.2">
      <c r="AH192" s="41"/>
    </row>
    <row r="193" spans="34:34" ht="12.75" x14ac:dyDescent="0.2">
      <c r="AH193" s="41"/>
    </row>
    <row r="194" spans="34:34" ht="12.75" x14ac:dyDescent="0.2">
      <c r="AH194" s="41"/>
    </row>
    <row r="195" spans="34:34" ht="12.75" x14ac:dyDescent="0.2">
      <c r="AH195" s="41"/>
    </row>
    <row r="196" spans="34:34" ht="12.75" x14ac:dyDescent="0.2">
      <c r="AH196" s="41"/>
    </row>
    <row r="197" spans="34:34" ht="12.75" x14ac:dyDescent="0.2">
      <c r="AH197" s="41"/>
    </row>
    <row r="198" spans="34:34" ht="12.75" x14ac:dyDescent="0.2">
      <c r="AH198" s="41"/>
    </row>
    <row r="199" spans="34:34" ht="12.75" x14ac:dyDescent="0.2">
      <c r="AH199" s="41"/>
    </row>
    <row r="200" spans="34:34" ht="12.75" x14ac:dyDescent="0.2">
      <c r="AH200" s="41"/>
    </row>
    <row r="201" spans="34:34" ht="12.75" x14ac:dyDescent="0.2">
      <c r="AH201" s="41"/>
    </row>
    <row r="202" spans="34:34" ht="12.75" x14ac:dyDescent="0.2">
      <c r="AH202" s="41"/>
    </row>
    <row r="203" spans="34:34" ht="12.75" x14ac:dyDescent="0.2">
      <c r="AH203" s="41"/>
    </row>
    <row r="204" spans="34:34" ht="12.75" x14ac:dyDescent="0.2">
      <c r="AH204" s="41"/>
    </row>
    <row r="205" spans="34:34" ht="12.75" x14ac:dyDescent="0.2">
      <c r="AH205" s="41"/>
    </row>
    <row r="206" spans="34:34" ht="12.75" x14ac:dyDescent="0.2">
      <c r="AH206" s="41"/>
    </row>
    <row r="207" spans="34:34" ht="12.75" x14ac:dyDescent="0.2">
      <c r="AH207" s="41"/>
    </row>
    <row r="208" spans="34:34" ht="12.75" x14ac:dyDescent="0.2">
      <c r="AH208" s="41"/>
    </row>
    <row r="209" spans="34:34" ht="12.75" x14ac:dyDescent="0.2">
      <c r="AH209" s="41"/>
    </row>
    <row r="210" spans="34:34" ht="12.75" x14ac:dyDescent="0.2">
      <c r="AH210" s="41"/>
    </row>
    <row r="211" spans="34:34" ht="12.75" x14ac:dyDescent="0.2">
      <c r="AH211" s="41"/>
    </row>
    <row r="212" spans="34:34" ht="12.75" x14ac:dyDescent="0.2">
      <c r="AH212" s="41"/>
    </row>
    <row r="213" spans="34:34" ht="12.75" x14ac:dyDescent="0.2">
      <c r="AH213" s="41"/>
    </row>
    <row r="214" spans="34:34" ht="12.75" x14ac:dyDescent="0.2">
      <c r="AH214" s="41"/>
    </row>
    <row r="215" spans="34:34" ht="12.75" x14ac:dyDescent="0.2">
      <c r="AH215" s="41"/>
    </row>
    <row r="216" spans="34:34" ht="12.75" x14ac:dyDescent="0.2">
      <c r="AH216" s="41"/>
    </row>
    <row r="217" spans="34:34" ht="12.75" x14ac:dyDescent="0.2">
      <c r="AH217" s="41"/>
    </row>
    <row r="218" spans="34:34" ht="12.75" x14ac:dyDescent="0.2">
      <c r="AH218" s="41"/>
    </row>
    <row r="219" spans="34:34" ht="12.75" x14ac:dyDescent="0.2">
      <c r="AH219" s="41"/>
    </row>
    <row r="220" spans="34:34" ht="12.75" x14ac:dyDescent="0.2">
      <c r="AH220" s="41"/>
    </row>
    <row r="221" spans="34:34" ht="12.75" x14ac:dyDescent="0.2">
      <c r="AH221" s="41"/>
    </row>
    <row r="222" spans="34:34" ht="12.75" x14ac:dyDescent="0.2">
      <c r="AH222" s="41"/>
    </row>
    <row r="223" spans="34:34" ht="12.75" x14ac:dyDescent="0.2">
      <c r="AH223" s="41"/>
    </row>
    <row r="224" spans="34:34" ht="12.75" x14ac:dyDescent="0.2">
      <c r="AH224" s="41"/>
    </row>
    <row r="225" spans="34:34" ht="12.75" x14ac:dyDescent="0.2">
      <c r="AH225" s="41"/>
    </row>
    <row r="226" spans="34:34" ht="12.75" x14ac:dyDescent="0.2">
      <c r="AH226" s="41"/>
    </row>
    <row r="227" spans="34:34" ht="12.75" x14ac:dyDescent="0.2">
      <c r="AH227" s="41"/>
    </row>
    <row r="228" spans="34:34" ht="12.75" x14ac:dyDescent="0.2">
      <c r="AH228" s="41"/>
    </row>
    <row r="229" spans="34:34" ht="12.75" x14ac:dyDescent="0.2">
      <c r="AH229" s="41"/>
    </row>
    <row r="230" spans="34:34" ht="12.75" x14ac:dyDescent="0.2">
      <c r="AH230" s="41"/>
    </row>
    <row r="231" spans="34:34" ht="12.75" x14ac:dyDescent="0.2">
      <c r="AH231" s="41"/>
    </row>
    <row r="232" spans="34:34" ht="12.75" x14ac:dyDescent="0.2">
      <c r="AH232" s="41"/>
    </row>
    <row r="233" spans="34:34" ht="12.75" x14ac:dyDescent="0.2">
      <c r="AH233" s="41"/>
    </row>
    <row r="234" spans="34:34" ht="12.75" x14ac:dyDescent="0.2">
      <c r="AH234" s="41"/>
    </row>
    <row r="235" spans="34:34" ht="12.75" x14ac:dyDescent="0.2">
      <c r="AH235" s="41"/>
    </row>
    <row r="236" spans="34:34" ht="12.75" x14ac:dyDescent="0.2">
      <c r="AH236" s="41"/>
    </row>
    <row r="237" spans="34:34" ht="12.75" x14ac:dyDescent="0.2">
      <c r="AH237" s="41"/>
    </row>
    <row r="238" spans="34:34" ht="12.75" x14ac:dyDescent="0.2">
      <c r="AH238" s="41"/>
    </row>
    <row r="239" spans="34:34" ht="12.75" x14ac:dyDescent="0.2">
      <c r="AH239" s="41"/>
    </row>
    <row r="240" spans="34:34" ht="12.75" x14ac:dyDescent="0.2">
      <c r="AH240" s="41"/>
    </row>
    <row r="241" spans="34:34" ht="12.75" x14ac:dyDescent="0.2">
      <c r="AH241" s="41"/>
    </row>
    <row r="242" spans="34:34" ht="12.75" x14ac:dyDescent="0.2">
      <c r="AH242" s="41"/>
    </row>
    <row r="243" spans="34:34" ht="12.75" x14ac:dyDescent="0.2">
      <c r="AH243" s="41"/>
    </row>
    <row r="244" spans="34:34" ht="12.75" x14ac:dyDescent="0.2">
      <c r="AH244" s="41"/>
    </row>
    <row r="245" spans="34:34" ht="12.75" x14ac:dyDescent="0.2">
      <c r="AH245" s="41"/>
    </row>
    <row r="246" spans="34:34" ht="12.75" x14ac:dyDescent="0.2">
      <c r="AH246" s="41"/>
    </row>
    <row r="247" spans="34:34" ht="12.75" x14ac:dyDescent="0.2">
      <c r="AH247" s="41"/>
    </row>
    <row r="248" spans="34:34" ht="12.75" x14ac:dyDescent="0.2">
      <c r="AH248" s="41"/>
    </row>
    <row r="249" spans="34:34" ht="12.75" x14ac:dyDescent="0.2">
      <c r="AH249" s="41"/>
    </row>
    <row r="250" spans="34:34" ht="12.75" x14ac:dyDescent="0.2">
      <c r="AH250" s="41"/>
    </row>
    <row r="251" spans="34:34" ht="12.75" x14ac:dyDescent="0.2">
      <c r="AH251" s="41"/>
    </row>
    <row r="252" spans="34:34" ht="12.75" x14ac:dyDescent="0.2">
      <c r="AH252" s="41"/>
    </row>
    <row r="253" spans="34:34" ht="12.75" x14ac:dyDescent="0.2">
      <c r="AH253" s="41"/>
    </row>
    <row r="254" spans="34:34" ht="12.75" x14ac:dyDescent="0.2">
      <c r="AH254" s="41"/>
    </row>
    <row r="255" spans="34:34" ht="12.75" x14ac:dyDescent="0.2">
      <c r="AH255" s="41"/>
    </row>
    <row r="256" spans="34:34" ht="12.75" x14ac:dyDescent="0.2">
      <c r="AH256" s="41"/>
    </row>
    <row r="257" spans="34:34" ht="12.75" x14ac:dyDescent="0.2">
      <c r="AH257" s="41"/>
    </row>
    <row r="258" spans="34:34" ht="12.75" x14ac:dyDescent="0.2">
      <c r="AH258" s="41"/>
    </row>
    <row r="259" spans="34:34" ht="12.75" x14ac:dyDescent="0.2">
      <c r="AH259" s="41"/>
    </row>
    <row r="260" spans="34:34" ht="12.75" x14ac:dyDescent="0.2">
      <c r="AH260" s="41"/>
    </row>
    <row r="261" spans="34:34" ht="12.75" x14ac:dyDescent="0.2">
      <c r="AH261" s="41"/>
    </row>
    <row r="262" spans="34:34" ht="12.75" x14ac:dyDescent="0.2">
      <c r="AH262" s="41"/>
    </row>
    <row r="263" spans="34:34" ht="12.75" x14ac:dyDescent="0.2">
      <c r="AH263" s="41"/>
    </row>
    <row r="264" spans="34:34" ht="12.75" x14ac:dyDescent="0.2">
      <c r="AH264" s="41"/>
    </row>
    <row r="265" spans="34:34" ht="12.75" x14ac:dyDescent="0.2">
      <c r="AH265" s="41"/>
    </row>
    <row r="266" spans="34:34" ht="12.75" x14ac:dyDescent="0.2">
      <c r="AH266" s="41"/>
    </row>
    <row r="267" spans="34:34" ht="12.75" x14ac:dyDescent="0.2">
      <c r="AH267" s="41"/>
    </row>
    <row r="268" spans="34:34" ht="12.75" x14ac:dyDescent="0.2">
      <c r="AH268" s="41"/>
    </row>
    <row r="269" spans="34:34" ht="12.75" x14ac:dyDescent="0.2">
      <c r="AH269" s="41"/>
    </row>
    <row r="270" spans="34:34" ht="12.75" x14ac:dyDescent="0.2">
      <c r="AH270" s="41"/>
    </row>
    <row r="271" spans="34:34" ht="12.75" x14ac:dyDescent="0.2">
      <c r="AH271" s="41"/>
    </row>
    <row r="272" spans="34:34" ht="12.75" x14ac:dyDescent="0.2">
      <c r="AH272" s="41"/>
    </row>
    <row r="273" spans="34:34" ht="12.75" x14ac:dyDescent="0.2">
      <c r="AH273" s="41"/>
    </row>
    <row r="274" spans="34:34" ht="12.75" x14ac:dyDescent="0.2">
      <c r="AH274" s="41"/>
    </row>
    <row r="275" spans="34:34" ht="12.75" x14ac:dyDescent="0.2">
      <c r="AH275" s="41"/>
    </row>
    <row r="276" spans="34:34" ht="12.75" x14ac:dyDescent="0.2">
      <c r="AH276" s="41"/>
    </row>
    <row r="277" spans="34:34" ht="12.75" x14ac:dyDescent="0.2">
      <c r="AH277" s="41"/>
    </row>
    <row r="278" spans="34:34" ht="12.75" x14ac:dyDescent="0.2">
      <c r="AH278" s="41"/>
    </row>
    <row r="279" spans="34:34" ht="12.75" x14ac:dyDescent="0.2">
      <c r="AH279" s="41"/>
    </row>
    <row r="280" spans="34:34" ht="12.75" x14ac:dyDescent="0.2">
      <c r="AH280" s="41"/>
    </row>
    <row r="281" spans="34:34" ht="12.75" x14ac:dyDescent="0.2">
      <c r="AH281" s="41"/>
    </row>
    <row r="282" spans="34:34" ht="12.75" x14ac:dyDescent="0.2">
      <c r="AH282" s="41"/>
    </row>
    <row r="283" spans="34:34" ht="12.75" x14ac:dyDescent="0.2">
      <c r="AH283" s="41"/>
    </row>
    <row r="284" spans="34:34" ht="12.75" x14ac:dyDescent="0.2">
      <c r="AH284" s="41"/>
    </row>
    <row r="285" spans="34:34" ht="12.75" x14ac:dyDescent="0.2">
      <c r="AH285" s="41"/>
    </row>
    <row r="286" spans="34:34" ht="12.75" x14ac:dyDescent="0.2">
      <c r="AH286" s="41"/>
    </row>
    <row r="287" spans="34:34" ht="12.75" x14ac:dyDescent="0.2">
      <c r="AH287" s="41"/>
    </row>
    <row r="288" spans="34:34" ht="12.75" x14ac:dyDescent="0.2">
      <c r="AH288" s="41"/>
    </row>
    <row r="289" spans="34:34" ht="12.75" x14ac:dyDescent="0.2">
      <c r="AH289" s="41"/>
    </row>
    <row r="290" spans="34:34" ht="12.75" x14ac:dyDescent="0.2">
      <c r="AH290" s="41"/>
    </row>
    <row r="291" spans="34:34" ht="12.75" x14ac:dyDescent="0.2">
      <c r="AH291" s="41"/>
    </row>
    <row r="292" spans="34:34" ht="12.75" x14ac:dyDescent="0.2">
      <c r="AH292" s="41"/>
    </row>
    <row r="293" spans="34:34" ht="12.75" x14ac:dyDescent="0.2">
      <c r="AH293" s="41"/>
    </row>
    <row r="294" spans="34:34" ht="12.75" x14ac:dyDescent="0.2">
      <c r="AH294" s="41"/>
    </row>
    <row r="295" spans="34:34" ht="12.75" x14ac:dyDescent="0.2">
      <c r="AH295" s="41"/>
    </row>
    <row r="296" spans="34:34" ht="12.75" x14ac:dyDescent="0.2">
      <c r="AH296" s="41"/>
    </row>
    <row r="297" spans="34:34" ht="12.75" x14ac:dyDescent="0.2">
      <c r="AH297" s="41"/>
    </row>
    <row r="298" spans="34:34" ht="12.75" x14ac:dyDescent="0.2">
      <c r="AH298" s="41"/>
    </row>
    <row r="299" spans="34:34" ht="12.75" x14ac:dyDescent="0.2">
      <c r="AH299" s="41"/>
    </row>
    <row r="300" spans="34:34" ht="12.75" x14ac:dyDescent="0.2">
      <c r="AH300" s="41"/>
    </row>
    <row r="301" spans="34:34" ht="12.75" x14ac:dyDescent="0.2">
      <c r="AH301" s="41"/>
    </row>
    <row r="302" spans="34:34" ht="12.75" x14ac:dyDescent="0.2">
      <c r="AH302" s="41"/>
    </row>
    <row r="303" spans="34:34" ht="12.75" x14ac:dyDescent="0.2">
      <c r="AH303" s="41"/>
    </row>
    <row r="304" spans="34:34" ht="12.75" x14ac:dyDescent="0.2">
      <c r="AH304" s="41"/>
    </row>
    <row r="305" spans="34:34" ht="12.75" x14ac:dyDescent="0.2">
      <c r="AH305" s="41"/>
    </row>
    <row r="306" spans="34:34" ht="12.75" x14ac:dyDescent="0.2">
      <c r="AH306" s="41"/>
    </row>
    <row r="307" spans="34:34" ht="12.75" x14ac:dyDescent="0.2">
      <c r="AH307" s="41"/>
    </row>
    <row r="308" spans="34:34" ht="12.75" x14ac:dyDescent="0.2">
      <c r="AH308" s="41"/>
    </row>
    <row r="309" spans="34:34" ht="12.75" x14ac:dyDescent="0.2">
      <c r="AH309" s="41"/>
    </row>
    <row r="310" spans="34:34" ht="12.75" x14ac:dyDescent="0.2">
      <c r="AH310" s="41"/>
    </row>
    <row r="311" spans="34:34" ht="12.75" x14ac:dyDescent="0.2">
      <c r="AH311" s="41"/>
    </row>
    <row r="312" spans="34:34" ht="12.75" x14ac:dyDescent="0.2">
      <c r="AH312" s="41"/>
    </row>
    <row r="313" spans="34:34" ht="12.75" x14ac:dyDescent="0.2">
      <c r="AH313" s="41"/>
    </row>
    <row r="314" spans="34:34" ht="12.75" x14ac:dyDescent="0.2">
      <c r="AH314" s="41"/>
    </row>
    <row r="315" spans="34:34" ht="12.75" x14ac:dyDescent="0.2">
      <c r="AH315" s="41"/>
    </row>
    <row r="316" spans="34:34" ht="12.75" x14ac:dyDescent="0.2">
      <c r="AH316" s="41"/>
    </row>
    <row r="317" spans="34:34" ht="12.75" x14ac:dyDescent="0.2">
      <c r="AH317" s="41"/>
    </row>
    <row r="318" spans="34:34" ht="12.75" x14ac:dyDescent="0.2">
      <c r="AH318" s="41"/>
    </row>
    <row r="319" spans="34:34" ht="12.75" x14ac:dyDescent="0.2">
      <c r="AH319" s="41"/>
    </row>
    <row r="320" spans="34:34" ht="12.75" x14ac:dyDescent="0.2">
      <c r="AH320" s="41"/>
    </row>
    <row r="321" spans="34:34" ht="12.75" x14ac:dyDescent="0.2">
      <c r="AH321" s="41"/>
    </row>
    <row r="322" spans="34:34" ht="12.75" x14ac:dyDescent="0.2">
      <c r="AH322" s="41"/>
    </row>
    <row r="323" spans="34:34" ht="12.75" x14ac:dyDescent="0.2">
      <c r="AH323" s="41"/>
    </row>
    <row r="324" spans="34:34" ht="12.75" x14ac:dyDescent="0.2">
      <c r="AH324" s="41"/>
    </row>
    <row r="325" spans="34:34" ht="12.75" x14ac:dyDescent="0.2">
      <c r="AH325" s="41"/>
    </row>
    <row r="326" spans="34:34" ht="12.75" x14ac:dyDescent="0.2">
      <c r="AH326" s="41"/>
    </row>
    <row r="327" spans="34:34" ht="12.75" x14ac:dyDescent="0.2">
      <c r="AH327" s="41"/>
    </row>
    <row r="328" spans="34:34" ht="12.75" x14ac:dyDescent="0.2">
      <c r="AH328" s="41"/>
    </row>
    <row r="329" spans="34:34" ht="12.75" x14ac:dyDescent="0.2">
      <c r="AH329" s="41"/>
    </row>
    <row r="330" spans="34:34" ht="12.75" x14ac:dyDescent="0.2">
      <c r="AH330" s="41"/>
    </row>
    <row r="331" spans="34:34" ht="12.75" x14ac:dyDescent="0.2">
      <c r="AH331" s="41"/>
    </row>
    <row r="332" spans="34:34" ht="12.75" x14ac:dyDescent="0.2">
      <c r="AH332" s="41"/>
    </row>
    <row r="333" spans="34:34" ht="12.75" x14ac:dyDescent="0.2">
      <c r="AH333" s="41"/>
    </row>
    <row r="334" spans="34:34" ht="12.75" x14ac:dyDescent="0.2">
      <c r="AH334" s="41"/>
    </row>
    <row r="335" spans="34:34" ht="12.75" x14ac:dyDescent="0.2">
      <c r="AH335" s="41"/>
    </row>
    <row r="336" spans="34:34" ht="12.75" x14ac:dyDescent="0.2">
      <c r="AH336" s="41"/>
    </row>
    <row r="337" spans="34:34" ht="12.75" x14ac:dyDescent="0.2">
      <c r="AH337" s="41"/>
    </row>
    <row r="338" spans="34:34" ht="12.75" x14ac:dyDescent="0.2">
      <c r="AH338" s="41"/>
    </row>
    <row r="339" spans="34:34" ht="12.75" x14ac:dyDescent="0.2">
      <c r="AH339" s="41"/>
    </row>
    <row r="340" spans="34:34" ht="12.75" x14ac:dyDescent="0.2">
      <c r="AH340" s="41"/>
    </row>
    <row r="341" spans="34:34" ht="12.75" x14ac:dyDescent="0.2">
      <c r="AH341" s="41"/>
    </row>
    <row r="342" spans="34:34" ht="12.75" x14ac:dyDescent="0.2">
      <c r="AH342" s="41"/>
    </row>
    <row r="343" spans="34:34" ht="12.75" x14ac:dyDescent="0.2">
      <c r="AH343" s="41"/>
    </row>
    <row r="344" spans="34:34" ht="12.75" x14ac:dyDescent="0.2">
      <c r="AH344" s="41"/>
    </row>
    <row r="345" spans="34:34" ht="12.75" x14ac:dyDescent="0.2">
      <c r="AH345" s="41"/>
    </row>
    <row r="346" spans="34:34" ht="12.75" x14ac:dyDescent="0.2">
      <c r="AH346" s="41"/>
    </row>
    <row r="347" spans="34:34" ht="12.75" x14ac:dyDescent="0.2">
      <c r="AH347" s="41"/>
    </row>
    <row r="348" spans="34:34" ht="12.75" x14ac:dyDescent="0.2">
      <c r="AH348" s="41"/>
    </row>
    <row r="349" spans="34:34" ht="12.75" x14ac:dyDescent="0.2">
      <c r="AH349" s="41"/>
    </row>
    <row r="350" spans="34:34" ht="12.75" x14ac:dyDescent="0.2">
      <c r="AH350" s="41"/>
    </row>
    <row r="351" spans="34:34" ht="12.75" x14ac:dyDescent="0.2">
      <c r="AH351" s="41"/>
    </row>
    <row r="352" spans="34:34" ht="12.75" x14ac:dyDescent="0.2">
      <c r="AH352" s="41"/>
    </row>
    <row r="353" spans="34:34" ht="12.75" x14ac:dyDescent="0.2">
      <c r="AH353" s="41"/>
    </row>
    <row r="354" spans="34:34" ht="12.75" x14ac:dyDescent="0.2">
      <c r="AH354" s="41"/>
    </row>
    <row r="355" spans="34:34" ht="12.75" x14ac:dyDescent="0.2">
      <c r="AH355" s="41"/>
    </row>
    <row r="356" spans="34:34" ht="12.75" x14ac:dyDescent="0.2">
      <c r="AH356" s="41"/>
    </row>
    <row r="357" spans="34:34" ht="12.75" x14ac:dyDescent="0.2">
      <c r="AH357" s="41"/>
    </row>
    <row r="358" spans="34:34" ht="12.75" x14ac:dyDescent="0.2">
      <c r="AH358" s="41"/>
    </row>
    <row r="359" spans="34:34" ht="12.75" x14ac:dyDescent="0.2">
      <c r="AH359" s="41"/>
    </row>
    <row r="360" spans="34:34" ht="12.75" x14ac:dyDescent="0.2">
      <c r="AH360" s="41"/>
    </row>
    <row r="361" spans="34:34" ht="12.75" x14ac:dyDescent="0.2">
      <c r="AH361" s="41"/>
    </row>
    <row r="362" spans="34:34" ht="12.75" x14ac:dyDescent="0.2">
      <c r="AH362" s="41"/>
    </row>
    <row r="363" spans="34:34" ht="12.75" x14ac:dyDescent="0.2">
      <c r="AH363" s="41"/>
    </row>
    <row r="364" spans="34:34" ht="12.75" x14ac:dyDescent="0.2">
      <c r="AH364" s="41"/>
    </row>
    <row r="365" spans="34:34" ht="12.75" x14ac:dyDescent="0.2">
      <c r="AH365" s="41"/>
    </row>
    <row r="366" spans="34:34" ht="12.75" x14ac:dyDescent="0.2">
      <c r="AH366" s="41"/>
    </row>
    <row r="367" spans="34:34" ht="12.75" x14ac:dyDescent="0.2">
      <c r="AH367" s="41"/>
    </row>
    <row r="368" spans="34:34" ht="12.75" x14ac:dyDescent="0.2">
      <c r="AH368" s="41"/>
    </row>
    <row r="369" spans="34:34" ht="12.75" x14ac:dyDescent="0.2">
      <c r="AH369" s="41"/>
    </row>
    <row r="370" spans="34:34" ht="12.75" x14ac:dyDescent="0.2">
      <c r="AH370" s="41"/>
    </row>
    <row r="371" spans="34:34" ht="12.75" x14ac:dyDescent="0.2">
      <c r="AH371" s="41"/>
    </row>
    <row r="372" spans="34:34" ht="12.75" x14ac:dyDescent="0.2">
      <c r="AH372" s="41"/>
    </row>
    <row r="373" spans="34:34" ht="12.75" x14ac:dyDescent="0.2">
      <c r="AH373" s="41"/>
    </row>
    <row r="374" spans="34:34" ht="12.75" x14ac:dyDescent="0.2">
      <c r="AH374" s="41"/>
    </row>
    <row r="375" spans="34:34" ht="12.75" x14ac:dyDescent="0.2">
      <c r="AH375" s="41"/>
    </row>
    <row r="376" spans="34:34" ht="12.75" x14ac:dyDescent="0.2">
      <c r="AH376" s="41"/>
    </row>
    <row r="377" spans="34:34" ht="12.75" x14ac:dyDescent="0.2">
      <c r="AH377" s="41"/>
    </row>
    <row r="378" spans="34:34" ht="12.75" x14ac:dyDescent="0.2">
      <c r="AH378" s="41"/>
    </row>
    <row r="379" spans="34:34" ht="12.75" x14ac:dyDescent="0.2">
      <c r="AH379" s="41"/>
    </row>
    <row r="380" spans="34:34" ht="12.75" x14ac:dyDescent="0.2">
      <c r="AH380" s="41"/>
    </row>
    <row r="381" spans="34:34" ht="12.75" x14ac:dyDescent="0.2">
      <c r="AH381" s="41"/>
    </row>
    <row r="382" spans="34:34" ht="12.75" x14ac:dyDescent="0.2">
      <c r="AH382" s="41"/>
    </row>
    <row r="383" spans="34:34" ht="12.75" x14ac:dyDescent="0.2">
      <c r="AH383" s="41"/>
    </row>
    <row r="384" spans="34:34" ht="12.75" x14ac:dyDescent="0.2">
      <c r="AH384" s="41"/>
    </row>
    <row r="385" spans="34:34" ht="12.75" x14ac:dyDescent="0.2">
      <c r="AH385" s="41"/>
    </row>
    <row r="386" spans="34:34" ht="12.75" x14ac:dyDescent="0.2">
      <c r="AH386" s="41"/>
    </row>
    <row r="387" spans="34:34" ht="12.75" x14ac:dyDescent="0.2">
      <c r="AH387" s="41"/>
    </row>
    <row r="388" spans="34:34" ht="12.75" x14ac:dyDescent="0.2">
      <c r="AH388" s="41"/>
    </row>
    <row r="389" spans="34:34" ht="12.75" x14ac:dyDescent="0.2">
      <c r="AH389" s="41"/>
    </row>
    <row r="390" spans="34:34" ht="12.75" x14ac:dyDescent="0.2">
      <c r="AH390" s="41"/>
    </row>
    <row r="391" spans="34:34" ht="12.75" x14ac:dyDescent="0.2">
      <c r="AH391" s="41"/>
    </row>
    <row r="392" spans="34:34" ht="12.75" x14ac:dyDescent="0.2">
      <c r="AH392" s="41"/>
    </row>
    <row r="393" spans="34:34" ht="12.75" x14ac:dyDescent="0.2">
      <c r="AH393" s="41"/>
    </row>
    <row r="394" spans="34:34" ht="12.75" x14ac:dyDescent="0.2">
      <c r="AH394" s="41"/>
    </row>
    <row r="395" spans="34:34" ht="12.75" x14ac:dyDescent="0.2">
      <c r="AH395" s="41"/>
    </row>
    <row r="396" spans="34:34" ht="12.75" x14ac:dyDescent="0.2">
      <c r="AH396" s="41"/>
    </row>
    <row r="397" spans="34:34" ht="12.75" x14ac:dyDescent="0.2">
      <c r="AH397" s="41"/>
    </row>
    <row r="398" spans="34:34" ht="12.75" x14ac:dyDescent="0.2">
      <c r="AH398" s="41"/>
    </row>
    <row r="399" spans="34:34" ht="12.75" x14ac:dyDescent="0.2">
      <c r="AH399" s="41"/>
    </row>
    <row r="400" spans="34:34" ht="12.75" x14ac:dyDescent="0.2">
      <c r="AH400" s="41"/>
    </row>
    <row r="401" spans="34:34" ht="12.75" x14ac:dyDescent="0.2">
      <c r="AH401" s="41"/>
    </row>
    <row r="402" spans="34:34" ht="12.75" x14ac:dyDescent="0.2">
      <c r="AH402" s="41"/>
    </row>
    <row r="403" spans="34:34" ht="12.75" x14ac:dyDescent="0.2">
      <c r="AH403" s="41"/>
    </row>
    <row r="404" spans="34:34" ht="12.75" x14ac:dyDescent="0.2">
      <c r="AH404" s="41"/>
    </row>
    <row r="405" spans="34:34" ht="12.75" x14ac:dyDescent="0.2">
      <c r="AH405" s="41"/>
    </row>
    <row r="406" spans="34:34" ht="12.75" x14ac:dyDescent="0.2">
      <c r="AH406" s="41"/>
    </row>
    <row r="407" spans="34:34" ht="12.75" x14ac:dyDescent="0.2">
      <c r="AH407" s="41"/>
    </row>
    <row r="408" spans="34:34" ht="12.75" x14ac:dyDescent="0.2">
      <c r="AH408" s="41"/>
    </row>
    <row r="409" spans="34:34" ht="12.75" x14ac:dyDescent="0.2">
      <c r="AH409" s="41"/>
    </row>
    <row r="410" spans="34:34" ht="12.75" x14ac:dyDescent="0.2">
      <c r="AH410" s="41"/>
    </row>
    <row r="411" spans="34:34" ht="12.75" x14ac:dyDescent="0.2">
      <c r="AH411" s="41"/>
    </row>
    <row r="412" spans="34:34" ht="12.75" x14ac:dyDescent="0.2">
      <c r="AH412" s="41"/>
    </row>
    <row r="413" spans="34:34" ht="12.75" x14ac:dyDescent="0.2">
      <c r="AH413" s="41"/>
    </row>
    <row r="414" spans="34:34" ht="12.75" x14ac:dyDescent="0.2">
      <c r="AH414" s="41"/>
    </row>
    <row r="415" spans="34:34" ht="12.75" x14ac:dyDescent="0.2">
      <c r="AH415" s="41"/>
    </row>
    <row r="416" spans="34:34" ht="12.75" x14ac:dyDescent="0.2">
      <c r="AH416" s="41"/>
    </row>
    <row r="417" spans="34:34" ht="12.75" x14ac:dyDescent="0.2">
      <c r="AH417" s="41"/>
    </row>
    <row r="418" spans="34:34" ht="12.75" x14ac:dyDescent="0.2">
      <c r="AH418" s="41"/>
    </row>
    <row r="419" spans="34:34" ht="12.75" x14ac:dyDescent="0.2">
      <c r="AH419" s="41"/>
    </row>
    <row r="420" spans="34:34" ht="12.75" x14ac:dyDescent="0.2">
      <c r="AH420" s="41"/>
    </row>
    <row r="421" spans="34:34" ht="12.75" x14ac:dyDescent="0.2">
      <c r="AH421" s="41"/>
    </row>
    <row r="422" spans="34:34" ht="12.75" x14ac:dyDescent="0.2">
      <c r="AH422" s="41"/>
    </row>
    <row r="423" spans="34:34" ht="12.75" x14ac:dyDescent="0.2">
      <c r="AH423" s="41"/>
    </row>
    <row r="424" spans="34:34" ht="12.75" x14ac:dyDescent="0.2">
      <c r="AH424" s="41"/>
    </row>
    <row r="425" spans="34:34" ht="12.75" x14ac:dyDescent="0.2">
      <c r="AH425" s="41"/>
    </row>
    <row r="426" spans="34:34" ht="12.75" x14ac:dyDescent="0.2">
      <c r="AH426" s="41"/>
    </row>
    <row r="427" spans="34:34" ht="12.75" x14ac:dyDescent="0.2">
      <c r="AH427" s="41"/>
    </row>
    <row r="428" spans="34:34" ht="12.75" x14ac:dyDescent="0.2">
      <c r="AH428" s="41"/>
    </row>
    <row r="429" spans="34:34" ht="12.75" x14ac:dyDescent="0.2">
      <c r="AH429" s="41"/>
    </row>
    <row r="430" spans="34:34" ht="12.75" x14ac:dyDescent="0.2">
      <c r="AH430" s="41"/>
    </row>
    <row r="431" spans="34:34" ht="12.75" x14ac:dyDescent="0.2">
      <c r="AH431" s="41"/>
    </row>
    <row r="432" spans="34:34" ht="12.75" x14ac:dyDescent="0.2">
      <c r="AH432" s="41"/>
    </row>
    <row r="433" spans="34:34" ht="12.75" x14ac:dyDescent="0.2">
      <c r="AH433" s="41"/>
    </row>
    <row r="434" spans="34:34" ht="12.75" x14ac:dyDescent="0.2">
      <c r="AH434" s="41"/>
    </row>
    <row r="435" spans="34:34" ht="12.75" x14ac:dyDescent="0.2">
      <c r="AH435" s="41"/>
    </row>
    <row r="436" spans="34:34" ht="12.75" x14ac:dyDescent="0.2">
      <c r="AH436" s="41"/>
    </row>
    <row r="437" spans="34:34" ht="12.75" x14ac:dyDescent="0.2">
      <c r="AH437" s="41"/>
    </row>
    <row r="438" spans="34:34" ht="12.75" x14ac:dyDescent="0.2">
      <c r="AH438" s="41"/>
    </row>
    <row r="439" spans="34:34" ht="12.75" x14ac:dyDescent="0.2">
      <c r="AH439" s="41"/>
    </row>
    <row r="440" spans="34:34" ht="12.75" x14ac:dyDescent="0.2">
      <c r="AH440" s="41"/>
    </row>
    <row r="441" spans="34:34" ht="12.75" x14ac:dyDescent="0.2">
      <c r="AH441" s="41"/>
    </row>
    <row r="442" spans="34:34" ht="12.75" x14ac:dyDescent="0.2">
      <c r="AH442" s="41"/>
    </row>
    <row r="443" spans="34:34" ht="12.75" x14ac:dyDescent="0.2">
      <c r="AH443" s="41"/>
    </row>
    <row r="444" spans="34:34" ht="12.75" x14ac:dyDescent="0.2">
      <c r="AH444" s="41"/>
    </row>
    <row r="445" spans="34:34" ht="12.75" x14ac:dyDescent="0.2">
      <c r="AH445" s="41"/>
    </row>
    <row r="446" spans="34:34" ht="12.75" x14ac:dyDescent="0.2">
      <c r="AH446" s="41"/>
    </row>
    <row r="447" spans="34:34" ht="12.75" x14ac:dyDescent="0.2">
      <c r="AH447" s="41"/>
    </row>
    <row r="448" spans="34:34" ht="12.75" x14ac:dyDescent="0.2">
      <c r="AH448" s="41"/>
    </row>
    <row r="449" spans="34:34" ht="12.75" x14ac:dyDescent="0.2">
      <c r="AH449" s="41"/>
    </row>
    <row r="450" spans="34:34" ht="12.75" x14ac:dyDescent="0.2">
      <c r="AH450" s="41"/>
    </row>
    <row r="451" spans="34:34" ht="12.75" x14ac:dyDescent="0.2">
      <c r="AH451" s="41"/>
    </row>
    <row r="452" spans="34:34" ht="12.75" x14ac:dyDescent="0.2">
      <c r="AH452" s="41"/>
    </row>
    <row r="453" spans="34:34" ht="12.75" x14ac:dyDescent="0.2">
      <c r="AH453" s="41"/>
    </row>
    <row r="454" spans="34:34" ht="12.75" x14ac:dyDescent="0.2">
      <c r="AH454" s="41"/>
    </row>
    <row r="455" spans="34:34" ht="12.75" x14ac:dyDescent="0.2">
      <c r="AH455" s="41"/>
    </row>
    <row r="456" spans="34:34" ht="12.75" x14ac:dyDescent="0.2">
      <c r="AH456" s="41"/>
    </row>
    <row r="457" spans="34:34" ht="12.75" x14ac:dyDescent="0.2">
      <c r="AH457" s="41"/>
    </row>
    <row r="458" spans="34:34" ht="12.75" x14ac:dyDescent="0.2">
      <c r="AH458" s="41"/>
    </row>
    <row r="459" spans="34:34" ht="12.75" x14ac:dyDescent="0.2">
      <c r="AH459" s="41"/>
    </row>
    <row r="460" spans="34:34" ht="12.75" x14ac:dyDescent="0.2">
      <c r="AH460" s="41"/>
    </row>
    <row r="461" spans="34:34" ht="12.75" x14ac:dyDescent="0.2">
      <c r="AH461" s="41"/>
    </row>
    <row r="462" spans="34:34" ht="12.75" x14ac:dyDescent="0.2">
      <c r="AH462" s="41"/>
    </row>
    <row r="463" spans="34:34" ht="12.75" x14ac:dyDescent="0.2">
      <c r="AH463" s="41"/>
    </row>
    <row r="464" spans="34:34" ht="12.75" x14ac:dyDescent="0.2">
      <c r="AH464" s="41"/>
    </row>
    <row r="465" spans="34:34" ht="12.75" x14ac:dyDescent="0.2">
      <c r="AH465" s="41"/>
    </row>
    <row r="466" spans="34:34" ht="12.75" x14ac:dyDescent="0.2">
      <c r="AH466" s="41"/>
    </row>
    <row r="467" spans="34:34" ht="12.75" x14ac:dyDescent="0.2">
      <c r="AH467" s="41"/>
    </row>
    <row r="468" spans="34:34" ht="12.75" x14ac:dyDescent="0.2">
      <c r="AH468" s="41"/>
    </row>
    <row r="469" spans="34:34" ht="12.75" x14ac:dyDescent="0.2">
      <c r="AH469" s="41"/>
    </row>
    <row r="470" spans="34:34" ht="12.75" x14ac:dyDescent="0.2">
      <c r="AH470" s="41"/>
    </row>
    <row r="471" spans="34:34" ht="12.75" x14ac:dyDescent="0.2">
      <c r="AH471" s="41"/>
    </row>
    <row r="472" spans="34:34" ht="12.75" x14ac:dyDescent="0.2">
      <c r="AH472" s="41"/>
    </row>
    <row r="473" spans="34:34" ht="12.75" x14ac:dyDescent="0.2">
      <c r="AH473" s="41"/>
    </row>
    <row r="474" spans="34:34" ht="12.75" x14ac:dyDescent="0.2">
      <c r="AH474" s="41"/>
    </row>
    <row r="475" spans="34:34" ht="12.75" x14ac:dyDescent="0.2">
      <c r="AH475" s="41"/>
    </row>
    <row r="476" spans="34:34" ht="12.75" x14ac:dyDescent="0.2">
      <c r="AH476" s="41"/>
    </row>
    <row r="477" spans="34:34" ht="12.75" x14ac:dyDescent="0.2">
      <c r="AH477" s="41"/>
    </row>
    <row r="478" spans="34:34" ht="12.75" x14ac:dyDescent="0.2">
      <c r="AH478" s="41"/>
    </row>
    <row r="479" spans="34:34" ht="12.75" x14ac:dyDescent="0.2">
      <c r="AH479" s="41"/>
    </row>
    <row r="480" spans="34:34" ht="12.75" x14ac:dyDescent="0.2">
      <c r="AH480" s="41"/>
    </row>
    <row r="481" spans="34:34" ht="12.75" x14ac:dyDescent="0.2">
      <c r="AH481" s="41"/>
    </row>
    <row r="482" spans="34:34" ht="12.75" x14ac:dyDescent="0.2">
      <c r="AH482" s="41"/>
    </row>
    <row r="483" spans="34:34" ht="12.75" x14ac:dyDescent="0.2">
      <c r="AH483" s="41"/>
    </row>
    <row r="484" spans="34:34" ht="12.75" x14ac:dyDescent="0.2">
      <c r="AH484" s="41"/>
    </row>
    <row r="485" spans="34:34" ht="12.75" x14ac:dyDescent="0.2">
      <c r="AH485" s="41"/>
    </row>
    <row r="486" spans="34:34" ht="12.75" x14ac:dyDescent="0.2">
      <c r="AH486" s="41"/>
    </row>
    <row r="487" spans="34:34" ht="12.75" x14ac:dyDescent="0.2">
      <c r="AH487" s="41"/>
    </row>
    <row r="488" spans="34:34" ht="12.75" x14ac:dyDescent="0.2">
      <c r="AH488" s="41"/>
    </row>
    <row r="489" spans="34:34" ht="12.75" x14ac:dyDescent="0.2">
      <c r="AH489" s="41"/>
    </row>
    <row r="490" spans="34:34" ht="12.75" x14ac:dyDescent="0.2">
      <c r="AH490" s="41"/>
    </row>
    <row r="491" spans="34:34" ht="12.75" x14ac:dyDescent="0.2">
      <c r="AH491" s="41"/>
    </row>
    <row r="492" spans="34:34" ht="12.75" x14ac:dyDescent="0.2">
      <c r="AH492" s="41"/>
    </row>
    <row r="493" spans="34:34" ht="12.75" x14ac:dyDescent="0.2">
      <c r="AH493" s="41"/>
    </row>
    <row r="494" spans="34:34" ht="12.75" x14ac:dyDescent="0.2">
      <c r="AH494" s="41"/>
    </row>
    <row r="495" spans="34:34" ht="12.75" x14ac:dyDescent="0.2">
      <c r="AH495" s="41"/>
    </row>
    <row r="496" spans="34:34" ht="12.75" x14ac:dyDescent="0.2">
      <c r="AH496" s="41"/>
    </row>
    <row r="497" spans="34:34" ht="12.75" x14ac:dyDescent="0.2">
      <c r="AH497" s="41"/>
    </row>
    <row r="498" spans="34:34" ht="12.75" x14ac:dyDescent="0.2">
      <c r="AH498" s="41"/>
    </row>
    <row r="499" spans="34:34" ht="12.75" x14ac:dyDescent="0.2">
      <c r="AH499" s="41"/>
    </row>
    <row r="500" spans="34:34" ht="12.75" x14ac:dyDescent="0.2">
      <c r="AH500" s="41"/>
    </row>
    <row r="501" spans="34:34" ht="12.75" x14ac:dyDescent="0.2">
      <c r="AH501" s="41"/>
    </row>
    <row r="502" spans="34:34" ht="12.75" x14ac:dyDescent="0.2">
      <c r="AH502" s="41"/>
    </row>
    <row r="503" spans="34:34" ht="12.75" x14ac:dyDescent="0.2">
      <c r="AH503" s="41"/>
    </row>
    <row r="504" spans="34:34" ht="12.75" x14ac:dyDescent="0.2">
      <c r="AH504" s="41"/>
    </row>
    <row r="505" spans="34:34" ht="12.75" x14ac:dyDescent="0.2">
      <c r="AH505" s="41"/>
    </row>
    <row r="506" spans="34:34" ht="12.75" x14ac:dyDescent="0.2">
      <c r="AH506" s="41"/>
    </row>
    <row r="507" spans="34:34" ht="12.75" x14ac:dyDescent="0.2">
      <c r="AH507" s="41"/>
    </row>
    <row r="508" spans="34:34" ht="12.75" x14ac:dyDescent="0.2">
      <c r="AH508" s="41"/>
    </row>
    <row r="509" spans="34:34" ht="12.75" x14ac:dyDescent="0.2">
      <c r="AH509" s="41"/>
    </row>
    <row r="510" spans="34:34" ht="12.75" x14ac:dyDescent="0.2">
      <c r="AH510" s="41"/>
    </row>
    <row r="511" spans="34:34" ht="12.75" x14ac:dyDescent="0.2">
      <c r="AH511" s="41"/>
    </row>
    <row r="512" spans="34:34" ht="12.75" x14ac:dyDescent="0.2">
      <c r="AH512" s="41"/>
    </row>
    <row r="513" spans="34:34" ht="12.75" x14ac:dyDescent="0.2">
      <c r="AH513" s="41"/>
    </row>
    <row r="514" spans="34:34" ht="12.75" x14ac:dyDescent="0.2">
      <c r="AH514" s="41"/>
    </row>
    <row r="515" spans="34:34" ht="12.75" x14ac:dyDescent="0.2">
      <c r="AH515" s="41"/>
    </row>
    <row r="516" spans="34:34" ht="12.75" x14ac:dyDescent="0.2">
      <c r="AH516" s="41"/>
    </row>
    <row r="517" spans="34:34" ht="12.75" x14ac:dyDescent="0.2">
      <c r="AH517" s="41"/>
    </row>
    <row r="518" spans="34:34" ht="12.75" x14ac:dyDescent="0.2">
      <c r="AH518" s="41"/>
    </row>
    <row r="519" spans="34:34" ht="12.75" x14ac:dyDescent="0.2">
      <c r="AH519" s="41"/>
    </row>
    <row r="520" spans="34:34" ht="12.75" x14ac:dyDescent="0.2">
      <c r="AH520" s="41"/>
    </row>
    <row r="521" spans="34:34" ht="12.75" x14ac:dyDescent="0.2">
      <c r="AH521" s="41"/>
    </row>
    <row r="522" spans="34:34" ht="12.75" x14ac:dyDescent="0.2">
      <c r="AH522" s="41"/>
    </row>
    <row r="523" spans="34:34" ht="12.75" x14ac:dyDescent="0.2">
      <c r="AH523" s="41"/>
    </row>
    <row r="524" spans="34:34" ht="12.75" x14ac:dyDescent="0.2">
      <c r="AH524" s="41"/>
    </row>
    <row r="525" spans="34:34" ht="12.75" x14ac:dyDescent="0.2">
      <c r="AH525" s="41"/>
    </row>
    <row r="526" spans="34:34" ht="12.75" x14ac:dyDescent="0.2">
      <c r="AH526" s="41"/>
    </row>
    <row r="527" spans="34:34" ht="12.75" x14ac:dyDescent="0.2">
      <c r="AH527" s="41"/>
    </row>
    <row r="528" spans="34:34" ht="12.75" x14ac:dyDescent="0.2">
      <c r="AH528" s="41"/>
    </row>
    <row r="529" spans="34:34" ht="12.75" x14ac:dyDescent="0.2">
      <c r="AH529" s="41"/>
    </row>
    <row r="530" spans="34:34" ht="12.75" x14ac:dyDescent="0.2">
      <c r="AH530" s="41"/>
    </row>
    <row r="531" spans="34:34" ht="12.75" x14ac:dyDescent="0.2">
      <c r="AH531" s="41"/>
    </row>
    <row r="532" spans="34:34" ht="12.75" x14ac:dyDescent="0.2">
      <c r="AH532" s="41"/>
    </row>
    <row r="533" spans="34:34" ht="12.75" x14ac:dyDescent="0.2">
      <c r="AH533" s="41"/>
    </row>
    <row r="534" spans="34:34" ht="12.75" x14ac:dyDescent="0.2">
      <c r="AH534" s="41"/>
    </row>
    <row r="535" spans="34:34" ht="12.75" x14ac:dyDescent="0.2">
      <c r="AH535" s="41"/>
    </row>
    <row r="536" spans="34:34" ht="12.75" x14ac:dyDescent="0.2">
      <c r="AH536" s="41"/>
    </row>
    <row r="537" spans="34:34" ht="12.75" x14ac:dyDescent="0.2">
      <c r="AH537" s="41"/>
    </row>
    <row r="538" spans="34:34" ht="12.75" x14ac:dyDescent="0.2">
      <c r="AH538" s="41"/>
    </row>
    <row r="539" spans="34:34" ht="12.75" x14ac:dyDescent="0.2">
      <c r="AH539" s="41"/>
    </row>
    <row r="540" spans="34:34" ht="12.75" x14ac:dyDescent="0.2">
      <c r="AH540" s="41"/>
    </row>
    <row r="541" spans="34:34" ht="12.75" x14ac:dyDescent="0.2">
      <c r="AH541" s="41"/>
    </row>
    <row r="542" spans="34:34" ht="12.75" x14ac:dyDescent="0.2">
      <c r="AH542" s="41"/>
    </row>
    <row r="543" spans="34:34" ht="12.75" x14ac:dyDescent="0.2">
      <c r="AH543" s="41"/>
    </row>
    <row r="544" spans="34:34" ht="12.75" x14ac:dyDescent="0.2">
      <c r="AH544" s="41"/>
    </row>
    <row r="545" spans="34:34" ht="12.75" x14ac:dyDescent="0.2">
      <c r="AH545" s="41"/>
    </row>
    <row r="546" spans="34:34" ht="12.75" x14ac:dyDescent="0.2">
      <c r="AH546" s="41"/>
    </row>
    <row r="547" spans="34:34" ht="12.75" x14ac:dyDescent="0.2">
      <c r="AH547" s="41"/>
    </row>
    <row r="548" spans="34:34" ht="12.75" x14ac:dyDescent="0.2">
      <c r="AH548" s="41"/>
    </row>
    <row r="549" spans="34:34" ht="12.75" x14ac:dyDescent="0.2">
      <c r="AH549" s="41"/>
    </row>
    <row r="550" spans="34:34" ht="12.75" x14ac:dyDescent="0.2">
      <c r="AH550" s="41"/>
    </row>
    <row r="551" spans="34:34" ht="12.75" x14ac:dyDescent="0.2">
      <c r="AH551" s="41"/>
    </row>
    <row r="552" spans="34:34" ht="12.75" x14ac:dyDescent="0.2">
      <c r="AH552" s="41"/>
    </row>
    <row r="553" spans="34:34" ht="12.75" x14ac:dyDescent="0.2">
      <c r="AH553" s="41"/>
    </row>
    <row r="554" spans="34:34" ht="12.75" x14ac:dyDescent="0.2">
      <c r="AH554" s="41"/>
    </row>
    <row r="555" spans="34:34" ht="12.75" x14ac:dyDescent="0.2">
      <c r="AH555" s="41"/>
    </row>
    <row r="556" spans="34:34" ht="12.75" x14ac:dyDescent="0.2">
      <c r="AH556" s="41"/>
    </row>
    <row r="557" spans="34:34" ht="12.75" x14ac:dyDescent="0.2">
      <c r="AH557" s="41"/>
    </row>
    <row r="558" spans="34:34" ht="12.75" x14ac:dyDescent="0.2">
      <c r="AH558" s="41"/>
    </row>
    <row r="559" spans="34:34" ht="12.75" x14ac:dyDescent="0.2">
      <c r="AH559" s="41"/>
    </row>
    <row r="560" spans="34:34" ht="12.75" x14ac:dyDescent="0.2">
      <c r="AH560" s="41"/>
    </row>
    <row r="561" spans="34:34" ht="12.75" x14ac:dyDescent="0.2">
      <c r="AH561" s="41"/>
    </row>
    <row r="562" spans="34:34" ht="12.75" x14ac:dyDescent="0.2">
      <c r="AH562" s="41"/>
    </row>
    <row r="563" spans="34:34" ht="12.75" x14ac:dyDescent="0.2">
      <c r="AH563" s="41"/>
    </row>
    <row r="564" spans="34:34" ht="12.75" x14ac:dyDescent="0.2">
      <c r="AH564" s="41"/>
    </row>
    <row r="565" spans="34:34" ht="12.75" x14ac:dyDescent="0.2">
      <c r="AH565" s="41"/>
    </row>
    <row r="566" spans="34:34" ht="12.75" x14ac:dyDescent="0.2">
      <c r="AH566" s="41"/>
    </row>
    <row r="567" spans="34:34" ht="12.75" x14ac:dyDescent="0.2">
      <c r="AH567" s="41"/>
    </row>
    <row r="568" spans="34:34" ht="12.75" x14ac:dyDescent="0.2">
      <c r="AH568" s="41"/>
    </row>
    <row r="569" spans="34:34" ht="12.75" x14ac:dyDescent="0.2">
      <c r="AH569" s="41"/>
    </row>
    <row r="570" spans="34:34" ht="12.75" x14ac:dyDescent="0.2">
      <c r="AH570" s="41"/>
    </row>
    <row r="571" spans="34:34" ht="12.75" x14ac:dyDescent="0.2">
      <c r="AH571" s="41"/>
    </row>
    <row r="572" spans="34:34" ht="12.75" x14ac:dyDescent="0.2">
      <c r="AH572" s="41"/>
    </row>
    <row r="573" spans="34:34" ht="12.75" x14ac:dyDescent="0.2">
      <c r="AH573" s="41"/>
    </row>
    <row r="574" spans="34:34" ht="12.75" x14ac:dyDescent="0.2">
      <c r="AH574" s="41"/>
    </row>
    <row r="575" spans="34:34" ht="12.75" x14ac:dyDescent="0.2">
      <c r="AH575" s="41"/>
    </row>
    <row r="576" spans="34:34" ht="12.75" x14ac:dyDescent="0.2">
      <c r="AH576" s="41"/>
    </row>
    <row r="577" spans="34:34" ht="12.75" x14ac:dyDescent="0.2">
      <c r="AH577" s="41"/>
    </row>
    <row r="578" spans="34:34" ht="12.75" x14ac:dyDescent="0.2">
      <c r="AH578" s="41"/>
    </row>
    <row r="579" spans="34:34" ht="12.75" x14ac:dyDescent="0.2">
      <c r="AH579" s="41"/>
    </row>
    <row r="580" spans="34:34" ht="12.75" x14ac:dyDescent="0.2">
      <c r="AH580" s="41"/>
    </row>
    <row r="581" spans="34:34" ht="12.75" x14ac:dyDescent="0.2">
      <c r="AH581" s="41"/>
    </row>
    <row r="582" spans="34:34" ht="12.75" x14ac:dyDescent="0.2">
      <c r="AH582" s="41"/>
    </row>
    <row r="583" spans="34:34" ht="12.75" x14ac:dyDescent="0.2">
      <c r="AH583" s="41"/>
    </row>
    <row r="584" spans="34:34" ht="12.75" x14ac:dyDescent="0.2">
      <c r="AH584" s="41"/>
    </row>
    <row r="585" spans="34:34" ht="12.75" x14ac:dyDescent="0.2">
      <c r="AH585" s="41"/>
    </row>
    <row r="586" spans="34:34" ht="12.75" x14ac:dyDescent="0.2">
      <c r="AH586" s="41"/>
    </row>
    <row r="587" spans="34:34" ht="12.75" x14ac:dyDescent="0.2">
      <c r="AH587" s="41"/>
    </row>
    <row r="588" spans="34:34" ht="12.75" x14ac:dyDescent="0.2">
      <c r="AH588" s="41"/>
    </row>
    <row r="589" spans="34:34" ht="12.75" x14ac:dyDescent="0.2">
      <c r="AH589" s="41"/>
    </row>
    <row r="590" spans="34:34" ht="12.75" x14ac:dyDescent="0.2">
      <c r="AH590" s="41"/>
    </row>
    <row r="591" spans="34:34" ht="12.75" x14ac:dyDescent="0.2">
      <c r="AH591" s="41"/>
    </row>
    <row r="592" spans="34:34" ht="12.75" x14ac:dyDescent="0.2">
      <c r="AH592" s="41"/>
    </row>
    <row r="593" spans="34:34" ht="12.75" x14ac:dyDescent="0.2">
      <c r="AH593" s="41"/>
    </row>
    <row r="594" spans="34:34" ht="12.75" x14ac:dyDescent="0.2">
      <c r="AH594" s="41"/>
    </row>
    <row r="595" spans="34:34" ht="12.75" x14ac:dyDescent="0.2">
      <c r="AH595" s="41"/>
    </row>
    <row r="596" spans="34:34" ht="12.75" x14ac:dyDescent="0.2">
      <c r="AH596" s="41"/>
    </row>
    <row r="597" spans="34:34" ht="12.75" x14ac:dyDescent="0.2">
      <c r="AH597" s="41"/>
    </row>
    <row r="598" spans="34:34" ht="12.75" x14ac:dyDescent="0.2">
      <c r="AH598" s="41"/>
    </row>
    <row r="599" spans="34:34" ht="12.75" x14ac:dyDescent="0.2">
      <c r="AH599" s="41"/>
    </row>
    <row r="600" spans="34:34" ht="12.75" x14ac:dyDescent="0.2">
      <c r="AH600" s="41"/>
    </row>
    <row r="601" spans="34:34" ht="12.75" x14ac:dyDescent="0.2">
      <c r="AH601" s="41"/>
    </row>
    <row r="602" spans="34:34" ht="12.75" x14ac:dyDescent="0.2">
      <c r="AH602" s="41"/>
    </row>
    <row r="603" spans="34:34" ht="12.75" x14ac:dyDescent="0.2">
      <c r="AH603" s="41"/>
    </row>
    <row r="604" spans="34:34" ht="12.75" x14ac:dyDescent="0.2">
      <c r="AH604" s="41"/>
    </row>
    <row r="605" spans="34:34" ht="12.75" x14ac:dyDescent="0.2">
      <c r="AH605" s="41"/>
    </row>
    <row r="606" spans="34:34" ht="12.75" x14ac:dyDescent="0.2">
      <c r="AH606" s="41"/>
    </row>
    <row r="607" spans="34:34" ht="12.75" x14ac:dyDescent="0.2">
      <c r="AH607" s="41"/>
    </row>
    <row r="608" spans="34:34" ht="12.75" x14ac:dyDescent="0.2">
      <c r="AH608" s="41"/>
    </row>
    <row r="609" spans="34:34" ht="12.75" x14ac:dyDescent="0.2">
      <c r="AH609" s="41"/>
    </row>
    <row r="610" spans="34:34" ht="12.75" x14ac:dyDescent="0.2">
      <c r="AH610" s="41"/>
    </row>
    <row r="611" spans="34:34" ht="12.75" x14ac:dyDescent="0.2">
      <c r="AH611" s="41"/>
    </row>
    <row r="612" spans="34:34" ht="12.75" x14ac:dyDescent="0.2">
      <c r="AH612" s="41"/>
    </row>
    <row r="613" spans="34:34" ht="12.75" x14ac:dyDescent="0.2">
      <c r="AH613" s="41"/>
    </row>
    <row r="614" spans="34:34" ht="12.75" x14ac:dyDescent="0.2">
      <c r="AH614" s="41"/>
    </row>
    <row r="615" spans="34:34" ht="12.75" x14ac:dyDescent="0.2">
      <c r="AH615" s="41"/>
    </row>
    <row r="616" spans="34:34" ht="12.75" x14ac:dyDescent="0.2">
      <c r="AH616" s="41"/>
    </row>
    <row r="617" spans="34:34" ht="12.75" x14ac:dyDescent="0.2">
      <c r="AH617" s="41"/>
    </row>
    <row r="618" spans="34:34" ht="12.75" x14ac:dyDescent="0.2">
      <c r="AH618" s="41"/>
    </row>
    <row r="619" spans="34:34" ht="12.75" x14ac:dyDescent="0.2">
      <c r="AH619" s="41"/>
    </row>
    <row r="620" spans="34:34" ht="12.75" x14ac:dyDescent="0.2">
      <c r="AH620" s="41"/>
    </row>
    <row r="621" spans="34:34" ht="12.75" x14ac:dyDescent="0.2">
      <c r="AH621" s="41"/>
    </row>
    <row r="622" spans="34:34" ht="12.75" x14ac:dyDescent="0.2">
      <c r="AH622" s="41"/>
    </row>
    <row r="623" spans="34:34" ht="12.75" x14ac:dyDescent="0.2">
      <c r="AH623" s="41"/>
    </row>
    <row r="624" spans="34:34" ht="12.75" x14ac:dyDescent="0.2">
      <c r="AH624" s="41"/>
    </row>
    <row r="625" spans="34:34" ht="12.75" x14ac:dyDescent="0.2">
      <c r="AH625" s="41"/>
    </row>
    <row r="626" spans="34:34" ht="12.75" x14ac:dyDescent="0.2">
      <c r="AH626" s="41"/>
    </row>
    <row r="627" spans="34:34" ht="12.75" x14ac:dyDescent="0.2">
      <c r="AH627" s="41"/>
    </row>
    <row r="628" spans="34:34" ht="12.75" x14ac:dyDescent="0.2">
      <c r="AH628" s="41"/>
    </row>
    <row r="629" spans="34:34" ht="12.75" x14ac:dyDescent="0.2">
      <c r="AH629" s="41"/>
    </row>
    <row r="630" spans="34:34" ht="12.75" x14ac:dyDescent="0.2">
      <c r="AH630" s="41"/>
    </row>
    <row r="631" spans="34:34" ht="12.75" x14ac:dyDescent="0.2">
      <c r="AH631" s="41"/>
    </row>
    <row r="632" spans="34:34" ht="12.75" x14ac:dyDescent="0.2">
      <c r="AH632" s="41"/>
    </row>
    <row r="633" spans="34:34" ht="12.75" x14ac:dyDescent="0.2">
      <c r="AH633" s="41"/>
    </row>
    <row r="634" spans="34:34" ht="12.75" x14ac:dyDescent="0.2">
      <c r="AH634" s="41"/>
    </row>
    <row r="635" spans="34:34" ht="12.75" x14ac:dyDescent="0.2">
      <c r="AH635" s="41"/>
    </row>
    <row r="636" spans="34:34" ht="12.75" x14ac:dyDescent="0.2">
      <c r="AH636" s="41"/>
    </row>
    <row r="637" spans="34:34" ht="12.75" x14ac:dyDescent="0.2">
      <c r="AH637" s="41"/>
    </row>
    <row r="638" spans="34:34" ht="12.75" x14ac:dyDescent="0.2">
      <c r="AH638" s="41"/>
    </row>
    <row r="639" spans="34:34" ht="12.75" x14ac:dyDescent="0.2">
      <c r="AH639" s="41"/>
    </row>
    <row r="640" spans="34:34" ht="12.75" x14ac:dyDescent="0.2">
      <c r="AH640" s="41"/>
    </row>
    <row r="641" spans="34:34" ht="12.75" x14ac:dyDescent="0.2">
      <c r="AH641" s="41"/>
    </row>
    <row r="642" spans="34:34" ht="12.75" x14ac:dyDescent="0.2">
      <c r="AH642" s="41"/>
    </row>
    <row r="643" spans="34:34" ht="12.75" x14ac:dyDescent="0.2">
      <c r="AH643" s="41"/>
    </row>
    <row r="644" spans="34:34" ht="12.75" x14ac:dyDescent="0.2">
      <c r="AH644" s="41"/>
    </row>
    <row r="645" spans="34:34" ht="12.75" x14ac:dyDescent="0.2">
      <c r="AH645" s="41"/>
    </row>
    <row r="646" spans="34:34" ht="12.75" x14ac:dyDescent="0.2">
      <c r="AH646" s="41"/>
    </row>
    <row r="647" spans="34:34" ht="12.75" x14ac:dyDescent="0.2">
      <c r="AH647" s="41"/>
    </row>
    <row r="648" spans="34:34" ht="12.75" x14ac:dyDescent="0.2">
      <c r="AH648" s="41"/>
    </row>
    <row r="649" spans="34:34" ht="12.75" x14ac:dyDescent="0.2">
      <c r="AH649" s="41"/>
    </row>
    <row r="650" spans="34:34" ht="12.75" x14ac:dyDescent="0.2">
      <c r="AH650" s="41"/>
    </row>
    <row r="651" spans="34:34" ht="12.75" x14ac:dyDescent="0.2">
      <c r="AH651" s="41"/>
    </row>
    <row r="652" spans="34:34" ht="12.75" x14ac:dyDescent="0.2">
      <c r="AH652" s="41"/>
    </row>
    <row r="653" spans="34:34" ht="12.75" x14ac:dyDescent="0.2">
      <c r="AH653" s="41"/>
    </row>
    <row r="654" spans="34:34" ht="12.75" x14ac:dyDescent="0.2">
      <c r="AH654" s="41"/>
    </row>
    <row r="655" spans="34:34" ht="12.75" x14ac:dyDescent="0.2">
      <c r="AH655" s="41"/>
    </row>
    <row r="656" spans="34:34" ht="12.75" x14ac:dyDescent="0.2">
      <c r="AH656" s="41"/>
    </row>
    <row r="657" spans="34:34" ht="12.75" x14ac:dyDescent="0.2">
      <c r="AH657" s="41"/>
    </row>
    <row r="658" spans="34:34" ht="12.75" x14ac:dyDescent="0.2">
      <c r="AH658" s="41"/>
    </row>
    <row r="659" spans="34:34" ht="12.75" x14ac:dyDescent="0.2">
      <c r="AH659" s="41"/>
    </row>
    <row r="660" spans="34:34" ht="12.75" x14ac:dyDescent="0.2">
      <c r="AH660" s="41"/>
    </row>
    <row r="661" spans="34:34" ht="12.75" x14ac:dyDescent="0.2">
      <c r="AH661" s="41"/>
    </row>
    <row r="662" spans="34:34" ht="12.75" x14ac:dyDescent="0.2">
      <c r="AH662" s="41"/>
    </row>
    <row r="663" spans="34:34" ht="12.75" x14ac:dyDescent="0.2">
      <c r="AH663" s="41"/>
    </row>
    <row r="664" spans="34:34" ht="12.75" x14ac:dyDescent="0.2">
      <c r="AH664" s="41"/>
    </row>
    <row r="665" spans="34:34" ht="12.75" x14ac:dyDescent="0.2">
      <c r="AH665" s="41"/>
    </row>
    <row r="666" spans="34:34" ht="12.75" x14ac:dyDescent="0.2">
      <c r="AH666" s="41"/>
    </row>
    <row r="667" spans="34:34" ht="12.75" x14ac:dyDescent="0.2">
      <c r="AH667" s="41"/>
    </row>
    <row r="668" spans="34:34" ht="12.75" x14ac:dyDescent="0.2">
      <c r="AH668" s="41"/>
    </row>
    <row r="669" spans="34:34" ht="12.75" x14ac:dyDescent="0.2">
      <c r="AH669" s="41"/>
    </row>
    <row r="670" spans="34:34" ht="12.75" x14ac:dyDescent="0.2">
      <c r="AH670" s="41"/>
    </row>
    <row r="671" spans="34:34" ht="12.75" x14ac:dyDescent="0.2">
      <c r="AH671" s="41"/>
    </row>
    <row r="672" spans="34:34" ht="12.75" x14ac:dyDescent="0.2">
      <c r="AH672" s="41"/>
    </row>
    <row r="673" spans="34:34" ht="12.75" x14ac:dyDescent="0.2">
      <c r="AH673" s="41"/>
    </row>
    <row r="674" spans="34:34" ht="12.75" x14ac:dyDescent="0.2">
      <c r="AH674" s="41"/>
    </row>
    <row r="675" spans="34:34" ht="12.75" x14ac:dyDescent="0.2">
      <c r="AH675" s="41"/>
    </row>
    <row r="676" spans="34:34" ht="12.75" x14ac:dyDescent="0.2">
      <c r="AH676" s="41"/>
    </row>
    <row r="677" spans="34:34" ht="12.75" x14ac:dyDescent="0.2">
      <c r="AH677" s="41"/>
    </row>
    <row r="678" spans="34:34" ht="12.75" x14ac:dyDescent="0.2">
      <c r="AH678" s="41"/>
    </row>
    <row r="679" spans="34:34" ht="12.75" x14ac:dyDescent="0.2">
      <c r="AH679" s="41"/>
    </row>
    <row r="680" spans="34:34" ht="12.75" x14ac:dyDescent="0.2">
      <c r="AH680" s="41"/>
    </row>
    <row r="681" spans="34:34" ht="12.75" x14ac:dyDescent="0.2">
      <c r="AH681" s="41"/>
    </row>
    <row r="682" spans="34:34" ht="12.75" x14ac:dyDescent="0.2">
      <c r="AH682" s="41"/>
    </row>
    <row r="683" spans="34:34" ht="12.75" x14ac:dyDescent="0.2">
      <c r="AH683" s="41"/>
    </row>
    <row r="684" spans="34:34" ht="12.75" x14ac:dyDescent="0.2">
      <c r="AH684" s="41"/>
    </row>
    <row r="685" spans="34:34" ht="12.75" x14ac:dyDescent="0.2">
      <c r="AH685" s="41"/>
    </row>
    <row r="686" spans="34:34" ht="12.75" x14ac:dyDescent="0.2">
      <c r="AH686" s="41"/>
    </row>
    <row r="687" spans="34:34" ht="12.75" x14ac:dyDescent="0.2">
      <c r="AH687" s="41"/>
    </row>
    <row r="688" spans="34:34" ht="12.75" x14ac:dyDescent="0.2">
      <c r="AH688" s="41"/>
    </row>
    <row r="689" spans="34:34" ht="12.75" x14ac:dyDescent="0.2">
      <c r="AH689" s="41"/>
    </row>
    <row r="690" spans="34:34" ht="12.75" x14ac:dyDescent="0.2">
      <c r="AH690" s="41"/>
    </row>
    <row r="691" spans="34:34" ht="12.75" x14ac:dyDescent="0.2">
      <c r="AH691" s="41"/>
    </row>
    <row r="692" spans="34:34" ht="12.75" x14ac:dyDescent="0.2">
      <c r="AH692" s="41"/>
    </row>
    <row r="693" spans="34:34" ht="12.75" x14ac:dyDescent="0.2">
      <c r="AH693" s="41"/>
    </row>
    <row r="694" spans="34:34" ht="12.75" x14ac:dyDescent="0.2">
      <c r="AH694" s="41"/>
    </row>
    <row r="695" spans="34:34" ht="12.75" x14ac:dyDescent="0.2">
      <c r="AH695" s="41"/>
    </row>
    <row r="696" spans="34:34" ht="12.75" x14ac:dyDescent="0.2">
      <c r="AH696" s="41"/>
    </row>
    <row r="697" spans="34:34" ht="12.75" x14ac:dyDescent="0.2">
      <c r="AH697" s="41"/>
    </row>
    <row r="698" spans="34:34" ht="12.75" x14ac:dyDescent="0.2">
      <c r="AH698" s="41"/>
    </row>
    <row r="699" spans="34:34" ht="12.75" x14ac:dyDescent="0.2">
      <c r="AH699" s="41"/>
    </row>
    <row r="700" spans="34:34" ht="12.75" x14ac:dyDescent="0.2">
      <c r="AH700" s="41"/>
    </row>
    <row r="701" spans="34:34" ht="12.75" x14ac:dyDescent="0.2">
      <c r="AH701" s="41"/>
    </row>
    <row r="702" spans="34:34" ht="12.75" x14ac:dyDescent="0.2">
      <c r="AH702" s="41"/>
    </row>
    <row r="703" spans="34:34" ht="12.75" x14ac:dyDescent="0.2">
      <c r="AH703" s="41"/>
    </row>
    <row r="704" spans="34:34" ht="12.75" x14ac:dyDescent="0.2">
      <c r="AH704" s="41"/>
    </row>
    <row r="705" spans="34:34" ht="12.75" x14ac:dyDescent="0.2">
      <c r="AH705" s="41"/>
    </row>
    <row r="706" spans="34:34" ht="12.75" x14ac:dyDescent="0.2">
      <c r="AH706" s="41"/>
    </row>
    <row r="707" spans="34:34" ht="12.75" x14ac:dyDescent="0.2">
      <c r="AH707" s="41"/>
    </row>
    <row r="708" spans="34:34" ht="12.75" x14ac:dyDescent="0.2">
      <c r="AH708" s="41"/>
    </row>
    <row r="709" spans="34:34" ht="12.75" x14ac:dyDescent="0.2">
      <c r="AH709" s="41"/>
    </row>
    <row r="710" spans="34:34" ht="12.75" x14ac:dyDescent="0.2">
      <c r="AH710" s="41"/>
    </row>
    <row r="711" spans="34:34" ht="12.75" x14ac:dyDescent="0.2">
      <c r="AH711" s="41"/>
    </row>
    <row r="712" spans="34:34" ht="12.75" x14ac:dyDescent="0.2">
      <c r="AH712" s="41"/>
    </row>
    <row r="713" spans="34:34" ht="12.75" x14ac:dyDescent="0.2">
      <c r="AH713" s="41"/>
    </row>
    <row r="714" spans="34:34" ht="12.75" x14ac:dyDescent="0.2">
      <c r="AH714" s="41"/>
    </row>
    <row r="715" spans="34:34" ht="12.75" x14ac:dyDescent="0.2">
      <c r="AH715" s="41"/>
    </row>
    <row r="716" spans="34:34" ht="12.75" x14ac:dyDescent="0.2">
      <c r="AH716" s="41"/>
    </row>
    <row r="717" spans="34:34" ht="12.75" x14ac:dyDescent="0.2">
      <c r="AH717" s="41"/>
    </row>
    <row r="718" spans="34:34" ht="12.75" x14ac:dyDescent="0.2">
      <c r="AH718" s="41"/>
    </row>
    <row r="719" spans="34:34" ht="12.75" x14ac:dyDescent="0.2">
      <c r="AH719" s="41"/>
    </row>
    <row r="720" spans="34:34" ht="12.75" x14ac:dyDescent="0.2">
      <c r="AH720" s="41"/>
    </row>
    <row r="721" spans="34:34" ht="12.75" x14ac:dyDescent="0.2">
      <c r="AH721" s="41"/>
    </row>
    <row r="722" spans="34:34" ht="12.75" x14ac:dyDescent="0.2">
      <c r="AH722" s="41"/>
    </row>
    <row r="723" spans="34:34" ht="12.75" x14ac:dyDescent="0.2">
      <c r="AH723" s="41"/>
    </row>
    <row r="724" spans="34:34" ht="12.75" x14ac:dyDescent="0.2">
      <c r="AH724" s="41"/>
    </row>
    <row r="725" spans="34:34" ht="12.75" x14ac:dyDescent="0.2">
      <c r="AH725" s="41"/>
    </row>
    <row r="726" spans="34:34" ht="12.75" x14ac:dyDescent="0.2">
      <c r="AH726" s="41"/>
    </row>
    <row r="727" spans="34:34" ht="12.75" x14ac:dyDescent="0.2">
      <c r="AH727" s="41"/>
    </row>
    <row r="728" spans="34:34" ht="12.75" x14ac:dyDescent="0.2">
      <c r="AH728" s="41"/>
    </row>
    <row r="729" spans="34:34" ht="12.75" x14ac:dyDescent="0.2">
      <c r="AH729" s="41"/>
    </row>
    <row r="730" spans="34:34" ht="12.75" x14ac:dyDescent="0.2">
      <c r="AH730" s="41"/>
    </row>
    <row r="731" spans="34:34" ht="12.75" x14ac:dyDescent="0.2">
      <c r="AH731" s="41"/>
    </row>
    <row r="732" spans="34:34" ht="12.75" x14ac:dyDescent="0.2">
      <c r="AH732" s="41"/>
    </row>
    <row r="733" spans="34:34" ht="12.75" x14ac:dyDescent="0.2">
      <c r="AH733" s="41"/>
    </row>
    <row r="734" spans="34:34" ht="12.75" x14ac:dyDescent="0.2">
      <c r="AH734" s="41"/>
    </row>
    <row r="735" spans="34:34" ht="12.75" x14ac:dyDescent="0.2">
      <c r="AH735" s="41"/>
    </row>
    <row r="736" spans="34:34" ht="12.75" x14ac:dyDescent="0.2">
      <c r="AH736" s="41"/>
    </row>
    <row r="737" spans="34:34" ht="12.75" x14ac:dyDescent="0.2">
      <c r="AH737" s="41"/>
    </row>
    <row r="738" spans="34:34" ht="12.75" x14ac:dyDescent="0.2">
      <c r="AH738" s="41"/>
    </row>
    <row r="739" spans="34:34" ht="12.75" x14ac:dyDescent="0.2">
      <c r="AH739" s="41"/>
    </row>
    <row r="740" spans="34:34" ht="12.75" x14ac:dyDescent="0.2">
      <c r="AH740" s="41"/>
    </row>
    <row r="741" spans="34:34" ht="12.75" x14ac:dyDescent="0.2">
      <c r="AH741" s="41"/>
    </row>
    <row r="742" spans="34:34" ht="12.75" x14ac:dyDescent="0.2">
      <c r="AH742" s="41"/>
    </row>
    <row r="743" spans="34:34" ht="12.75" x14ac:dyDescent="0.2">
      <c r="AH743" s="41"/>
    </row>
    <row r="744" spans="34:34" ht="12.75" x14ac:dyDescent="0.2">
      <c r="AH744" s="41"/>
    </row>
    <row r="745" spans="34:34" ht="12.75" x14ac:dyDescent="0.2">
      <c r="AH745" s="41"/>
    </row>
    <row r="746" spans="34:34" ht="12.75" x14ac:dyDescent="0.2">
      <c r="AH746" s="41"/>
    </row>
    <row r="747" spans="34:34" ht="12.75" x14ac:dyDescent="0.2">
      <c r="AH747" s="41"/>
    </row>
    <row r="748" spans="34:34" ht="12.75" x14ac:dyDescent="0.2">
      <c r="AH748" s="41"/>
    </row>
    <row r="749" spans="34:34" ht="12.75" x14ac:dyDescent="0.2">
      <c r="AH749" s="41"/>
    </row>
    <row r="750" spans="34:34" ht="12.75" x14ac:dyDescent="0.2">
      <c r="AH750" s="41"/>
    </row>
    <row r="751" spans="34:34" ht="12.75" x14ac:dyDescent="0.2">
      <c r="AH751" s="41"/>
    </row>
    <row r="752" spans="34:34" ht="12.75" x14ac:dyDescent="0.2">
      <c r="AH752" s="41"/>
    </row>
    <row r="753" spans="34:34" ht="12.75" x14ac:dyDescent="0.2">
      <c r="AH753" s="41"/>
    </row>
    <row r="754" spans="34:34" ht="12.75" x14ac:dyDescent="0.2">
      <c r="AH754" s="41"/>
    </row>
    <row r="755" spans="34:34" ht="12.75" x14ac:dyDescent="0.2">
      <c r="AH755" s="41"/>
    </row>
    <row r="756" spans="34:34" ht="12.75" x14ac:dyDescent="0.2">
      <c r="AH756" s="41"/>
    </row>
    <row r="757" spans="34:34" ht="12.75" x14ac:dyDescent="0.2">
      <c r="AH757" s="41"/>
    </row>
    <row r="758" spans="34:34" ht="12.75" x14ac:dyDescent="0.2">
      <c r="AH758" s="41"/>
    </row>
    <row r="759" spans="34:34" ht="12.75" x14ac:dyDescent="0.2">
      <c r="AH759" s="41"/>
    </row>
    <row r="760" spans="34:34" ht="12.75" x14ac:dyDescent="0.2">
      <c r="AH760" s="41"/>
    </row>
    <row r="761" spans="34:34" ht="12.75" x14ac:dyDescent="0.2">
      <c r="AH761" s="41"/>
    </row>
    <row r="762" spans="34:34" ht="12.75" x14ac:dyDescent="0.2">
      <c r="AH762" s="41"/>
    </row>
    <row r="763" spans="34:34" ht="12.75" x14ac:dyDescent="0.2">
      <c r="AH763" s="41"/>
    </row>
    <row r="764" spans="34:34" ht="12.75" x14ac:dyDescent="0.2">
      <c r="AH764" s="41"/>
    </row>
    <row r="765" spans="34:34" ht="12.75" x14ac:dyDescent="0.2">
      <c r="AH765" s="41"/>
    </row>
    <row r="766" spans="34:34" ht="12.75" x14ac:dyDescent="0.2">
      <c r="AH766" s="41"/>
    </row>
    <row r="767" spans="34:34" ht="12.75" x14ac:dyDescent="0.2">
      <c r="AH767" s="41"/>
    </row>
    <row r="768" spans="34:34" ht="12.75" x14ac:dyDescent="0.2">
      <c r="AH768" s="41"/>
    </row>
    <row r="769" spans="34:34" ht="12.75" x14ac:dyDescent="0.2">
      <c r="AH769" s="41"/>
    </row>
    <row r="770" spans="34:34" ht="12.75" x14ac:dyDescent="0.2">
      <c r="AH770" s="41"/>
    </row>
    <row r="771" spans="34:34" ht="12.75" x14ac:dyDescent="0.2">
      <c r="AH771" s="41"/>
    </row>
    <row r="772" spans="34:34" ht="12.75" x14ac:dyDescent="0.2">
      <c r="AH772" s="41"/>
    </row>
    <row r="773" spans="34:34" ht="12.75" x14ac:dyDescent="0.2">
      <c r="AH773" s="41"/>
    </row>
    <row r="774" spans="34:34" ht="12.75" x14ac:dyDescent="0.2">
      <c r="AH774" s="41"/>
    </row>
    <row r="775" spans="34:34" ht="12.75" x14ac:dyDescent="0.2">
      <c r="AH775" s="41"/>
    </row>
    <row r="776" spans="34:34" ht="12.75" x14ac:dyDescent="0.2">
      <c r="AH776" s="41"/>
    </row>
    <row r="777" spans="34:34" ht="12.75" x14ac:dyDescent="0.2">
      <c r="AH777" s="41"/>
    </row>
    <row r="778" spans="34:34" ht="12.75" x14ac:dyDescent="0.2">
      <c r="AH778" s="41"/>
    </row>
    <row r="779" spans="34:34" ht="12.75" x14ac:dyDescent="0.2">
      <c r="AH779" s="41"/>
    </row>
    <row r="780" spans="34:34" ht="12.75" x14ac:dyDescent="0.2">
      <c r="AH780" s="41"/>
    </row>
    <row r="781" spans="34:34" ht="12.75" x14ac:dyDescent="0.2">
      <c r="AH781" s="41"/>
    </row>
    <row r="782" spans="34:34" ht="12.75" x14ac:dyDescent="0.2">
      <c r="AH782" s="41"/>
    </row>
    <row r="783" spans="34:34" ht="12.75" x14ac:dyDescent="0.2">
      <c r="AH783" s="41"/>
    </row>
    <row r="784" spans="34:34" ht="12.75" x14ac:dyDescent="0.2">
      <c r="AH784" s="41"/>
    </row>
    <row r="785" spans="34:34" ht="12.75" x14ac:dyDescent="0.2">
      <c r="AH785" s="41"/>
    </row>
    <row r="786" spans="34:34" ht="12.75" x14ac:dyDescent="0.2">
      <c r="AH786" s="41"/>
    </row>
    <row r="787" spans="34:34" ht="12.75" x14ac:dyDescent="0.2">
      <c r="AH787" s="41"/>
    </row>
    <row r="788" spans="34:34" ht="12.75" x14ac:dyDescent="0.2">
      <c r="AH788" s="41"/>
    </row>
    <row r="789" spans="34:34" ht="12.75" x14ac:dyDescent="0.2">
      <c r="AH789" s="41"/>
    </row>
    <row r="790" spans="34:34" ht="12.75" x14ac:dyDescent="0.2">
      <c r="AH790" s="41"/>
    </row>
    <row r="791" spans="34:34" ht="12.75" x14ac:dyDescent="0.2">
      <c r="AH791" s="41"/>
    </row>
    <row r="792" spans="34:34" ht="12.75" x14ac:dyDescent="0.2">
      <c r="AH792" s="41"/>
    </row>
    <row r="793" spans="34:34" ht="12.75" x14ac:dyDescent="0.2">
      <c r="AH793" s="41"/>
    </row>
    <row r="794" spans="34:34" ht="12.75" x14ac:dyDescent="0.2">
      <c r="AH794" s="41"/>
    </row>
    <row r="795" spans="34:34" ht="12.75" x14ac:dyDescent="0.2">
      <c r="AH795" s="41"/>
    </row>
    <row r="796" spans="34:34" ht="12.75" x14ac:dyDescent="0.2">
      <c r="AH796" s="41"/>
    </row>
    <row r="797" spans="34:34" ht="12.75" x14ac:dyDescent="0.2">
      <c r="AH797" s="41"/>
    </row>
    <row r="798" spans="34:34" ht="12.75" x14ac:dyDescent="0.2">
      <c r="AH798" s="41"/>
    </row>
    <row r="799" spans="34:34" ht="12.75" x14ac:dyDescent="0.2">
      <c r="AH799" s="41"/>
    </row>
    <row r="800" spans="34:34" ht="12.75" x14ac:dyDescent="0.2">
      <c r="AH800" s="41"/>
    </row>
    <row r="801" spans="34:34" ht="12.75" x14ac:dyDescent="0.2">
      <c r="AH801" s="41"/>
    </row>
    <row r="802" spans="34:34" ht="12.75" x14ac:dyDescent="0.2">
      <c r="AH802" s="41"/>
    </row>
    <row r="803" spans="34:34" ht="12.75" x14ac:dyDescent="0.2">
      <c r="AH803" s="41"/>
    </row>
    <row r="804" spans="34:34" ht="12.75" x14ac:dyDescent="0.2">
      <c r="AH804" s="41"/>
    </row>
    <row r="805" spans="34:34" ht="12.75" x14ac:dyDescent="0.2">
      <c r="AH805" s="41"/>
    </row>
    <row r="806" spans="34:34" ht="12.75" x14ac:dyDescent="0.2">
      <c r="AH806" s="41"/>
    </row>
    <row r="807" spans="34:34" ht="12.75" x14ac:dyDescent="0.2">
      <c r="AH807" s="41"/>
    </row>
    <row r="808" spans="34:34" ht="12.75" x14ac:dyDescent="0.2">
      <c r="AH808" s="41"/>
    </row>
    <row r="809" spans="34:34" ht="12.75" x14ac:dyDescent="0.2">
      <c r="AH809" s="41"/>
    </row>
    <row r="810" spans="34:34" ht="12.75" x14ac:dyDescent="0.2">
      <c r="AH810" s="41"/>
    </row>
    <row r="811" spans="34:34" ht="12.75" x14ac:dyDescent="0.2">
      <c r="AH811" s="41"/>
    </row>
    <row r="812" spans="34:34" ht="12.75" x14ac:dyDescent="0.2">
      <c r="AH812" s="41"/>
    </row>
    <row r="813" spans="34:34" ht="12.75" x14ac:dyDescent="0.2">
      <c r="AH813" s="41"/>
    </row>
    <row r="814" spans="34:34" ht="12.75" x14ac:dyDescent="0.2">
      <c r="AH814" s="41"/>
    </row>
    <row r="815" spans="34:34" ht="12.75" x14ac:dyDescent="0.2">
      <c r="AH815" s="41"/>
    </row>
    <row r="816" spans="34:34" ht="12.75" x14ac:dyDescent="0.2">
      <c r="AH816" s="41"/>
    </row>
    <row r="817" spans="34:34" ht="12.75" x14ac:dyDescent="0.2">
      <c r="AH817" s="41"/>
    </row>
    <row r="818" spans="34:34" ht="12.75" x14ac:dyDescent="0.2">
      <c r="AH818" s="41"/>
    </row>
    <row r="819" spans="34:34" ht="12.75" x14ac:dyDescent="0.2">
      <c r="AH819" s="41"/>
    </row>
    <row r="820" spans="34:34" ht="12.75" x14ac:dyDescent="0.2">
      <c r="AH820" s="41"/>
    </row>
    <row r="821" spans="34:34" ht="12.75" x14ac:dyDescent="0.2">
      <c r="AH821" s="41"/>
    </row>
    <row r="822" spans="34:34" ht="12.75" x14ac:dyDescent="0.2">
      <c r="AH822" s="41"/>
    </row>
    <row r="823" spans="34:34" ht="12.75" x14ac:dyDescent="0.2">
      <c r="AH823" s="41"/>
    </row>
    <row r="824" spans="34:34" ht="12.75" x14ac:dyDescent="0.2">
      <c r="AH824" s="41"/>
    </row>
    <row r="825" spans="34:34" ht="12.75" x14ac:dyDescent="0.2">
      <c r="AH825" s="41"/>
    </row>
    <row r="826" spans="34:34" ht="12.75" x14ac:dyDescent="0.2">
      <c r="AH826" s="41"/>
    </row>
    <row r="827" spans="34:34" ht="12.75" x14ac:dyDescent="0.2">
      <c r="AH827" s="41"/>
    </row>
    <row r="828" spans="34:34" ht="12.75" x14ac:dyDescent="0.2">
      <c r="AH828" s="41"/>
    </row>
    <row r="829" spans="34:34" ht="12.75" x14ac:dyDescent="0.2">
      <c r="AH829" s="41"/>
    </row>
    <row r="830" spans="34:34" ht="12.75" x14ac:dyDescent="0.2">
      <c r="AH830" s="41"/>
    </row>
    <row r="831" spans="34:34" ht="12.75" x14ac:dyDescent="0.2">
      <c r="AH831" s="41"/>
    </row>
    <row r="832" spans="34:34" ht="12.75" x14ac:dyDescent="0.2">
      <c r="AH832" s="41"/>
    </row>
    <row r="833" spans="34:34" ht="12.75" x14ac:dyDescent="0.2">
      <c r="AH833" s="41"/>
    </row>
    <row r="834" spans="34:34" ht="12.75" x14ac:dyDescent="0.2">
      <c r="AH834" s="41"/>
    </row>
    <row r="835" spans="34:34" ht="12.75" x14ac:dyDescent="0.2">
      <c r="AH835" s="41"/>
    </row>
    <row r="836" spans="34:34" ht="12.75" x14ac:dyDescent="0.2">
      <c r="AH836" s="41"/>
    </row>
    <row r="837" spans="34:34" ht="12.75" x14ac:dyDescent="0.2">
      <c r="AH837" s="41"/>
    </row>
    <row r="838" spans="34:34" ht="12.75" x14ac:dyDescent="0.2">
      <c r="AH838" s="41"/>
    </row>
    <row r="839" spans="34:34" ht="12.75" x14ac:dyDescent="0.2">
      <c r="AH839" s="41"/>
    </row>
    <row r="840" spans="34:34" ht="12.75" x14ac:dyDescent="0.2">
      <c r="AH840" s="41"/>
    </row>
    <row r="841" spans="34:34" ht="12.75" x14ac:dyDescent="0.2">
      <c r="AH841" s="41"/>
    </row>
    <row r="842" spans="34:34" ht="12.75" x14ac:dyDescent="0.2">
      <c r="AH842" s="41"/>
    </row>
    <row r="843" spans="34:34" ht="12.75" x14ac:dyDescent="0.2">
      <c r="AH843" s="41"/>
    </row>
    <row r="844" spans="34:34" ht="12.75" x14ac:dyDescent="0.2">
      <c r="AH844" s="41"/>
    </row>
    <row r="845" spans="34:34" ht="12.75" x14ac:dyDescent="0.2">
      <c r="AH845" s="41"/>
    </row>
    <row r="846" spans="34:34" ht="12.75" x14ac:dyDescent="0.2">
      <c r="AH846" s="41"/>
    </row>
    <row r="847" spans="34:34" ht="12.75" x14ac:dyDescent="0.2">
      <c r="AH847" s="41"/>
    </row>
    <row r="848" spans="34:34" ht="12.75" x14ac:dyDescent="0.2">
      <c r="AH848" s="41"/>
    </row>
    <row r="849" spans="34:34" ht="12.75" x14ac:dyDescent="0.2">
      <c r="AH849" s="41"/>
    </row>
    <row r="850" spans="34:34" ht="12.75" x14ac:dyDescent="0.2">
      <c r="AH850" s="41"/>
    </row>
    <row r="851" spans="34:34" ht="12.75" x14ac:dyDescent="0.2">
      <c r="AH851" s="41"/>
    </row>
    <row r="852" spans="34:34" ht="12.75" x14ac:dyDescent="0.2">
      <c r="AH852" s="41"/>
    </row>
    <row r="853" spans="34:34" ht="12.75" x14ac:dyDescent="0.2">
      <c r="AH853" s="41"/>
    </row>
    <row r="854" spans="34:34" ht="12.75" x14ac:dyDescent="0.2">
      <c r="AH854" s="41"/>
    </row>
    <row r="855" spans="34:34" ht="12.75" x14ac:dyDescent="0.2">
      <c r="AH855" s="41"/>
    </row>
    <row r="856" spans="34:34" ht="12.75" x14ac:dyDescent="0.2">
      <c r="AH856" s="41"/>
    </row>
    <row r="857" spans="34:34" ht="12.75" x14ac:dyDescent="0.2">
      <c r="AH857" s="41"/>
    </row>
    <row r="858" spans="34:34" ht="12.75" x14ac:dyDescent="0.2">
      <c r="AH858" s="41"/>
    </row>
    <row r="859" spans="34:34" ht="12.75" x14ac:dyDescent="0.2">
      <c r="AH859" s="41"/>
    </row>
    <row r="860" spans="34:34" ht="12.75" x14ac:dyDescent="0.2">
      <c r="AH860" s="41"/>
    </row>
    <row r="861" spans="34:34" ht="12.75" x14ac:dyDescent="0.2">
      <c r="AH861" s="41"/>
    </row>
    <row r="862" spans="34:34" ht="12.75" x14ac:dyDescent="0.2">
      <c r="AH862" s="41"/>
    </row>
    <row r="863" spans="34:34" ht="12.75" x14ac:dyDescent="0.2">
      <c r="AH863" s="41"/>
    </row>
    <row r="864" spans="34:34" ht="12.75" x14ac:dyDescent="0.2">
      <c r="AH864" s="41"/>
    </row>
    <row r="865" spans="34:34" ht="12.75" x14ac:dyDescent="0.2">
      <c r="AH865" s="41"/>
    </row>
    <row r="866" spans="34:34" ht="12.75" x14ac:dyDescent="0.2">
      <c r="AH866" s="41"/>
    </row>
    <row r="867" spans="34:34" ht="12.75" x14ac:dyDescent="0.2">
      <c r="AH867" s="41"/>
    </row>
    <row r="868" spans="34:34" ht="12.75" x14ac:dyDescent="0.2">
      <c r="AH868" s="41"/>
    </row>
    <row r="869" spans="34:34" ht="12.75" x14ac:dyDescent="0.2">
      <c r="AH869" s="41"/>
    </row>
    <row r="870" spans="34:34" ht="12.75" x14ac:dyDescent="0.2">
      <c r="AH870" s="41"/>
    </row>
    <row r="871" spans="34:34" ht="12.75" x14ac:dyDescent="0.2">
      <c r="AH871" s="41"/>
    </row>
    <row r="872" spans="34:34" ht="12.75" x14ac:dyDescent="0.2">
      <c r="AH872" s="41"/>
    </row>
    <row r="873" spans="34:34" ht="12.75" x14ac:dyDescent="0.2">
      <c r="AH873" s="41"/>
    </row>
    <row r="874" spans="34:34" ht="12.75" x14ac:dyDescent="0.2">
      <c r="AH874" s="41"/>
    </row>
    <row r="875" spans="34:34" ht="12.75" x14ac:dyDescent="0.2">
      <c r="AH875" s="41"/>
    </row>
    <row r="876" spans="34:34" ht="12.75" x14ac:dyDescent="0.2">
      <c r="AH876" s="41"/>
    </row>
    <row r="877" spans="34:34" ht="12.75" x14ac:dyDescent="0.2">
      <c r="AH877" s="41"/>
    </row>
    <row r="878" spans="34:34" ht="12.75" x14ac:dyDescent="0.2">
      <c r="AH878" s="41"/>
    </row>
    <row r="879" spans="34:34" ht="12.75" x14ac:dyDescent="0.2">
      <c r="AH879" s="41"/>
    </row>
    <row r="880" spans="34:34" ht="12.75" x14ac:dyDescent="0.2">
      <c r="AH880" s="41"/>
    </row>
    <row r="881" spans="34:34" ht="12.75" x14ac:dyDescent="0.2">
      <c r="AH881" s="41"/>
    </row>
    <row r="882" spans="34:34" ht="12.75" x14ac:dyDescent="0.2">
      <c r="AH882" s="41"/>
    </row>
    <row r="883" spans="34:34" ht="12.75" x14ac:dyDescent="0.2">
      <c r="AH883" s="41"/>
    </row>
    <row r="884" spans="34:34" ht="12.75" x14ac:dyDescent="0.2">
      <c r="AH884" s="41"/>
    </row>
    <row r="885" spans="34:34" ht="12.75" x14ac:dyDescent="0.2">
      <c r="AH885" s="41"/>
    </row>
    <row r="886" spans="34:34" ht="12.75" x14ac:dyDescent="0.2">
      <c r="AH886" s="41"/>
    </row>
    <row r="887" spans="34:34" ht="12.75" x14ac:dyDescent="0.2">
      <c r="AH887" s="41"/>
    </row>
    <row r="888" spans="34:34" ht="12.75" x14ac:dyDescent="0.2">
      <c r="AH888" s="41"/>
    </row>
    <row r="889" spans="34:34" ht="12.75" x14ac:dyDescent="0.2">
      <c r="AH889" s="41"/>
    </row>
    <row r="890" spans="34:34" ht="12.75" x14ac:dyDescent="0.2">
      <c r="AH890" s="41"/>
    </row>
    <row r="891" spans="34:34" ht="12.75" x14ac:dyDescent="0.2">
      <c r="AH891" s="41"/>
    </row>
    <row r="892" spans="34:34" ht="12.75" x14ac:dyDescent="0.2">
      <c r="AH892" s="41"/>
    </row>
    <row r="893" spans="34:34" ht="12.75" x14ac:dyDescent="0.2">
      <c r="AH893" s="41"/>
    </row>
    <row r="894" spans="34:34" ht="12.75" x14ac:dyDescent="0.2">
      <c r="AH894" s="41"/>
    </row>
    <row r="895" spans="34:34" ht="12.75" x14ac:dyDescent="0.2">
      <c r="AH895" s="41"/>
    </row>
    <row r="896" spans="34:34" ht="12.75" x14ac:dyDescent="0.2">
      <c r="AH896" s="41"/>
    </row>
    <row r="897" spans="34:34" ht="12.75" x14ac:dyDescent="0.2">
      <c r="AH897" s="41"/>
    </row>
    <row r="898" spans="34:34" ht="12.75" x14ac:dyDescent="0.2">
      <c r="AH898" s="41"/>
    </row>
    <row r="899" spans="34:34" ht="12.75" x14ac:dyDescent="0.2">
      <c r="AH899" s="41"/>
    </row>
    <row r="900" spans="34:34" ht="12.75" x14ac:dyDescent="0.2">
      <c r="AH900" s="41"/>
    </row>
    <row r="901" spans="34:34" ht="12.75" x14ac:dyDescent="0.2">
      <c r="AH901" s="41"/>
    </row>
    <row r="902" spans="34:34" ht="12.75" x14ac:dyDescent="0.2">
      <c r="AH902" s="41"/>
    </row>
    <row r="903" spans="34:34" ht="12.75" x14ac:dyDescent="0.2">
      <c r="AH903" s="41"/>
    </row>
    <row r="904" spans="34:34" ht="12.75" x14ac:dyDescent="0.2">
      <c r="AH904" s="41"/>
    </row>
    <row r="905" spans="34:34" ht="12.75" x14ac:dyDescent="0.2">
      <c r="AH905" s="41"/>
    </row>
    <row r="906" spans="34:34" ht="12.75" x14ac:dyDescent="0.2">
      <c r="AH906" s="41"/>
    </row>
    <row r="907" spans="34:34" ht="12.75" x14ac:dyDescent="0.2">
      <c r="AH907" s="41"/>
    </row>
    <row r="908" spans="34:34" ht="12.75" x14ac:dyDescent="0.2">
      <c r="AH908" s="41"/>
    </row>
    <row r="909" spans="34:34" ht="12.75" x14ac:dyDescent="0.2">
      <c r="AH909" s="41"/>
    </row>
    <row r="910" spans="34:34" ht="12.75" x14ac:dyDescent="0.2">
      <c r="AH910" s="41"/>
    </row>
    <row r="911" spans="34:34" ht="12.75" x14ac:dyDescent="0.2">
      <c r="AH911" s="41"/>
    </row>
    <row r="912" spans="34:34" ht="12.75" x14ac:dyDescent="0.2">
      <c r="AH912" s="41"/>
    </row>
    <row r="913" spans="34:34" ht="12.75" x14ac:dyDescent="0.2">
      <c r="AH913" s="41"/>
    </row>
    <row r="914" spans="34:34" ht="12.75" x14ac:dyDescent="0.2">
      <c r="AH914" s="41"/>
    </row>
    <row r="915" spans="34:34" ht="12.75" x14ac:dyDescent="0.2">
      <c r="AH915" s="41"/>
    </row>
    <row r="916" spans="34:34" ht="12.75" x14ac:dyDescent="0.2">
      <c r="AH916" s="41"/>
    </row>
    <row r="917" spans="34:34" ht="12.75" x14ac:dyDescent="0.2">
      <c r="AH917" s="41"/>
    </row>
    <row r="918" spans="34:34" ht="12.75" x14ac:dyDescent="0.2">
      <c r="AH918" s="41"/>
    </row>
    <row r="919" spans="34:34" ht="12.75" x14ac:dyDescent="0.2">
      <c r="AH919" s="41"/>
    </row>
    <row r="920" spans="34:34" ht="12.75" x14ac:dyDescent="0.2">
      <c r="AH920" s="41"/>
    </row>
    <row r="921" spans="34:34" ht="12.75" x14ac:dyDescent="0.2">
      <c r="AH921" s="41"/>
    </row>
    <row r="922" spans="34:34" ht="12.75" x14ac:dyDescent="0.2">
      <c r="AH922" s="41"/>
    </row>
    <row r="923" spans="34:34" ht="12.75" x14ac:dyDescent="0.2">
      <c r="AH923" s="41"/>
    </row>
    <row r="924" spans="34:34" ht="12.75" x14ac:dyDescent="0.2">
      <c r="AH924" s="41"/>
    </row>
    <row r="925" spans="34:34" ht="12.75" x14ac:dyDescent="0.2">
      <c r="AH925" s="41"/>
    </row>
    <row r="926" spans="34:34" ht="12.75" x14ac:dyDescent="0.2">
      <c r="AH926" s="41"/>
    </row>
    <row r="927" spans="34:34" ht="12.75" x14ac:dyDescent="0.2">
      <c r="AH927" s="41"/>
    </row>
    <row r="928" spans="34:34" ht="12.75" x14ac:dyDescent="0.2">
      <c r="AH928" s="41"/>
    </row>
    <row r="929" spans="34:34" ht="12.75" x14ac:dyDescent="0.2">
      <c r="AH929" s="41"/>
    </row>
    <row r="930" spans="34:34" ht="12.75" x14ac:dyDescent="0.2">
      <c r="AH930" s="41"/>
    </row>
    <row r="931" spans="34:34" ht="12.75" x14ac:dyDescent="0.2">
      <c r="AH931" s="41"/>
    </row>
    <row r="932" spans="34:34" ht="12.75" x14ac:dyDescent="0.2">
      <c r="AH932" s="41"/>
    </row>
    <row r="933" spans="34:34" ht="12.75" x14ac:dyDescent="0.2">
      <c r="AH933" s="41"/>
    </row>
    <row r="934" spans="34:34" ht="12.75" x14ac:dyDescent="0.2">
      <c r="AH934" s="41"/>
    </row>
    <row r="935" spans="34:34" ht="12.75" x14ac:dyDescent="0.2">
      <c r="AH935" s="41"/>
    </row>
    <row r="936" spans="34:34" ht="12.75" x14ac:dyDescent="0.2">
      <c r="AH936" s="41"/>
    </row>
    <row r="937" spans="34:34" ht="12.75" x14ac:dyDescent="0.2">
      <c r="AH937" s="41"/>
    </row>
    <row r="938" spans="34:34" ht="12.75" x14ac:dyDescent="0.2">
      <c r="AH938" s="41"/>
    </row>
    <row r="939" spans="34:34" ht="12.75" x14ac:dyDescent="0.2">
      <c r="AH939" s="41"/>
    </row>
    <row r="940" spans="34:34" ht="12.75" x14ac:dyDescent="0.2">
      <c r="AH940" s="41"/>
    </row>
    <row r="941" spans="34:34" ht="12.75" x14ac:dyDescent="0.2">
      <c r="AH941" s="41"/>
    </row>
    <row r="942" spans="34:34" ht="12.75" x14ac:dyDescent="0.2">
      <c r="AH942" s="41"/>
    </row>
    <row r="943" spans="34:34" ht="12.75" x14ac:dyDescent="0.2">
      <c r="AH943" s="41"/>
    </row>
    <row r="944" spans="34:34" ht="12.75" x14ac:dyDescent="0.2">
      <c r="AH944" s="41"/>
    </row>
    <row r="945" spans="34:34" ht="12.75" x14ac:dyDescent="0.2">
      <c r="AH945" s="41"/>
    </row>
    <row r="946" spans="34:34" ht="12.75" x14ac:dyDescent="0.2">
      <c r="AH946" s="41"/>
    </row>
    <row r="947" spans="34:34" ht="12.75" x14ac:dyDescent="0.2">
      <c r="AH947" s="41"/>
    </row>
    <row r="948" spans="34:34" ht="12.75" x14ac:dyDescent="0.2">
      <c r="AH948" s="41"/>
    </row>
    <row r="949" spans="34:34" ht="12.75" x14ac:dyDescent="0.2">
      <c r="AH949" s="41"/>
    </row>
    <row r="950" spans="34:34" ht="12.75" x14ac:dyDescent="0.2">
      <c r="AH950" s="41"/>
    </row>
    <row r="951" spans="34:34" ht="12.75" x14ac:dyDescent="0.2">
      <c r="AH951" s="41"/>
    </row>
    <row r="952" spans="34:34" ht="12.75" x14ac:dyDescent="0.2">
      <c r="AH952" s="41"/>
    </row>
    <row r="953" spans="34:34" ht="12.75" x14ac:dyDescent="0.2">
      <c r="AH953" s="41"/>
    </row>
    <row r="954" spans="34:34" ht="12.75" x14ac:dyDescent="0.2">
      <c r="AH954" s="41"/>
    </row>
    <row r="955" spans="34:34" ht="12.75" x14ac:dyDescent="0.2">
      <c r="AH955" s="41"/>
    </row>
    <row r="956" spans="34:34" ht="12.75" x14ac:dyDescent="0.2">
      <c r="AH956" s="41"/>
    </row>
    <row r="957" spans="34:34" ht="12.75" x14ac:dyDescent="0.2">
      <c r="AH957" s="41"/>
    </row>
    <row r="958" spans="34:34" ht="12.75" x14ac:dyDescent="0.2">
      <c r="AH958" s="41"/>
    </row>
    <row r="959" spans="34:34" ht="12.75" x14ac:dyDescent="0.2">
      <c r="AH959" s="41"/>
    </row>
    <row r="960" spans="34:34" ht="12.75" x14ac:dyDescent="0.2">
      <c r="AH960" s="41"/>
    </row>
    <row r="961" spans="34:34" ht="12.75" x14ac:dyDescent="0.2">
      <c r="AH961" s="41"/>
    </row>
    <row r="962" spans="34:34" ht="12.75" x14ac:dyDescent="0.2">
      <c r="AH962" s="41"/>
    </row>
    <row r="963" spans="34:34" ht="12.75" x14ac:dyDescent="0.2">
      <c r="AH963" s="41"/>
    </row>
    <row r="964" spans="34:34" ht="12.75" x14ac:dyDescent="0.2">
      <c r="AH964" s="41"/>
    </row>
    <row r="965" spans="34:34" ht="12.75" x14ac:dyDescent="0.2">
      <c r="AH965" s="41"/>
    </row>
    <row r="966" spans="34:34" ht="12.75" x14ac:dyDescent="0.2">
      <c r="AH966" s="41"/>
    </row>
    <row r="967" spans="34:34" ht="12.75" x14ac:dyDescent="0.2">
      <c r="AH967" s="41"/>
    </row>
    <row r="968" spans="34:34" ht="12.75" x14ac:dyDescent="0.2">
      <c r="AH968" s="41"/>
    </row>
    <row r="969" spans="34:34" ht="12.75" x14ac:dyDescent="0.2">
      <c r="AH969" s="41"/>
    </row>
    <row r="970" spans="34:34" ht="12.75" x14ac:dyDescent="0.2">
      <c r="AH970" s="41"/>
    </row>
    <row r="971" spans="34:34" ht="12.75" x14ac:dyDescent="0.2">
      <c r="AH971" s="41"/>
    </row>
    <row r="972" spans="34:34" ht="12.75" x14ac:dyDescent="0.2">
      <c r="AH972" s="41"/>
    </row>
    <row r="973" spans="34:34" ht="12.75" x14ac:dyDescent="0.2">
      <c r="AH973" s="41"/>
    </row>
    <row r="974" spans="34:34" ht="12.75" x14ac:dyDescent="0.2">
      <c r="AH974" s="41"/>
    </row>
    <row r="975" spans="34:34" ht="12.75" x14ac:dyDescent="0.2">
      <c r="AH975" s="41"/>
    </row>
    <row r="976" spans="34:34" ht="12.75" x14ac:dyDescent="0.2">
      <c r="AH976" s="41"/>
    </row>
    <row r="977" spans="34:34" ht="12.75" x14ac:dyDescent="0.2">
      <c r="AH977" s="41"/>
    </row>
  </sheetData>
  <mergeCells count="7">
    <mergeCell ref="X56:X57"/>
    <mergeCell ref="X62:X63"/>
    <mergeCell ref="X26:X27"/>
    <mergeCell ref="X32:X33"/>
    <mergeCell ref="X38:X39"/>
    <mergeCell ref="X44:X45"/>
    <mergeCell ref="X50:X5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I177"/>
  <sheetViews>
    <sheetView workbookViewId="0">
      <selection activeCell="AH16" sqref="AH16"/>
    </sheetView>
  </sheetViews>
  <sheetFormatPr defaultColWidth="12.5703125" defaultRowHeight="15.75" customHeight="1" x14ac:dyDescent="0.2"/>
  <cols>
    <col min="2" max="2" width="9.85546875" customWidth="1"/>
    <col min="3" max="8" width="4.28515625" customWidth="1"/>
    <col min="9" max="11" width="5.28515625" customWidth="1"/>
    <col min="13" max="13" width="10.85546875" customWidth="1"/>
    <col min="14" max="19" width="4.28515625" customWidth="1"/>
    <col min="20" max="22" width="5.28515625" customWidth="1"/>
    <col min="23" max="23" width="6.140625" customWidth="1"/>
    <col min="24" max="24" width="8.28515625" customWidth="1"/>
    <col min="25" max="25" width="7.7109375" customWidth="1"/>
    <col min="26" max="26" width="6.42578125" customWidth="1"/>
    <col min="27" max="27" width="7.85546875" customWidth="1"/>
    <col min="28" max="28" width="8" customWidth="1"/>
    <col min="29" max="29" width="8.7109375" customWidth="1"/>
    <col min="30" max="30" width="7" customWidth="1"/>
    <col min="31" max="31" width="8.28515625" customWidth="1"/>
    <col min="32" max="32" width="7.7109375" customWidth="1"/>
    <col min="33" max="33" width="8.28515625" customWidth="1"/>
    <col min="34" max="34" width="7.7109375" customWidth="1"/>
  </cols>
  <sheetData>
    <row r="1" spans="1:35" ht="51" x14ac:dyDescent="0.2">
      <c r="A1" s="52" t="s">
        <v>135</v>
      </c>
      <c r="B1" s="53">
        <v>45717</v>
      </c>
      <c r="C1" s="54"/>
      <c r="D1" s="54"/>
      <c r="E1" s="54"/>
      <c r="F1" s="54"/>
      <c r="G1" s="54"/>
      <c r="H1" s="54"/>
      <c r="I1" s="54"/>
      <c r="J1" s="55"/>
      <c r="K1" s="56"/>
      <c r="L1" s="52" t="s">
        <v>136</v>
      </c>
      <c r="M1" s="53"/>
      <c r="N1" s="54"/>
      <c r="O1" s="54"/>
      <c r="P1" s="54"/>
      <c r="Q1" s="54"/>
      <c r="R1" s="54"/>
      <c r="S1" s="54"/>
      <c r="T1" s="54"/>
      <c r="U1" s="54"/>
      <c r="V1" s="54"/>
      <c r="W1" s="55" t="s">
        <v>141</v>
      </c>
      <c r="X1" s="57" t="s">
        <v>192</v>
      </c>
      <c r="Y1" s="58" t="s">
        <v>142</v>
      </c>
      <c r="Z1" s="59" t="s">
        <v>193</v>
      </c>
      <c r="AA1" s="60" t="s">
        <v>194</v>
      </c>
      <c r="AB1" s="57" t="s">
        <v>165</v>
      </c>
      <c r="AC1" s="55" t="s">
        <v>195</v>
      </c>
      <c r="AD1" s="55" t="s">
        <v>196</v>
      </c>
      <c r="AE1" s="57" t="s">
        <v>197</v>
      </c>
      <c r="AF1" s="55" t="s">
        <v>198</v>
      </c>
      <c r="AG1" s="61"/>
      <c r="AH1" s="77"/>
      <c r="AI1" s="52"/>
    </row>
    <row r="2" spans="1:35" ht="12.75" x14ac:dyDescent="0.2">
      <c r="A2" s="55" t="s">
        <v>199</v>
      </c>
      <c r="B2" s="62">
        <v>0.05</v>
      </c>
      <c r="C2" s="62">
        <v>0.1</v>
      </c>
      <c r="D2" s="62">
        <v>0.2</v>
      </c>
      <c r="E2" s="62">
        <v>0.5</v>
      </c>
      <c r="F2" s="62">
        <v>1</v>
      </c>
      <c r="G2" s="62">
        <v>2</v>
      </c>
      <c r="H2" s="62">
        <v>5</v>
      </c>
      <c r="I2" s="62">
        <v>10</v>
      </c>
      <c r="K2" s="56"/>
      <c r="L2" s="55" t="s">
        <v>199</v>
      </c>
      <c r="M2" s="62">
        <v>0.05</v>
      </c>
      <c r="N2" s="62">
        <v>0.1</v>
      </c>
      <c r="O2" s="62">
        <v>0.2</v>
      </c>
      <c r="P2" s="62">
        <v>0.5</v>
      </c>
      <c r="Q2" s="62">
        <v>1</v>
      </c>
      <c r="R2" s="62">
        <v>2</v>
      </c>
      <c r="S2" s="62">
        <v>5</v>
      </c>
      <c r="T2" s="62">
        <v>10</v>
      </c>
      <c r="U2" s="62">
        <v>20</v>
      </c>
      <c r="V2" s="62">
        <v>50</v>
      </c>
      <c r="W2" s="54"/>
      <c r="X2" s="54"/>
      <c r="Z2" s="63"/>
      <c r="AA2" s="64"/>
      <c r="AB2" s="54"/>
      <c r="AC2" s="54"/>
      <c r="AD2" s="54"/>
      <c r="AE2" s="54"/>
      <c r="AF2" s="54"/>
      <c r="AH2" s="41"/>
      <c r="AI2" s="55"/>
    </row>
    <row r="3" spans="1:35" ht="12.75" x14ac:dyDescent="0.2">
      <c r="A3" s="55" t="s">
        <v>200</v>
      </c>
      <c r="B3" s="38">
        <v>101</v>
      </c>
      <c r="C3" s="38">
        <v>17</v>
      </c>
      <c r="D3" s="65">
        <v>9</v>
      </c>
      <c r="E3" s="65">
        <v>4</v>
      </c>
      <c r="F3" s="65">
        <v>10</v>
      </c>
      <c r="G3" s="65">
        <v>5</v>
      </c>
      <c r="H3" s="65">
        <v>2</v>
      </c>
      <c r="I3" s="65"/>
      <c r="J3" s="54"/>
      <c r="K3" s="56"/>
      <c r="L3" s="55" t="s">
        <v>200</v>
      </c>
      <c r="M3" s="38">
        <v>99</v>
      </c>
      <c r="N3" s="38">
        <v>34</v>
      </c>
      <c r="O3" s="65">
        <v>16</v>
      </c>
      <c r="P3" s="65">
        <v>14</v>
      </c>
      <c r="Q3" s="65">
        <v>5</v>
      </c>
      <c r="R3" s="65">
        <v>4</v>
      </c>
      <c r="S3" s="65">
        <v>9</v>
      </c>
      <c r="T3" s="65">
        <v>10</v>
      </c>
      <c r="U3" s="65">
        <v>4</v>
      </c>
      <c r="V3" s="65"/>
      <c r="W3" s="65"/>
      <c r="X3" s="54"/>
      <c r="Z3" s="63"/>
      <c r="AA3" s="64"/>
      <c r="AB3" s="54"/>
      <c r="AC3" s="54"/>
      <c r="AD3" s="54"/>
      <c r="AE3" s="54"/>
      <c r="AF3" s="54"/>
      <c r="AH3" s="41"/>
      <c r="AI3" s="55"/>
    </row>
    <row r="4" spans="1:35" ht="12.75" x14ac:dyDescent="0.2">
      <c r="A4" s="55" t="s">
        <v>141</v>
      </c>
      <c r="B4" s="70">
        <f t="shared" ref="B4:I4" si="0">B3*B2</f>
        <v>5.0500000000000007</v>
      </c>
      <c r="C4" s="70">
        <f t="shared" si="0"/>
        <v>1.7000000000000002</v>
      </c>
      <c r="D4" s="70">
        <f t="shared" si="0"/>
        <v>1.8</v>
      </c>
      <c r="E4" s="70">
        <f t="shared" si="0"/>
        <v>2</v>
      </c>
      <c r="F4" s="70">
        <f t="shared" si="0"/>
        <v>10</v>
      </c>
      <c r="G4" s="70">
        <f t="shared" si="0"/>
        <v>10</v>
      </c>
      <c r="H4" s="65">
        <f t="shared" si="0"/>
        <v>10</v>
      </c>
      <c r="I4" s="65">
        <f t="shared" si="0"/>
        <v>0</v>
      </c>
      <c r="J4" s="54">
        <f>SUM(B4:I4)</f>
        <v>40.549999999999997</v>
      </c>
      <c r="K4" s="56"/>
      <c r="L4" s="55" t="s">
        <v>141</v>
      </c>
      <c r="M4" s="70">
        <f t="shared" ref="M4:V4" si="1">M3*M2</f>
        <v>4.95</v>
      </c>
      <c r="N4" s="70">
        <f t="shared" si="1"/>
        <v>3.4000000000000004</v>
      </c>
      <c r="O4" s="70">
        <f t="shared" si="1"/>
        <v>3.2</v>
      </c>
      <c r="P4" s="70">
        <f t="shared" si="1"/>
        <v>7</v>
      </c>
      <c r="Q4" s="70">
        <f t="shared" si="1"/>
        <v>5</v>
      </c>
      <c r="R4" s="70">
        <f t="shared" si="1"/>
        <v>8</v>
      </c>
      <c r="S4" s="70">
        <f t="shared" si="1"/>
        <v>45</v>
      </c>
      <c r="T4" s="70">
        <f t="shared" si="1"/>
        <v>100</v>
      </c>
      <c r="U4" s="70">
        <f t="shared" si="1"/>
        <v>80</v>
      </c>
      <c r="V4" s="70">
        <f t="shared" si="1"/>
        <v>0</v>
      </c>
      <c r="W4" s="54">
        <f>SUM(M4:V4)</f>
        <v>256.55</v>
      </c>
      <c r="X4" s="55">
        <f>W4-J4</f>
        <v>216</v>
      </c>
      <c r="Y4" s="63">
        <v>121.2</v>
      </c>
      <c r="Z4" s="63">
        <v>27.1</v>
      </c>
      <c r="AA4" s="66">
        <f>X4+Z4</f>
        <v>243.1</v>
      </c>
      <c r="AB4" s="55">
        <v>80</v>
      </c>
      <c r="AC4" s="55">
        <f>Y4-AB4</f>
        <v>41.2</v>
      </c>
      <c r="AD4" s="55">
        <f>X4-Y4</f>
        <v>94.8</v>
      </c>
      <c r="AE4" s="55"/>
      <c r="AF4" s="55">
        <f>AD4-AE4</f>
        <v>94.8</v>
      </c>
      <c r="AG4" s="61"/>
      <c r="AH4" s="77">
        <f>(SUM(Y4:Z4)/(1+10/100))*(10/100)</f>
        <v>13.481818181818182</v>
      </c>
      <c r="AI4" s="55"/>
    </row>
    <row r="6" spans="1:35" ht="51" x14ac:dyDescent="0.2">
      <c r="A6" s="52" t="s">
        <v>135</v>
      </c>
      <c r="B6" s="53">
        <v>45719</v>
      </c>
      <c r="C6" s="54"/>
      <c r="D6" s="54"/>
      <c r="E6" s="54"/>
      <c r="F6" s="54"/>
      <c r="G6" s="54"/>
      <c r="H6" s="54"/>
      <c r="I6" s="54"/>
      <c r="J6" s="55"/>
      <c r="K6" s="56"/>
      <c r="L6" s="52" t="s">
        <v>136</v>
      </c>
      <c r="M6" s="53">
        <v>45719</v>
      </c>
      <c r="N6" s="54"/>
      <c r="O6" s="54"/>
      <c r="P6" s="54"/>
      <c r="Q6" s="54"/>
      <c r="R6" s="54"/>
      <c r="S6" s="54"/>
      <c r="T6" s="54"/>
      <c r="U6" s="54"/>
      <c r="V6" s="54"/>
      <c r="W6" s="55" t="s">
        <v>141</v>
      </c>
      <c r="X6" s="57" t="s">
        <v>192</v>
      </c>
      <c r="Y6" s="58" t="s">
        <v>142</v>
      </c>
      <c r="Z6" s="59" t="s">
        <v>193</v>
      </c>
      <c r="AA6" s="60" t="s">
        <v>194</v>
      </c>
      <c r="AB6" s="57" t="s">
        <v>165</v>
      </c>
      <c r="AC6" s="55" t="s">
        <v>195</v>
      </c>
      <c r="AD6" s="55" t="s">
        <v>196</v>
      </c>
      <c r="AE6" s="57" t="s">
        <v>197</v>
      </c>
      <c r="AF6" s="55" t="s">
        <v>198</v>
      </c>
      <c r="AG6" s="61"/>
      <c r="AH6" s="77"/>
      <c r="AI6" s="61"/>
    </row>
    <row r="7" spans="1:35" ht="12.75" x14ac:dyDescent="0.2">
      <c r="A7" s="55" t="s">
        <v>199</v>
      </c>
      <c r="B7" s="62">
        <v>0.05</v>
      </c>
      <c r="C7" s="62">
        <v>0.1</v>
      </c>
      <c r="D7" s="62">
        <v>0.2</v>
      </c>
      <c r="E7" s="62">
        <v>0.5</v>
      </c>
      <c r="F7" s="62">
        <v>1</v>
      </c>
      <c r="G7" s="62">
        <v>2</v>
      </c>
      <c r="H7" s="62">
        <v>5</v>
      </c>
      <c r="I7" s="62">
        <v>10</v>
      </c>
      <c r="K7" s="56"/>
      <c r="L7" s="55" t="s">
        <v>199</v>
      </c>
      <c r="M7" s="62">
        <v>0.05</v>
      </c>
      <c r="N7" s="62">
        <v>0.1</v>
      </c>
      <c r="O7" s="62">
        <v>0.2</v>
      </c>
      <c r="P7" s="62">
        <v>0.5</v>
      </c>
      <c r="Q7" s="62">
        <v>1</v>
      </c>
      <c r="R7" s="62">
        <v>2</v>
      </c>
      <c r="S7" s="62">
        <v>5</v>
      </c>
      <c r="T7" s="62">
        <v>10</v>
      </c>
      <c r="U7" s="62">
        <v>20</v>
      </c>
      <c r="V7" s="62">
        <v>50</v>
      </c>
      <c r="W7" s="54"/>
      <c r="X7" s="54"/>
      <c r="Z7" s="63"/>
      <c r="AA7" s="64"/>
      <c r="AB7" s="54"/>
      <c r="AC7" s="54"/>
      <c r="AD7" s="54"/>
      <c r="AE7" s="54"/>
      <c r="AF7" s="54"/>
      <c r="AH7" s="41"/>
    </row>
    <row r="8" spans="1:35" ht="12.75" x14ac:dyDescent="0.2">
      <c r="A8" s="55" t="s">
        <v>200</v>
      </c>
      <c r="B8" s="38">
        <v>101</v>
      </c>
      <c r="C8" s="38">
        <v>17</v>
      </c>
      <c r="D8" s="65">
        <v>9</v>
      </c>
      <c r="E8" s="65">
        <v>4</v>
      </c>
      <c r="F8" s="65">
        <v>10</v>
      </c>
      <c r="G8" s="65">
        <v>5</v>
      </c>
      <c r="H8" s="65">
        <v>1</v>
      </c>
      <c r="I8" s="65"/>
      <c r="J8" s="54"/>
      <c r="K8" s="56"/>
      <c r="L8" s="55" t="s">
        <v>200</v>
      </c>
      <c r="M8" s="38">
        <v>99</v>
      </c>
      <c r="N8" s="38">
        <v>36</v>
      </c>
      <c r="O8" s="65">
        <v>14</v>
      </c>
      <c r="P8" s="65">
        <v>11</v>
      </c>
      <c r="Q8" s="65">
        <v>10</v>
      </c>
      <c r="R8" s="65">
        <v>11</v>
      </c>
      <c r="S8" s="65">
        <v>13</v>
      </c>
      <c r="T8" s="65">
        <v>2</v>
      </c>
      <c r="U8" s="65">
        <v>1</v>
      </c>
      <c r="V8" s="65">
        <v>1</v>
      </c>
      <c r="W8" s="65"/>
      <c r="X8" s="54"/>
      <c r="Z8" s="63"/>
      <c r="AA8" s="64"/>
      <c r="AB8" s="54"/>
      <c r="AC8" s="54"/>
      <c r="AD8" s="54"/>
      <c r="AE8" s="54"/>
      <c r="AF8" s="54"/>
      <c r="AH8" s="41"/>
    </row>
    <row r="9" spans="1:35" ht="12.75" x14ac:dyDescent="0.2">
      <c r="A9" s="55" t="s">
        <v>141</v>
      </c>
      <c r="B9" s="70">
        <f t="shared" ref="B9:I9" si="2">B8*B7</f>
        <v>5.0500000000000007</v>
      </c>
      <c r="C9" s="70">
        <f t="shared" si="2"/>
        <v>1.7000000000000002</v>
      </c>
      <c r="D9" s="70">
        <f t="shared" si="2"/>
        <v>1.8</v>
      </c>
      <c r="E9" s="70">
        <f t="shared" si="2"/>
        <v>2</v>
      </c>
      <c r="F9" s="70">
        <f t="shared" si="2"/>
        <v>10</v>
      </c>
      <c r="G9" s="70">
        <f t="shared" si="2"/>
        <v>10</v>
      </c>
      <c r="H9" s="65">
        <f t="shared" si="2"/>
        <v>5</v>
      </c>
      <c r="I9" s="65">
        <f t="shared" si="2"/>
        <v>0</v>
      </c>
      <c r="J9" s="54">
        <f>SUM(B9:I9)</f>
        <v>35.549999999999997</v>
      </c>
      <c r="K9" s="56"/>
      <c r="L9" s="55" t="s">
        <v>141</v>
      </c>
      <c r="M9" s="70">
        <f t="shared" ref="M9:V9" si="3">M8*M7</f>
        <v>4.95</v>
      </c>
      <c r="N9" s="70">
        <f t="shared" si="3"/>
        <v>3.6</v>
      </c>
      <c r="O9" s="70">
        <f t="shared" si="3"/>
        <v>2.8000000000000003</v>
      </c>
      <c r="P9" s="70">
        <f t="shared" si="3"/>
        <v>5.5</v>
      </c>
      <c r="Q9" s="70">
        <f t="shared" si="3"/>
        <v>10</v>
      </c>
      <c r="R9" s="70">
        <f t="shared" si="3"/>
        <v>22</v>
      </c>
      <c r="S9" s="70">
        <f t="shared" si="3"/>
        <v>65</v>
      </c>
      <c r="T9" s="70">
        <f t="shared" si="3"/>
        <v>20</v>
      </c>
      <c r="U9" s="70">
        <f t="shared" si="3"/>
        <v>20</v>
      </c>
      <c r="V9" s="70">
        <f t="shared" si="3"/>
        <v>50</v>
      </c>
      <c r="W9" s="54">
        <f>SUM(M9:V9)</f>
        <v>203.85</v>
      </c>
      <c r="X9" s="55">
        <f>W9-J9</f>
        <v>168.3</v>
      </c>
      <c r="Y9" s="63">
        <v>105.9</v>
      </c>
      <c r="Z9" s="63">
        <v>31.8</v>
      </c>
      <c r="AA9" s="66">
        <f>X9+Z9</f>
        <v>200.10000000000002</v>
      </c>
      <c r="AB9" s="55">
        <v>80</v>
      </c>
      <c r="AC9" s="55">
        <f>Y9-AB9</f>
        <v>25.900000000000006</v>
      </c>
      <c r="AD9" s="55">
        <f>X9-Y9</f>
        <v>62.400000000000006</v>
      </c>
      <c r="AE9" s="55"/>
      <c r="AF9" s="55">
        <f>AD9-AE9</f>
        <v>62.400000000000006</v>
      </c>
      <c r="AG9" s="61"/>
      <c r="AH9" s="77">
        <f>(SUM(Y9:Z9)/(1+10/100))*(10/100)</f>
        <v>12.518181818181819</v>
      </c>
      <c r="AI9" s="61"/>
    </row>
    <row r="12" spans="1:35" ht="51" x14ac:dyDescent="0.2">
      <c r="A12" s="52" t="s">
        <v>135</v>
      </c>
      <c r="B12" s="53">
        <v>45720</v>
      </c>
      <c r="C12" s="54"/>
      <c r="D12" s="54"/>
      <c r="E12" s="54"/>
      <c r="F12" s="54"/>
      <c r="G12" s="54"/>
      <c r="H12" s="54"/>
      <c r="I12" s="54"/>
      <c r="J12" s="55"/>
      <c r="K12" s="56"/>
      <c r="L12" s="52" t="s">
        <v>136</v>
      </c>
      <c r="M12" s="53">
        <v>45720</v>
      </c>
      <c r="N12" s="54"/>
      <c r="O12" s="54"/>
      <c r="P12" s="54"/>
      <c r="Q12" s="54"/>
      <c r="R12" s="54"/>
      <c r="S12" s="54"/>
      <c r="T12" s="54"/>
      <c r="U12" s="54"/>
      <c r="V12" s="54"/>
      <c r="W12" s="55" t="s">
        <v>141</v>
      </c>
      <c r="X12" s="57" t="s">
        <v>192</v>
      </c>
      <c r="Y12" s="58" t="s">
        <v>142</v>
      </c>
      <c r="Z12" s="59" t="s">
        <v>193</v>
      </c>
      <c r="AA12" s="60" t="s">
        <v>194</v>
      </c>
      <c r="AB12" s="57" t="s">
        <v>165</v>
      </c>
      <c r="AC12" s="55" t="s">
        <v>195</v>
      </c>
      <c r="AD12" s="55" t="s">
        <v>196</v>
      </c>
      <c r="AE12" s="57" t="s">
        <v>197</v>
      </c>
      <c r="AF12" s="55" t="s">
        <v>198</v>
      </c>
      <c r="AG12" s="61"/>
      <c r="AH12" s="77"/>
      <c r="AI12" s="61"/>
    </row>
    <row r="13" spans="1:35" ht="12.75" x14ac:dyDescent="0.2">
      <c r="A13" s="55" t="s">
        <v>199</v>
      </c>
      <c r="B13" s="62">
        <v>0.05</v>
      </c>
      <c r="C13" s="62">
        <v>0.1</v>
      </c>
      <c r="D13" s="62">
        <v>0.2</v>
      </c>
      <c r="E13" s="62">
        <v>0.5</v>
      </c>
      <c r="F13" s="62">
        <v>1</v>
      </c>
      <c r="G13" s="62">
        <v>2</v>
      </c>
      <c r="H13" s="62">
        <v>5</v>
      </c>
      <c r="I13" s="62">
        <v>10</v>
      </c>
      <c r="K13" s="56"/>
      <c r="L13" s="55" t="s">
        <v>199</v>
      </c>
      <c r="M13" s="62">
        <v>0.05</v>
      </c>
      <c r="N13" s="62">
        <v>0.1</v>
      </c>
      <c r="O13" s="62">
        <v>0.2</v>
      </c>
      <c r="P13" s="62">
        <v>0.5</v>
      </c>
      <c r="Q13" s="62">
        <v>1</v>
      </c>
      <c r="R13" s="62">
        <v>2</v>
      </c>
      <c r="S13" s="62">
        <v>5</v>
      </c>
      <c r="T13" s="62">
        <v>10</v>
      </c>
      <c r="U13" s="62">
        <v>20</v>
      </c>
      <c r="V13" s="62">
        <v>50</v>
      </c>
      <c r="W13" s="54"/>
      <c r="X13" s="54"/>
      <c r="Z13" s="63"/>
      <c r="AA13" s="64"/>
      <c r="AB13" s="54"/>
      <c r="AC13" s="54"/>
      <c r="AD13" s="54"/>
      <c r="AE13" s="54"/>
      <c r="AF13" s="54"/>
      <c r="AH13" s="41"/>
    </row>
    <row r="14" spans="1:35" ht="12.75" x14ac:dyDescent="0.2">
      <c r="A14" s="55" t="s">
        <v>200</v>
      </c>
      <c r="B14" s="38">
        <v>99</v>
      </c>
      <c r="C14" s="38">
        <v>36</v>
      </c>
      <c r="D14" s="65">
        <v>14</v>
      </c>
      <c r="E14" s="65">
        <v>8</v>
      </c>
      <c r="F14" s="65">
        <v>10</v>
      </c>
      <c r="G14" s="65">
        <v>5</v>
      </c>
      <c r="H14" s="65">
        <v>1</v>
      </c>
      <c r="I14" s="65"/>
      <c r="J14" s="54"/>
      <c r="K14" s="56"/>
      <c r="L14" s="55" t="s">
        <v>200</v>
      </c>
      <c r="M14" s="38">
        <v>94</v>
      </c>
      <c r="N14" s="38">
        <v>33</v>
      </c>
      <c r="O14" s="65">
        <v>8</v>
      </c>
      <c r="P14" s="65">
        <v>15</v>
      </c>
      <c r="Q14" s="65">
        <v>5</v>
      </c>
      <c r="R14" s="65">
        <v>5</v>
      </c>
      <c r="S14" s="65">
        <v>10</v>
      </c>
      <c r="T14" s="65">
        <v>5</v>
      </c>
      <c r="U14" s="65">
        <v>3</v>
      </c>
      <c r="V14" s="65">
        <v>2</v>
      </c>
      <c r="W14" s="65"/>
      <c r="X14" s="54"/>
      <c r="Z14" s="63"/>
      <c r="AA14" s="64"/>
      <c r="AB14" s="54"/>
      <c r="AC14" s="54"/>
      <c r="AD14" s="54"/>
      <c r="AE14" s="54"/>
      <c r="AF14" s="54"/>
      <c r="AH14" s="41"/>
    </row>
    <row r="15" spans="1:35" ht="12.75" x14ac:dyDescent="0.2">
      <c r="A15" s="55" t="s">
        <v>141</v>
      </c>
      <c r="B15" s="70">
        <f t="shared" ref="B15:I15" si="4">B14*B13</f>
        <v>4.95</v>
      </c>
      <c r="C15" s="70">
        <f t="shared" si="4"/>
        <v>3.6</v>
      </c>
      <c r="D15" s="70">
        <f t="shared" si="4"/>
        <v>2.8000000000000003</v>
      </c>
      <c r="E15" s="70">
        <f t="shared" si="4"/>
        <v>4</v>
      </c>
      <c r="F15" s="70">
        <f t="shared" si="4"/>
        <v>10</v>
      </c>
      <c r="G15" s="70">
        <f t="shared" si="4"/>
        <v>10</v>
      </c>
      <c r="H15" s="65">
        <f t="shared" si="4"/>
        <v>5</v>
      </c>
      <c r="I15" s="65">
        <f t="shared" si="4"/>
        <v>0</v>
      </c>
      <c r="J15" s="54">
        <f>SUM(B15:I15)</f>
        <v>40.35</v>
      </c>
      <c r="K15" s="56"/>
      <c r="L15" s="55" t="s">
        <v>141</v>
      </c>
      <c r="M15" s="70">
        <f t="shared" ref="M15:V15" si="5">M14*M13</f>
        <v>4.7</v>
      </c>
      <c r="N15" s="70">
        <f t="shared" si="5"/>
        <v>3.3000000000000003</v>
      </c>
      <c r="O15" s="70">
        <f t="shared" si="5"/>
        <v>1.6</v>
      </c>
      <c r="P15" s="70">
        <f t="shared" si="5"/>
        <v>7.5</v>
      </c>
      <c r="Q15" s="70">
        <f t="shared" si="5"/>
        <v>5</v>
      </c>
      <c r="R15" s="70">
        <f t="shared" si="5"/>
        <v>10</v>
      </c>
      <c r="S15" s="70">
        <f t="shared" si="5"/>
        <v>50</v>
      </c>
      <c r="T15" s="70">
        <f t="shared" si="5"/>
        <v>50</v>
      </c>
      <c r="U15" s="70">
        <f t="shared" si="5"/>
        <v>60</v>
      </c>
      <c r="V15" s="70">
        <f t="shared" si="5"/>
        <v>100</v>
      </c>
      <c r="W15" s="54">
        <f>SUM(M15:V15)</f>
        <v>292.10000000000002</v>
      </c>
      <c r="X15" s="55">
        <f>W15-J15</f>
        <v>251.75000000000003</v>
      </c>
      <c r="Y15" s="63">
        <v>119.6</v>
      </c>
      <c r="Z15" s="63">
        <v>33.1</v>
      </c>
      <c r="AA15" s="66">
        <f>X15+Z15</f>
        <v>284.85000000000002</v>
      </c>
      <c r="AB15" s="55">
        <v>80</v>
      </c>
      <c r="AC15" s="55">
        <f>Y15-AB15</f>
        <v>39.599999999999994</v>
      </c>
      <c r="AD15" s="55">
        <f>X15-Y15</f>
        <v>132.15000000000003</v>
      </c>
      <c r="AE15" s="55">
        <v>50</v>
      </c>
      <c r="AF15" s="55">
        <f>AD15-AE15</f>
        <v>82.150000000000034</v>
      </c>
      <c r="AG15" s="61"/>
      <c r="AH15" s="77">
        <f>(SUM(Y15:Z15)/(1+10/100))*(10/100)</f>
        <v>13.881818181818179</v>
      </c>
      <c r="AI15" s="61"/>
    </row>
    <row r="17" spans="1:35" ht="51" x14ac:dyDescent="0.2">
      <c r="A17" s="52" t="s">
        <v>135</v>
      </c>
      <c r="B17" s="53">
        <v>45721</v>
      </c>
      <c r="C17" s="54"/>
      <c r="D17" s="54"/>
      <c r="E17" s="54"/>
      <c r="F17" s="54"/>
      <c r="G17" s="54"/>
      <c r="H17" s="54"/>
      <c r="I17" s="54"/>
      <c r="J17" s="55"/>
      <c r="K17" s="56"/>
      <c r="L17" s="52" t="s">
        <v>136</v>
      </c>
      <c r="M17" s="53">
        <v>45721</v>
      </c>
      <c r="N17" s="54"/>
      <c r="O17" s="54"/>
      <c r="P17" s="54"/>
      <c r="Q17" s="54"/>
      <c r="R17" s="54"/>
      <c r="S17" s="54"/>
      <c r="T17" s="54"/>
      <c r="U17" s="54"/>
      <c r="V17" s="54"/>
      <c r="W17" s="55" t="s">
        <v>141</v>
      </c>
      <c r="X17" s="57" t="s">
        <v>192</v>
      </c>
      <c r="Y17" s="58" t="s">
        <v>142</v>
      </c>
      <c r="Z17" s="59" t="s">
        <v>193</v>
      </c>
      <c r="AA17" s="60" t="s">
        <v>194</v>
      </c>
      <c r="AB17" s="57" t="s">
        <v>165</v>
      </c>
      <c r="AC17" s="55" t="s">
        <v>195</v>
      </c>
      <c r="AD17" s="55" t="s">
        <v>196</v>
      </c>
      <c r="AE17" s="57" t="s">
        <v>197</v>
      </c>
      <c r="AF17" s="55" t="s">
        <v>198</v>
      </c>
      <c r="AG17" s="61"/>
      <c r="AH17" s="77"/>
      <c r="AI17" s="61"/>
    </row>
    <row r="18" spans="1:35" ht="12.75" x14ac:dyDescent="0.2">
      <c r="A18" s="55" t="s">
        <v>199</v>
      </c>
      <c r="B18" s="62">
        <v>0.05</v>
      </c>
      <c r="C18" s="62">
        <v>0.1</v>
      </c>
      <c r="D18" s="62">
        <v>0.2</v>
      </c>
      <c r="E18" s="62">
        <v>0.5</v>
      </c>
      <c r="F18" s="62">
        <v>1</v>
      </c>
      <c r="G18" s="62">
        <v>2</v>
      </c>
      <c r="H18" s="62">
        <v>5</v>
      </c>
      <c r="I18" s="62">
        <v>10</v>
      </c>
      <c r="K18" s="56"/>
      <c r="L18" s="55" t="s">
        <v>199</v>
      </c>
      <c r="M18" s="62">
        <v>0.05</v>
      </c>
      <c r="N18" s="62">
        <v>0.1</v>
      </c>
      <c r="O18" s="62">
        <v>0.2</v>
      </c>
      <c r="P18" s="62">
        <v>0.5</v>
      </c>
      <c r="Q18" s="62">
        <v>1</v>
      </c>
      <c r="R18" s="62">
        <v>2</v>
      </c>
      <c r="S18" s="62">
        <v>5</v>
      </c>
      <c r="T18" s="62">
        <v>10</v>
      </c>
      <c r="U18" s="62">
        <v>20</v>
      </c>
      <c r="V18" s="62">
        <v>50</v>
      </c>
      <c r="W18" s="54"/>
      <c r="X18" s="54"/>
      <c r="Z18" s="63"/>
      <c r="AA18" s="64"/>
      <c r="AB18" s="54"/>
      <c r="AC18" s="54"/>
      <c r="AD18" s="54"/>
      <c r="AE18" s="54"/>
      <c r="AF18" s="54"/>
      <c r="AH18" s="41"/>
    </row>
    <row r="19" spans="1:35" ht="12.75" x14ac:dyDescent="0.2">
      <c r="A19" s="55" t="s">
        <v>200</v>
      </c>
      <c r="B19" s="38">
        <v>94</v>
      </c>
      <c r="C19" s="38">
        <v>33</v>
      </c>
      <c r="D19" s="65">
        <v>8</v>
      </c>
      <c r="E19" s="65">
        <v>15</v>
      </c>
      <c r="F19" s="65">
        <v>5</v>
      </c>
      <c r="G19" s="65">
        <v>5</v>
      </c>
      <c r="H19" s="65">
        <v>2</v>
      </c>
      <c r="I19" s="65"/>
      <c r="J19" s="54"/>
      <c r="K19" s="56"/>
      <c r="L19" s="55" t="s">
        <v>200</v>
      </c>
      <c r="M19" s="38">
        <v>94</v>
      </c>
      <c r="N19" s="38">
        <v>30</v>
      </c>
      <c r="O19" s="65">
        <v>8</v>
      </c>
      <c r="P19" s="65">
        <v>8</v>
      </c>
      <c r="Q19" s="65">
        <v>8</v>
      </c>
      <c r="R19" s="65">
        <v>5</v>
      </c>
      <c r="S19" s="65">
        <v>8</v>
      </c>
      <c r="T19" s="65">
        <v>1</v>
      </c>
      <c r="U19" s="65">
        <v>8</v>
      </c>
      <c r="V19" s="65">
        <v>1</v>
      </c>
      <c r="W19" s="65"/>
      <c r="X19" s="54"/>
      <c r="Z19" s="63"/>
      <c r="AA19" s="64"/>
      <c r="AB19" s="54"/>
      <c r="AC19" s="54"/>
      <c r="AD19" s="54"/>
      <c r="AE19" s="54"/>
      <c r="AF19" s="54"/>
      <c r="AH19" s="41"/>
    </row>
    <row r="20" spans="1:35" ht="12.75" x14ac:dyDescent="0.2">
      <c r="A20" s="55" t="s">
        <v>141</v>
      </c>
      <c r="B20" s="70">
        <f t="shared" ref="B20:I20" si="6">B19*B18</f>
        <v>4.7</v>
      </c>
      <c r="C20" s="70">
        <f t="shared" si="6"/>
        <v>3.3000000000000003</v>
      </c>
      <c r="D20" s="70">
        <f t="shared" si="6"/>
        <v>1.6</v>
      </c>
      <c r="E20" s="70">
        <f t="shared" si="6"/>
        <v>7.5</v>
      </c>
      <c r="F20" s="70">
        <f t="shared" si="6"/>
        <v>5</v>
      </c>
      <c r="G20" s="70">
        <f t="shared" si="6"/>
        <v>10</v>
      </c>
      <c r="H20" s="65">
        <f t="shared" si="6"/>
        <v>10</v>
      </c>
      <c r="I20" s="65">
        <f t="shared" si="6"/>
        <v>0</v>
      </c>
      <c r="J20" s="54">
        <f>SUM(B20:I20)</f>
        <v>42.1</v>
      </c>
      <c r="K20" s="56"/>
      <c r="L20" s="55" t="s">
        <v>141</v>
      </c>
      <c r="M20" s="70">
        <f t="shared" ref="M20:V20" si="7">M19*M18</f>
        <v>4.7</v>
      </c>
      <c r="N20" s="70">
        <f t="shared" si="7"/>
        <v>3</v>
      </c>
      <c r="O20" s="70">
        <f t="shared" si="7"/>
        <v>1.6</v>
      </c>
      <c r="P20" s="70">
        <f t="shared" si="7"/>
        <v>4</v>
      </c>
      <c r="Q20" s="70">
        <f t="shared" si="7"/>
        <v>8</v>
      </c>
      <c r="R20" s="70">
        <f t="shared" si="7"/>
        <v>10</v>
      </c>
      <c r="S20" s="70">
        <f t="shared" si="7"/>
        <v>40</v>
      </c>
      <c r="T20" s="70">
        <f t="shared" si="7"/>
        <v>10</v>
      </c>
      <c r="U20" s="70">
        <f t="shared" si="7"/>
        <v>160</v>
      </c>
      <c r="V20" s="70">
        <f t="shared" si="7"/>
        <v>50</v>
      </c>
      <c r="W20" s="54">
        <f>SUM(M20:V20)</f>
        <v>291.3</v>
      </c>
      <c r="X20" s="55">
        <f>W20-J20</f>
        <v>249.20000000000002</v>
      </c>
      <c r="Y20" s="63">
        <v>129.6</v>
      </c>
      <c r="Z20" s="63">
        <v>75</v>
      </c>
      <c r="AA20" s="66">
        <f>X20+Z20</f>
        <v>324.20000000000005</v>
      </c>
      <c r="AB20" s="55">
        <v>80</v>
      </c>
      <c r="AC20" s="55">
        <f>Y20-AB20</f>
        <v>49.599999999999994</v>
      </c>
      <c r="AD20" s="55">
        <f>X20-Y20</f>
        <v>119.60000000000002</v>
      </c>
      <c r="AE20" s="55"/>
      <c r="AF20" s="55">
        <f>AD20-AE20</f>
        <v>119.60000000000002</v>
      </c>
      <c r="AG20" s="61"/>
      <c r="AH20" s="77">
        <f>(SUM(Y20:Z20)/(1+10/100))*(10/100)</f>
        <v>18.599999999999998</v>
      </c>
      <c r="AI20" s="61"/>
    </row>
    <row r="21" spans="1:35" ht="12.75" x14ac:dyDescent="0.2">
      <c r="AB21" s="38" t="s">
        <v>254</v>
      </c>
      <c r="AC21" s="38">
        <v>-49.6</v>
      </c>
    </row>
    <row r="23" spans="1:35" ht="51" x14ac:dyDescent="0.2">
      <c r="A23" s="52" t="s">
        <v>135</v>
      </c>
      <c r="B23" s="53">
        <v>45722</v>
      </c>
      <c r="C23" s="54"/>
      <c r="D23" s="54"/>
      <c r="E23" s="54"/>
      <c r="F23" s="54"/>
      <c r="G23" s="54"/>
      <c r="H23" s="54"/>
      <c r="I23" s="54"/>
      <c r="J23" s="55"/>
      <c r="K23" s="56"/>
      <c r="L23" s="52" t="s">
        <v>136</v>
      </c>
      <c r="M23" s="53">
        <v>45722</v>
      </c>
      <c r="N23" s="54"/>
      <c r="O23" s="54"/>
      <c r="P23" s="54"/>
      <c r="Q23" s="54"/>
      <c r="R23" s="54"/>
      <c r="S23" s="54"/>
      <c r="T23" s="54"/>
      <c r="U23" s="54"/>
      <c r="V23" s="54"/>
      <c r="W23" s="55" t="s">
        <v>141</v>
      </c>
      <c r="X23" s="57" t="s">
        <v>192</v>
      </c>
      <c r="Y23" s="58" t="s">
        <v>142</v>
      </c>
      <c r="Z23" s="59" t="s">
        <v>193</v>
      </c>
      <c r="AA23" s="60" t="s">
        <v>194</v>
      </c>
      <c r="AB23" s="57" t="s">
        <v>165</v>
      </c>
      <c r="AC23" s="55" t="s">
        <v>195</v>
      </c>
      <c r="AD23" s="55" t="s">
        <v>196</v>
      </c>
      <c r="AE23" s="57" t="s">
        <v>197</v>
      </c>
      <c r="AF23" s="55" t="s">
        <v>198</v>
      </c>
      <c r="AG23" s="61"/>
      <c r="AH23" s="77"/>
      <c r="AI23" s="61"/>
    </row>
    <row r="24" spans="1:35" ht="12.75" x14ac:dyDescent="0.2">
      <c r="A24" s="55" t="s">
        <v>199</v>
      </c>
      <c r="B24" s="62">
        <v>0.05</v>
      </c>
      <c r="C24" s="62">
        <v>0.1</v>
      </c>
      <c r="D24" s="62">
        <v>0.2</v>
      </c>
      <c r="E24" s="62">
        <v>0.5</v>
      </c>
      <c r="F24" s="62">
        <v>1</v>
      </c>
      <c r="G24" s="62">
        <v>2</v>
      </c>
      <c r="H24" s="62">
        <v>5</v>
      </c>
      <c r="I24" s="62">
        <v>10</v>
      </c>
      <c r="K24" s="56"/>
      <c r="L24" s="55" t="s">
        <v>199</v>
      </c>
      <c r="M24" s="62">
        <v>0.05</v>
      </c>
      <c r="N24" s="62">
        <v>0.1</v>
      </c>
      <c r="O24" s="62">
        <v>0.2</v>
      </c>
      <c r="P24" s="62">
        <v>0.5</v>
      </c>
      <c r="Q24" s="62">
        <v>1</v>
      </c>
      <c r="R24" s="62">
        <v>2</v>
      </c>
      <c r="S24" s="62">
        <v>5</v>
      </c>
      <c r="T24" s="62">
        <v>10</v>
      </c>
      <c r="U24" s="62">
        <v>20</v>
      </c>
      <c r="V24" s="62">
        <v>50</v>
      </c>
      <c r="W24" s="54"/>
      <c r="X24" s="54"/>
      <c r="Z24" s="63"/>
      <c r="AA24" s="64"/>
      <c r="AB24" s="54"/>
      <c r="AC24" s="54"/>
      <c r="AD24" s="54"/>
      <c r="AE24" s="54"/>
      <c r="AF24" s="54"/>
      <c r="AH24" s="41"/>
    </row>
    <row r="25" spans="1:35" ht="12.75" x14ac:dyDescent="0.2">
      <c r="A25" s="55" t="s">
        <v>200</v>
      </c>
      <c r="B25" s="38">
        <v>94</v>
      </c>
      <c r="C25" s="38">
        <v>30</v>
      </c>
      <c r="D25" s="65">
        <v>8</v>
      </c>
      <c r="E25" s="65">
        <v>8</v>
      </c>
      <c r="F25" s="65">
        <v>8</v>
      </c>
      <c r="G25" s="65">
        <v>5</v>
      </c>
      <c r="H25" s="65">
        <v>2</v>
      </c>
      <c r="I25" s="65"/>
      <c r="J25" s="54"/>
      <c r="K25" s="56"/>
      <c r="L25" s="55" t="s">
        <v>200</v>
      </c>
      <c r="M25" s="38">
        <v>93</v>
      </c>
      <c r="N25" s="38">
        <v>37</v>
      </c>
      <c r="O25" s="65">
        <v>26</v>
      </c>
      <c r="P25" s="65">
        <v>4</v>
      </c>
      <c r="Q25" s="65">
        <v>12</v>
      </c>
      <c r="R25" s="65">
        <v>4</v>
      </c>
      <c r="S25" s="65">
        <v>6</v>
      </c>
      <c r="T25" s="65">
        <v>2</v>
      </c>
      <c r="U25" s="65">
        <v>4</v>
      </c>
      <c r="V25" s="65">
        <v>2</v>
      </c>
      <c r="W25" s="65"/>
      <c r="X25" s="54"/>
      <c r="Z25" s="63"/>
      <c r="AA25" s="64"/>
      <c r="AB25" s="54"/>
      <c r="AC25" s="54"/>
      <c r="AD25" s="54"/>
      <c r="AE25" s="54"/>
      <c r="AF25" s="54"/>
      <c r="AH25" s="41"/>
    </row>
    <row r="26" spans="1:35" ht="12.75" x14ac:dyDescent="0.2">
      <c r="A26" s="55" t="s">
        <v>141</v>
      </c>
      <c r="B26" s="70">
        <f t="shared" ref="B26:I26" si="8">B25*B24</f>
        <v>4.7</v>
      </c>
      <c r="C26" s="70">
        <f t="shared" si="8"/>
        <v>3</v>
      </c>
      <c r="D26" s="70">
        <f t="shared" si="8"/>
        <v>1.6</v>
      </c>
      <c r="E26" s="70">
        <f t="shared" si="8"/>
        <v>4</v>
      </c>
      <c r="F26" s="70">
        <f t="shared" si="8"/>
        <v>8</v>
      </c>
      <c r="G26" s="70">
        <f t="shared" si="8"/>
        <v>10</v>
      </c>
      <c r="H26" s="65">
        <f t="shared" si="8"/>
        <v>10</v>
      </c>
      <c r="I26" s="65">
        <f t="shared" si="8"/>
        <v>0</v>
      </c>
      <c r="J26" s="54">
        <f>SUM(B26:I26)</f>
        <v>41.3</v>
      </c>
      <c r="K26" s="56"/>
      <c r="L26" s="55" t="s">
        <v>141</v>
      </c>
      <c r="M26" s="70">
        <f t="shared" ref="M26:V26" si="9">M25*M24</f>
        <v>4.6500000000000004</v>
      </c>
      <c r="N26" s="70">
        <f t="shared" si="9"/>
        <v>3.7</v>
      </c>
      <c r="O26" s="70">
        <f t="shared" si="9"/>
        <v>5.2</v>
      </c>
      <c r="P26" s="70">
        <f t="shared" si="9"/>
        <v>2</v>
      </c>
      <c r="Q26" s="70">
        <f t="shared" si="9"/>
        <v>12</v>
      </c>
      <c r="R26" s="70">
        <f t="shared" si="9"/>
        <v>8</v>
      </c>
      <c r="S26" s="70">
        <f t="shared" si="9"/>
        <v>30</v>
      </c>
      <c r="T26" s="70">
        <f t="shared" si="9"/>
        <v>20</v>
      </c>
      <c r="U26" s="70">
        <f t="shared" si="9"/>
        <v>80</v>
      </c>
      <c r="V26" s="70">
        <f t="shared" si="9"/>
        <v>100</v>
      </c>
      <c r="W26" s="54">
        <f>SUM(M26:V26)</f>
        <v>265.55</v>
      </c>
      <c r="X26" s="55">
        <f>W26-J26</f>
        <v>224.25</v>
      </c>
      <c r="Y26" s="63">
        <v>70.599999999999994</v>
      </c>
      <c r="Z26" s="63">
        <v>33</v>
      </c>
      <c r="AA26" s="66">
        <f>X26+Z26</f>
        <v>257.25</v>
      </c>
      <c r="AB26" s="55">
        <v>50</v>
      </c>
      <c r="AC26" s="55">
        <f>Y26-AB26</f>
        <v>20.599999999999994</v>
      </c>
      <c r="AD26" s="55">
        <f>X26-Y26</f>
        <v>153.65</v>
      </c>
      <c r="AE26" s="55">
        <v>53.65</v>
      </c>
      <c r="AF26" s="55">
        <f>AD26-AE26</f>
        <v>100</v>
      </c>
      <c r="AG26" s="61"/>
      <c r="AH26" s="77">
        <f>(SUM(Y26:Z26)/(1+10/100))*(10/100)</f>
        <v>9.418181818181818</v>
      </c>
      <c r="AI26" s="61"/>
    </row>
    <row r="29" spans="1:35" ht="51" x14ac:dyDescent="0.2">
      <c r="A29" s="52" t="s">
        <v>135</v>
      </c>
      <c r="B29" s="53">
        <v>45723</v>
      </c>
      <c r="C29" s="54"/>
      <c r="D29" s="54"/>
      <c r="E29" s="54"/>
      <c r="F29" s="54"/>
      <c r="G29" s="54"/>
      <c r="H29" s="54"/>
      <c r="I29" s="54"/>
      <c r="J29" s="55"/>
      <c r="K29" s="56"/>
      <c r="L29" s="52" t="s">
        <v>136</v>
      </c>
      <c r="M29" s="53">
        <v>45723</v>
      </c>
      <c r="N29" s="54"/>
      <c r="O29" s="54"/>
      <c r="P29" s="54"/>
      <c r="Q29" s="54"/>
      <c r="R29" s="54"/>
      <c r="S29" s="54"/>
      <c r="T29" s="54"/>
      <c r="U29" s="54"/>
      <c r="V29" s="54"/>
      <c r="W29" s="55" t="s">
        <v>141</v>
      </c>
      <c r="X29" s="57" t="s">
        <v>192</v>
      </c>
      <c r="Y29" s="58" t="s">
        <v>142</v>
      </c>
      <c r="Z29" s="59" t="s">
        <v>193</v>
      </c>
      <c r="AA29" s="60" t="s">
        <v>194</v>
      </c>
      <c r="AB29" s="57" t="s">
        <v>165</v>
      </c>
      <c r="AC29" s="55" t="s">
        <v>195</v>
      </c>
      <c r="AD29" s="55" t="s">
        <v>196</v>
      </c>
      <c r="AE29" s="57" t="s">
        <v>197</v>
      </c>
      <c r="AF29" s="55" t="s">
        <v>198</v>
      </c>
      <c r="AG29" s="61"/>
      <c r="AH29" s="77"/>
      <c r="AI29" s="61"/>
    </row>
    <row r="30" spans="1:35" ht="12.75" x14ac:dyDescent="0.2">
      <c r="A30" s="55" t="s">
        <v>199</v>
      </c>
      <c r="B30" s="62">
        <v>0.05</v>
      </c>
      <c r="C30" s="62">
        <v>0.1</v>
      </c>
      <c r="D30" s="62">
        <v>0.2</v>
      </c>
      <c r="E30" s="62">
        <v>0.5</v>
      </c>
      <c r="F30" s="62">
        <v>1</v>
      </c>
      <c r="G30" s="62">
        <v>2</v>
      </c>
      <c r="H30" s="62">
        <v>5</v>
      </c>
      <c r="I30" s="62">
        <v>10</v>
      </c>
      <c r="K30" s="56"/>
      <c r="L30" s="55" t="s">
        <v>199</v>
      </c>
      <c r="M30" s="62">
        <v>0.05</v>
      </c>
      <c r="N30" s="62">
        <v>0.1</v>
      </c>
      <c r="O30" s="62">
        <v>0.2</v>
      </c>
      <c r="P30" s="62">
        <v>0.5</v>
      </c>
      <c r="Q30" s="62">
        <v>1</v>
      </c>
      <c r="R30" s="62">
        <v>2</v>
      </c>
      <c r="S30" s="62">
        <v>5</v>
      </c>
      <c r="T30" s="62">
        <v>10</v>
      </c>
      <c r="U30" s="62">
        <v>20</v>
      </c>
      <c r="V30" s="62">
        <v>50</v>
      </c>
      <c r="W30" s="54"/>
      <c r="X30" s="54"/>
      <c r="Z30" s="63"/>
      <c r="AA30" s="64"/>
      <c r="AB30" s="54"/>
      <c r="AC30" s="54"/>
      <c r="AD30" s="54"/>
      <c r="AE30" s="54"/>
      <c r="AF30" s="54"/>
      <c r="AH30" s="41"/>
    </row>
    <row r="31" spans="1:35" ht="12.75" x14ac:dyDescent="0.2">
      <c r="A31" s="55" t="s">
        <v>200</v>
      </c>
      <c r="B31" s="38">
        <v>93</v>
      </c>
      <c r="C31" s="38">
        <v>37</v>
      </c>
      <c r="D31" s="65">
        <v>26</v>
      </c>
      <c r="E31" s="65">
        <v>4</v>
      </c>
      <c r="F31" s="65">
        <v>12</v>
      </c>
      <c r="G31" s="65">
        <v>4</v>
      </c>
      <c r="H31" s="65">
        <v>2</v>
      </c>
      <c r="I31" s="65"/>
      <c r="J31" s="54"/>
      <c r="K31" s="56"/>
      <c r="L31" s="55" t="s">
        <v>200</v>
      </c>
      <c r="M31" s="38">
        <v>91</v>
      </c>
      <c r="N31" s="38">
        <v>37</v>
      </c>
      <c r="O31" s="79">
        <v>21</v>
      </c>
      <c r="P31" s="65">
        <v>5</v>
      </c>
      <c r="Q31" s="65">
        <v>9</v>
      </c>
      <c r="R31" s="65">
        <v>7</v>
      </c>
      <c r="S31" s="65">
        <v>15</v>
      </c>
      <c r="T31" s="65">
        <v>9</v>
      </c>
      <c r="U31" s="65">
        <v>6</v>
      </c>
      <c r="V31" s="65">
        <v>1</v>
      </c>
      <c r="W31" s="65"/>
      <c r="X31" s="54"/>
      <c r="Z31" s="63"/>
      <c r="AA31" s="64"/>
      <c r="AB31" s="54"/>
      <c r="AC31" s="54"/>
      <c r="AD31" s="54"/>
      <c r="AE31" s="54"/>
      <c r="AF31" s="54"/>
      <c r="AH31" s="41"/>
    </row>
    <row r="32" spans="1:35" ht="12.75" x14ac:dyDescent="0.2">
      <c r="A32" s="55" t="s">
        <v>141</v>
      </c>
      <c r="B32" s="70">
        <f t="shared" ref="B32:I32" si="10">B31*B30</f>
        <v>4.6500000000000004</v>
      </c>
      <c r="C32" s="70">
        <f t="shared" si="10"/>
        <v>3.7</v>
      </c>
      <c r="D32" s="70">
        <f t="shared" si="10"/>
        <v>5.2</v>
      </c>
      <c r="E32" s="70">
        <f t="shared" si="10"/>
        <v>2</v>
      </c>
      <c r="F32" s="70">
        <f t="shared" si="10"/>
        <v>12</v>
      </c>
      <c r="G32" s="70">
        <f t="shared" si="10"/>
        <v>8</v>
      </c>
      <c r="H32" s="65">
        <f t="shared" si="10"/>
        <v>10</v>
      </c>
      <c r="I32" s="65">
        <f t="shared" si="10"/>
        <v>0</v>
      </c>
      <c r="J32" s="54">
        <f>SUM(B32:I32)</f>
        <v>45.55</v>
      </c>
      <c r="K32" s="56"/>
      <c r="L32" s="55" t="s">
        <v>141</v>
      </c>
      <c r="M32" s="70">
        <f t="shared" ref="M32:V32" si="11">M31*M30</f>
        <v>4.55</v>
      </c>
      <c r="N32" s="70">
        <f t="shared" si="11"/>
        <v>3.7</v>
      </c>
      <c r="O32" s="70">
        <f t="shared" si="11"/>
        <v>4.2</v>
      </c>
      <c r="P32" s="70">
        <f t="shared" si="11"/>
        <v>2.5</v>
      </c>
      <c r="Q32" s="70">
        <f t="shared" si="11"/>
        <v>9</v>
      </c>
      <c r="R32" s="70">
        <f t="shared" si="11"/>
        <v>14</v>
      </c>
      <c r="S32" s="70">
        <f t="shared" si="11"/>
        <v>75</v>
      </c>
      <c r="T32" s="70">
        <f t="shared" si="11"/>
        <v>90</v>
      </c>
      <c r="U32" s="70">
        <f t="shared" si="11"/>
        <v>120</v>
      </c>
      <c r="V32" s="70">
        <f t="shared" si="11"/>
        <v>50</v>
      </c>
      <c r="W32" s="54">
        <f>SUM(M32:V32)</f>
        <v>372.95</v>
      </c>
      <c r="X32" s="55">
        <f>W32-J32</f>
        <v>327.39999999999998</v>
      </c>
      <c r="Y32" s="63">
        <v>221.85</v>
      </c>
      <c r="Z32" s="63">
        <f>34.4+15.6</f>
        <v>50</v>
      </c>
      <c r="AA32" s="66">
        <f>X32+Z32</f>
        <v>377.4</v>
      </c>
      <c r="AB32" s="55">
        <v>100</v>
      </c>
      <c r="AC32" s="55">
        <f>Y32-AB32</f>
        <v>121.85</v>
      </c>
      <c r="AD32" s="55">
        <f>X32-Y32</f>
        <v>105.54999999999998</v>
      </c>
      <c r="AE32" s="55"/>
      <c r="AF32" s="55">
        <f>AD32-AE32</f>
        <v>105.54999999999998</v>
      </c>
      <c r="AG32" s="61"/>
      <c r="AH32" s="77">
        <f>(SUM(Y32:Z32)/(1+10/100))*(10/100)</f>
        <v>24.713636363636365</v>
      </c>
      <c r="AI32" s="61"/>
    </row>
    <row r="35" spans="1:35" ht="51" x14ac:dyDescent="0.2">
      <c r="A35" s="52" t="s">
        <v>135</v>
      </c>
      <c r="B35" s="53">
        <v>45724</v>
      </c>
      <c r="C35" s="54"/>
      <c r="D35" s="54"/>
      <c r="E35" s="54"/>
      <c r="F35" s="54"/>
      <c r="G35" s="54"/>
      <c r="H35" s="54"/>
      <c r="I35" s="54"/>
      <c r="J35" s="55"/>
      <c r="K35" s="56"/>
      <c r="L35" s="52" t="s">
        <v>136</v>
      </c>
      <c r="M35" s="53">
        <v>45724</v>
      </c>
      <c r="N35" s="54"/>
      <c r="O35" s="54"/>
      <c r="P35" s="54"/>
      <c r="Q35" s="54"/>
      <c r="R35" s="54"/>
      <c r="S35" s="54"/>
      <c r="T35" s="54"/>
      <c r="U35" s="54"/>
      <c r="V35" s="54"/>
      <c r="W35" s="55" t="s">
        <v>141</v>
      </c>
      <c r="X35" s="57" t="s">
        <v>192</v>
      </c>
      <c r="Y35" s="58" t="s">
        <v>142</v>
      </c>
      <c r="Z35" s="59" t="s">
        <v>193</v>
      </c>
      <c r="AA35" s="60" t="s">
        <v>194</v>
      </c>
      <c r="AB35" s="57" t="s">
        <v>165</v>
      </c>
      <c r="AC35" s="55" t="s">
        <v>195</v>
      </c>
      <c r="AD35" s="55" t="s">
        <v>196</v>
      </c>
      <c r="AE35" s="57" t="s">
        <v>197</v>
      </c>
      <c r="AF35" s="55" t="s">
        <v>198</v>
      </c>
      <c r="AG35" s="61"/>
      <c r="AH35" s="77"/>
      <c r="AI35" s="61"/>
    </row>
    <row r="36" spans="1:35" ht="12.75" x14ac:dyDescent="0.2">
      <c r="A36" s="55" t="s">
        <v>199</v>
      </c>
      <c r="B36" s="62">
        <v>0.05</v>
      </c>
      <c r="C36" s="62">
        <v>0.1</v>
      </c>
      <c r="D36" s="62">
        <v>0.2</v>
      </c>
      <c r="E36" s="62">
        <v>0.5</v>
      </c>
      <c r="F36" s="62">
        <v>1</v>
      </c>
      <c r="G36" s="62">
        <v>2</v>
      </c>
      <c r="H36" s="62">
        <v>5</v>
      </c>
      <c r="I36" s="62">
        <v>10</v>
      </c>
      <c r="K36" s="56"/>
      <c r="L36" s="55" t="s">
        <v>199</v>
      </c>
      <c r="M36" s="62">
        <v>0.05</v>
      </c>
      <c r="N36" s="62">
        <v>0.1</v>
      </c>
      <c r="O36" s="62">
        <v>0.2</v>
      </c>
      <c r="P36" s="62">
        <v>0.5</v>
      </c>
      <c r="Q36" s="62">
        <v>1</v>
      </c>
      <c r="R36" s="62">
        <v>2</v>
      </c>
      <c r="S36" s="62">
        <v>5</v>
      </c>
      <c r="T36" s="62">
        <v>10</v>
      </c>
      <c r="U36" s="62">
        <v>20</v>
      </c>
      <c r="V36" s="62">
        <v>50</v>
      </c>
      <c r="W36" s="54"/>
      <c r="X36" s="54"/>
      <c r="Z36" s="63"/>
      <c r="AA36" s="64"/>
      <c r="AB36" s="54"/>
      <c r="AC36" s="54"/>
      <c r="AD36" s="54"/>
      <c r="AE36" s="54"/>
      <c r="AF36" s="54"/>
      <c r="AH36" s="41"/>
    </row>
    <row r="37" spans="1:35" ht="12.75" x14ac:dyDescent="0.2">
      <c r="A37" s="55" t="s">
        <v>200</v>
      </c>
      <c r="B37" s="38">
        <v>91</v>
      </c>
      <c r="C37" s="38">
        <v>37</v>
      </c>
      <c r="D37" s="79">
        <v>21</v>
      </c>
      <c r="E37" s="65">
        <v>5</v>
      </c>
      <c r="F37" s="65">
        <v>9</v>
      </c>
      <c r="G37" s="65">
        <v>7</v>
      </c>
      <c r="H37" s="65">
        <v>2</v>
      </c>
      <c r="I37" s="65"/>
      <c r="J37" s="54"/>
      <c r="K37" s="56"/>
      <c r="L37" s="55" t="s">
        <v>200</v>
      </c>
      <c r="M37" s="38">
        <v>92</v>
      </c>
      <c r="N37" s="38">
        <v>30</v>
      </c>
      <c r="O37" s="65">
        <v>13</v>
      </c>
      <c r="P37" s="65">
        <v>7</v>
      </c>
      <c r="Q37" s="65">
        <v>6</v>
      </c>
      <c r="R37" s="65">
        <v>5</v>
      </c>
      <c r="S37" s="65">
        <v>11</v>
      </c>
      <c r="T37" s="65">
        <v>2</v>
      </c>
      <c r="U37" s="65">
        <v>4</v>
      </c>
      <c r="V37" s="65">
        <v>1</v>
      </c>
      <c r="W37" s="65"/>
      <c r="X37" s="54"/>
      <c r="Z37" s="63"/>
      <c r="AA37" s="64"/>
      <c r="AB37" s="54"/>
      <c r="AC37" s="54"/>
      <c r="AD37" s="54"/>
      <c r="AE37" s="54"/>
      <c r="AF37" s="54"/>
      <c r="AH37" s="41"/>
    </row>
    <row r="38" spans="1:35" ht="12.75" x14ac:dyDescent="0.2">
      <c r="A38" s="55" t="s">
        <v>141</v>
      </c>
      <c r="B38" s="70">
        <f t="shared" ref="B38:I38" si="12">B37*B36</f>
        <v>4.55</v>
      </c>
      <c r="C38" s="70">
        <f t="shared" si="12"/>
        <v>3.7</v>
      </c>
      <c r="D38" s="70">
        <f t="shared" si="12"/>
        <v>4.2</v>
      </c>
      <c r="E38" s="70">
        <f t="shared" si="12"/>
        <v>2.5</v>
      </c>
      <c r="F38" s="70">
        <f t="shared" si="12"/>
        <v>9</v>
      </c>
      <c r="G38" s="70">
        <f t="shared" si="12"/>
        <v>14</v>
      </c>
      <c r="H38" s="65">
        <f t="shared" si="12"/>
        <v>10</v>
      </c>
      <c r="I38" s="65">
        <f t="shared" si="12"/>
        <v>0</v>
      </c>
      <c r="J38" s="54">
        <f>SUM(B38:I38)</f>
        <v>47.95</v>
      </c>
      <c r="K38" s="56"/>
      <c r="L38" s="55" t="s">
        <v>141</v>
      </c>
      <c r="M38" s="70">
        <f t="shared" ref="M38:V38" si="13">M37*M36</f>
        <v>4.6000000000000005</v>
      </c>
      <c r="N38" s="70">
        <f t="shared" si="13"/>
        <v>3</v>
      </c>
      <c r="O38" s="70">
        <f t="shared" si="13"/>
        <v>2.6</v>
      </c>
      <c r="P38" s="70">
        <f t="shared" si="13"/>
        <v>3.5</v>
      </c>
      <c r="Q38" s="70">
        <f t="shared" si="13"/>
        <v>6</v>
      </c>
      <c r="R38" s="70">
        <f t="shared" si="13"/>
        <v>10</v>
      </c>
      <c r="S38" s="70">
        <f t="shared" si="13"/>
        <v>55</v>
      </c>
      <c r="T38" s="70">
        <f t="shared" si="13"/>
        <v>20</v>
      </c>
      <c r="U38" s="70">
        <f t="shared" si="13"/>
        <v>80</v>
      </c>
      <c r="V38" s="70">
        <f t="shared" si="13"/>
        <v>50</v>
      </c>
      <c r="W38" s="54">
        <f>SUM(M38:V38)</f>
        <v>234.7</v>
      </c>
      <c r="X38" s="55">
        <f>W38-J38</f>
        <v>186.75</v>
      </c>
      <c r="Y38" s="63">
        <v>82.4</v>
      </c>
      <c r="Z38" s="63">
        <v>50.5</v>
      </c>
      <c r="AA38" s="66">
        <f>X38+Z38</f>
        <v>237.25</v>
      </c>
      <c r="AB38" s="55">
        <v>50</v>
      </c>
      <c r="AC38" s="55">
        <f>Y38-AB38</f>
        <v>32.400000000000006</v>
      </c>
      <c r="AD38" s="55">
        <f>X38-Y38</f>
        <v>104.35</v>
      </c>
      <c r="AE38" s="55"/>
      <c r="AF38" s="55">
        <f>AD38-AE38</f>
        <v>104.35</v>
      </c>
      <c r="AG38" s="61"/>
      <c r="AH38" s="77">
        <f>(SUM(Y38:Z38)/(1+10/100))*(10/100)</f>
        <v>12.081818181818182</v>
      </c>
      <c r="AI38" s="61"/>
    </row>
    <row r="39" spans="1:35" ht="12.75" x14ac:dyDescent="0.2">
      <c r="AB39" s="38" t="s">
        <v>205</v>
      </c>
    </row>
    <row r="41" spans="1:35" ht="51" x14ac:dyDescent="0.2">
      <c r="A41" s="52" t="s">
        <v>135</v>
      </c>
      <c r="B41" s="53">
        <v>45726</v>
      </c>
      <c r="C41" s="54"/>
      <c r="D41" s="54"/>
      <c r="E41" s="54"/>
      <c r="F41" s="54"/>
      <c r="G41" s="54"/>
      <c r="H41" s="54"/>
      <c r="I41" s="54"/>
      <c r="J41" s="55"/>
      <c r="K41" s="56"/>
      <c r="L41" s="52" t="s">
        <v>136</v>
      </c>
      <c r="M41" s="53">
        <v>45726</v>
      </c>
      <c r="N41" s="54"/>
      <c r="O41" s="54"/>
      <c r="P41" s="54"/>
      <c r="Q41" s="54"/>
      <c r="R41" s="54"/>
      <c r="S41" s="54"/>
      <c r="T41" s="54"/>
      <c r="U41" s="54"/>
      <c r="V41" s="54"/>
      <c r="W41" s="55" t="s">
        <v>141</v>
      </c>
      <c r="X41" s="57" t="s">
        <v>192</v>
      </c>
      <c r="Y41" s="58" t="s">
        <v>142</v>
      </c>
      <c r="Z41" s="59" t="s">
        <v>193</v>
      </c>
      <c r="AA41" s="60" t="s">
        <v>194</v>
      </c>
      <c r="AB41" s="57" t="s">
        <v>165</v>
      </c>
      <c r="AC41" s="55" t="s">
        <v>195</v>
      </c>
      <c r="AD41" s="55" t="s">
        <v>196</v>
      </c>
      <c r="AE41" s="57" t="s">
        <v>197</v>
      </c>
      <c r="AF41" s="55" t="s">
        <v>198</v>
      </c>
      <c r="AG41" s="61"/>
      <c r="AH41" s="77"/>
      <c r="AI41" s="61"/>
    </row>
    <row r="42" spans="1:35" ht="12.75" x14ac:dyDescent="0.2">
      <c r="A42" s="55" t="s">
        <v>199</v>
      </c>
      <c r="B42" s="62">
        <v>0.05</v>
      </c>
      <c r="C42" s="62">
        <v>0.1</v>
      </c>
      <c r="D42" s="62">
        <v>0.2</v>
      </c>
      <c r="E42" s="62">
        <v>0.5</v>
      </c>
      <c r="F42" s="62">
        <v>1</v>
      </c>
      <c r="G42" s="62">
        <v>2</v>
      </c>
      <c r="H42" s="62">
        <v>5</v>
      </c>
      <c r="I42" s="62">
        <v>10</v>
      </c>
      <c r="K42" s="56"/>
      <c r="L42" s="55" t="s">
        <v>199</v>
      </c>
      <c r="M42" s="62">
        <v>0.05</v>
      </c>
      <c r="N42" s="62">
        <v>0.1</v>
      </c>
      <c r="O42" s="62">
        <v>0.2</v>
      </c>
      <c r="P42" s="62">
        <v>0.5</v>
      </c>
      <c r="Q42" s="62">
        <v>1</v>
      </c>
      <c r="R42" s="62">
        <v>2</v>
      </c>
      <c r="S42" s="62">
        <v>5</v>
      </c>
      <c r="T42" s="62">
        <v>10</v>
      </c>
      <c r="U42" s="62">
        <v>20</v>
      </c>
      <c r="V42" s="62">
        <v>50</v>
      </c>
      <c r="W42" s="54"/>
      <c r="X42" s="54"/>
      <c r="Z42" s="63"/>
      <c r="AA42" s="64"/>
      <c r="AB42" s="54"/>
      <c r="AC42" s="54"/>
      <c r="AD42" s="54"/>
      <c r="AE42" s="54"/>
      <c r="AF42" s="54"/>
      <c r="AH42" s="41"/>
    </row>
    <row r="43" spans="1:35" ht="12.75" x14ac:dyDescent="0.2">
      <c r="A43" s="55" t="s">
        <v>200</v>
      </c>
      <c r="B43" s="38">
        <v>92</v>
      </c>
      <c r="C43" s="38">
        <v>30</v>
      </c>
      <c r="D43" s="65">
        <v>13</v>
      </c>
      <c r="E43" s="65">
        <v>7</v>
      </c>
      <c r="F43" s="65">
        <v>6</v>
      </c>
      <c r="G43" s="65">
        <v>5</v>
      </c>
      <c r="H43" s="65">
        <v>2</v>
      </c>
      <c r="I43" s="65"/>
      <c r="J43" s="54"/>
      <c r="K43" s="56"/>
      <c r="L43" s="55" t="s">
        <v>200</v>
      </c>
      <c r="M43" s="38">
        <v>96</v>
      </c>
      <c r="N43" s="38">
        <v>35</v>
      </c>
      <c r="O43" s="65">
        <v>9</v>
      </c>
      <c r="P43" s="65">
        <v>6</v>
      </c>
      <c r="Q43" s="65">
        <v>10</v>
      </c>
      <c r="R43" s="65">
        <v>7</v>
      </c>
      <c r="S43" s="65">
        <v>2</v>
      </c>
      <c r="T43" s="65">
        <v>2</v>
      </c>
      <c r="U43" s="65">
        <v>2</v>
      </c>
      <c r="V43" s="65">
        <v>3</v>
      </c>
      <c r="W43" s="65"/>
      <c r="X43" s="54"/>
      <c r="Z43" s="63"/>
      <c r="AA43" s="64"/>
      <c r="AB43" s="54"/>
      <c r="AC43" s="54"/>
      <c r="AD43" s="54"/>
      <c r="AE43" s="54"/>
      <c r="AF43" s="54"/>
      <c r="AH43" s="41"/>
    </row>
    <row r="44" spans="1:35" ht="12.75" x14ac:dyDescent="0.2">
      <c r="A44" s="55" t="s">
        <v>141</v>
      </c>
      <c r="B44" s="70">
        <f t="shared" ref="B44:I44" si="14">B43*B42</f>
        <v>4.6000000000000005</v>
      </c>
      <c r="C44" s="70">
        <f t="shared" si="14"/>
        <v>3</v>
      </c>
      <c r="D44" s="70">
        <f t="shared" si="14"/>
        <v>2.6</v>
      </c>
      <c r="E44" s="70">
        <f t="shared" si="14"/>
        <v>3.5</v>
      </c>
      <c r="F44" s="70">
        <f t="shared" si="14"/>
        <v>6</v>
      </c>
      <c r="G44" s="70">
        <f t="shared" si="14"/>
        <v>10</v>
      </c>
      <c r="H44" s="65">
        <f t="shared" si="14"/>
        <v>10</v>
      </c>
      <c r="I44" s="65">
        <f t="shared" si="14"/>
        <v>0</v>
      </c>
      <c r="J44" s="54">
        <f>SUM(B44:I44)</f>
        <v>39.700000000000003</v>
      </c>
      <c r="K44" s="56"/>
      <c r="L44" s="55" t="s">
        <v>141</v>
      </c>
      <c r="M44" s="70">
        <f t="shared" ref="M44:V44" si="15">M43*M42</f>
        <v>4.8000000000000007</v>
      </c>
      <c r="N44" s="70">
        <f t="shared" si="15"/>
        <v>3.5</v>
      </c>
      <c r="O44" s="70">
        <f t="shared" si="15"/>
        <v>1.8</v>
      </c>
      <c r="P44" s="70">
        <f t="shared" si="15"/>
        <v>3</v>
      </c>
      <c r="Q44" s="70">
        <f t="shared" si="15"/>
        <v>10</v>
      </c>
      <c r="R44" s="70">
        <f t="shared" si="15"/>
        <v>14</v>
      </c>
      <c r="S44" s="70">
        <f t="shared" si="15"/>
        <v>10</v>
      </c>
      <c r="T44" s="70">
        <f t="shared" si="15"/>
        <v>20</v>
      </c>
      <c r="U44" s="70">
        <f t="shared" si="15"/>
        <v>40</v>
      </c>
      <c r="V44" s="70">
        <f t="shared" si="15"/>
        <v>150</v>
      </c>
      <c r="W44" s="54">
        <f>SUM(M44:V44)</f>
        <v>257.10000000000002</v>
      </c>
      <c r="X44" s="55">
        <f>W44-J44</f>
        <v>217.40000000000003</v>
      </c>
      <c r="Y44" s="63">
        <v>76.7</v>
      </c>
      <c r="Z44" s="63">
        <v>41.5</v>
      </c>
      <c r="AA44" s="66">
        <f>X44+Z44</f>
        <v>258.90000000000003</v>
      </c>
      <c r="AB44" s="55">
        <v>60</v>
      </c>
      <c r="AC44" s="55">
        <f>Y44-AB44</f>
        <v>16.700000000000003</v>
      </c>
      <c r="AD44" s="55">
        <f>X44-Y44</f>
        <v>140.70000000000005</v>
      </c>
      <c r="AE44" s="55">
        <v>20</v>
      </c>
      <c r="AF44" s="55">
        <f>AD44-AE44</f>
        <v>120.70000000000005</v>
      </c>
      <c r="AG44" s="61"/>
      <c r="AH44" s="77">
        <f>(SUM(Y44:Z44)/(1+10/100))*(10/100)</f>
        <v>10.745454545454546</v>
      </c>
      <c r="AI44" s="61"/>
    </row>
    <row r="47" spans="1:35" ht="51" x14ac:dyDescent="0.2">
      <c r="A47" s="52" t="s">
        <v>135</v>
      </c>
      <c r="B47" s="53">
        <v>45727</v>
      </c>
      <c r="C47" s="54"/>
      <c r="D47" s="54"/>
      <c r="E47" s="54"/>
      <c r="F47" s="54"/>
      <c r="G47" s="54"/>
      <c r="H47" s="54"/>
      <c r="I47" s="54"/>
      <c r="J47" s="55"/>
      <c r="K47" s="56"/>
      <c r="L47" s="52" t="s">
        <v>136</v>
      </c>
      <c r="M47" s="53">
        <v>45727</v>
      </c>
      <c r="N47" s="54"/>
      <c r="O47" s="54"/>
      <c r="P47" s="54"/>
      <c r="Q47" s="54"/>
      <c r="R47" s="54"/>
      <c r="S47" s="54"/>
      <c r="T47" s="54"/>
      <c r="U47" s="54"/>
      <c r="V47" s="54"/>
      <c r="W47" s="55" t="s">
        <v>141</v>
      </c>
      <c r="X47" s="57" t="s">
        <v>192</v>
      </c>
      <c r="Y47" s="58" t="s">
        <v>142</v>
      </c>
      <c r="Z47" s="59" t="s">
        <v>193</v>
      </c>
      <c r="AA47" s="60" t="s">
        <v>194</v>
      </c>
      <c r="AB47" s="57" t="s">
        <v>165</v>
      </c>
      <c r="AC47" s="55" t="s">
        <v>195</v>
      </c>
      <c r="AD47" s="55" t="s">
        <v>196</v>
      </c>
      <c r="AE47" s="57" t="s">
        <v>197</v>
      </c>
      <c r="AF47" s="55" t="s">
        <v>198</v>
      </c>
      <c r="AG47" s="61"/>
      <c r="AH47" s="77"/>
      <c r="AI47" s="61"/>
    </row>
    <row r="48" spans="1:35" ht="12.75" x14ac:dyDescent="0.2">
      <c r="A48" s="55" t="s">
        <v>199</v>
      </c>
      <c r="B48" s="62">
        <v>0.05</v>
      </c>
      <c r="C48" s="62">
        <v>0.1</v>
      </c>
      <c r="D48" s="62">
        <v>0.2</v>
      </c>
      <c r="E48" s="62">
        <v>0.5</v>
      </c>
      <c r="F48" s="62">
        <v>1</v>
      </c>
      <c r="G48" s="62">
        <v>2</v>
      </c>
      <c r="H48" s="62">
        <v>5</v>
      </c>
      <c r="I48" s="62">
        <v>10</v>
      </c>
      <c r="K48" s="56"/>
      <c r="L48" s="55" t="s">
        <v>199</v>
      </c>
      <c r="M48" s="62">
        <v>0.05</v>
      </c>
      <c r="N48" s="62">
        <v>0.1</v>
      </c>
      <c r="O48" s="62">
        <v>0.2</v>
      </c>
      <c r="P48" s="62">
        <v>0.5</v>
      </c>
      <c r="Q48" s="62">
        <v>1</v>
      </c>
      <c r="R48" s="62">
        <v>2</v>
      </c>
      <c r="S48" s="62">
        <v>5</v>
      </c>
      <c r="T48" s="62">
        <v>10</v>
      </c>
      <c r="U48" s="62">
        <v>20</v>
      </c>
      <c r="V48" s="62">
        <v>50</v>
      </c>
      <c r="W48" s="54"/>
      <c r="X48" s="54"/>
      <c r="Z48" s="63"/>
      <c r="AA48" s="64"/>
      <c r="AB48" s="54"/>
      <c r="AC48" s="54"/>
      <c r="AD48" s="54"/>
      <c r="AE48" s="54"/>
      <c r="AF48" s="54"/>
      <c r="AH48" s="41"/>
    </row>
    <row r="49" spans="1:35" ht="12.75" x14ac:dyDescent="0.2">
      <c r="A49" s="55" t="s">
        <v>200</v>
      </c>
      <c r="B49" s="80">
        <v>96</v>
      </c>
      <c r="C49" s="81">
        <v>35</v>
      </c>
      <c r="D49" s="81">
        <v>9</v>
      </c>
      <c r="E49" s="81">
        <v>6</v>
      </c>
      <c r="F49" s="81">
        <v>9</v>
      </c>
      <c r="G49" s="81">
        <v>7</v>
      </c>
      <c r="H49" s="81">
        <v>1</v>
      </c>
      <c r="I49" s="65"/>
      <c r="J49" s="54"/>
      <c r="K49" s="56"/>
      <c r="L49" s="55" t="s">
        <v>200</v>
      </c>
      <c r="M49" s="38">
        <v>93</v>
      </c>
      <c r="N49" s="38">
        <v>37</v>
      </c>
      <c r="O49" s="65">
        <v>14</v>
      </c>
      <c r="P49" s="65">
        <v>20</v>
      </c>
      <c r="Q49" s="65">
        <v>18</v>
      </c>
      <c r="R49" s="65">
        <v>10</v>
      </c>
      <c r="S49" s="65">
        <v>12</v>
      </c>
      <c r="T49" s="65">
        <v>11</v>
      </c>
      <c r="U49" s="65">
        <v>5</v>
      </c>
      <c r="V49" s="65"/>
      <c r="W49" s="65"/>
      <c r="X49" s="54"/>
      <c r="Z49" s="63"/>
      <c r="AA49" s="64"/>
      <c r="AB49" s="54"/>
      <c r="AC49" s="54"/>
      <c r="AD49" s="54"/>
      <c r="AE49" s="54"/>
      <c r="AF49" s="54"/>
      <c r="AH49" s="41"/>
    </row>
    <row r="50" spans="1:35" ht="12.75" x14ac:dyDescent="0.2">
      <c r="A50" s="55" t="s">
        <v>141</v>
      </c>
      <c r="B50" s="70">
        <f t="shared" ref="B50:I50" si="16">B49*B48</f>
        <v>4.8000000000000007</v>
      </c>
      <c r="C50" s="70">
        <f t="shared" si="16"/>
        <v>3.5</v>
      </c>
      <c r="D50" s="70">
        <f t="shared" si="16"/>
        <v>1.8</v>
      </c>
      <c r="E50" s="70">
        <f t="shared" si="16"/>
        <v>3</v>
      </c>
      <c r="F50" s="70">
        <f t="shared" si="16"/>
        <v>9</v>
      </c>
      <c r="G50" s="70">
        <f t="shared" si="16"/>
        <v>14</v>
      </c>
      <c r="H50" s="65">
        <f t="shared" si="16"/>
        <v>5</v>
      </c>
      <c r="I50" s="65">
        <f t="shared" si="16"/>
        <v>0</v>
      </c>
      <c r="J50" s="54">
        <f>SUM(B50:I50)</f>
        <v>41.1</v>
      </c>
      <c r="K50" s="56"/>
      <c r="L50" s="55" t="s">
        <v>141</v>
      </c>
      <c r="M50" s="70">
        <f t="shared" ref="M50:V50" si="17">M49*M48</f>
        <v>4.6500000000000004</v>
      </c>
      <c r="N50" s="70">
        <f t="shared" si="17"/>
        <v>3.7</v>
      </c>
      <c r="O50" s="70">
        <f t="shared" si="17"/>
        <v>2.8000000000000003</v>
      </c>
      <c r="P50" s="70">
        <f t="shared" si="17"/>
        <v>10</v>
      </c>
      <c r="Q50" s="70">
        <f t="shared" si="17"/>
        <v>18</v>
      </c>
      <c r="R50" s="70">
        <f t="shared" si="17"/>
        <v>20</v>
      </c>
      <c r="S50" s="70">
        <f t="shared" si="17"/>
        <v>60</v>
      </c>
      <c r="T50" s="70">
        <f t="shared" si="17"/>
        <v>110</v>
      </c>
      <c r="U50" s="70">
        <f t="shared" si="17"/>
        <v>100</v>
      </c>
      <c r="V50" s="70">
        <f t="shared" si="17"/>
        <v>0</v>
      </c>
      <c r="W50" s="54">
        <f>SUM(M50:V50)</f>
        <v>329.15</v>
      </c>
      <c r="X50" s="55">
        <f>W50-J50</f>
        <v>288.04999999999995</v>
      </c>
      <c r="Y50" s="63">
        <v>123.4</v>
      </c>
      <c r="Z50" s="63">
        <v>38.4</v>
      </c>
      <c r="AA50" s="66">
        <f>X50+Z50</f>
        <v>326.44999999999993</v>
      </c>
      <c r="AB50" s="55">
        <v>60</v>
      </c>
      <c r="AC50" s="55">
        <f>Y50-AB50</f>
        <v>63.400000000000006</v>
      </c>
      <c r="AD50" s="55">
        <f>X50-Y50</f>
        <v>164.64999999999995</v>
      </c>
      <c r="AE50" s="55">
        <v>60</v>
      </c>
      <c r="AF50" s="55">
        <f>AD50-AE50</f>
        <v>104.64999999999995</v>
      </c>
      <c r="AG50" s="61" t="s">
        <v>255</v>
      </c>
      <c r="AH50" s="77">
        <f>(SUM(Y50:Z50)/(1+10/100))*(10/100)</f>
        <v>14.709090909090911</v>
      </c>
      <c r="AI50" s="61"/>
    </row>
    <row r="51" spans="1:35" ht="12.75" x14ac:dyDescent="0.2">
      <c r="AC51" s="38"/>
      <c r="AG51" s="38" t="s">
        <v>256</v>
      </c>
    </row>
    <row r="53" spans="1:35" ht="51" x14ac:dyDescent="0.2">
      <c r="A53" s="52" t="s">
        <v>135</v>
      </c>
      <c r="B53" s="53">
        <v>45728</v>
      </c>
      <c r="C53" s="54"/>
      <c r="D53" s="54"/>
      <c r="E53" s="54"/>
      <c r="F53" s="54"/>
      <c r="G53" s="54"/>
      <c r="H53" s="54"/>
      <c r="I53" s="54"/>
      <c r="J53" s="55"/>
      <c r="K53" s="56"/>
      <c r="L53" s="52" t="s">
        <v>136</v>
      </c>
      <c r="M53" s="53">
        <v>45728</v>
      </c>
      <c r="N53" s="54"/>
      <c r="O53" s="54"/>
      <c r="P53" s="54"/>
      <c r="Q53" s="54"/>
      <c r="R53" s="54"/>
      <c r="S53" s="54"/>
      <c r="T53" s="54"/>
      <c r="U53" s="54"/>
      <c r="V53" s="54"/>
      <c r="W53" s="55" t="s">
        <v>141</v>
      </c>
      <c r="X53" s="57" t="s">
        <v>192</v>
      </c>
      <c r="Y53" s="58" t="s">
        <v>142</v>
      </c>
      <c r="Z53" s="59" t="s">
        <v>193</v>
      </c>
      <c r="AA53" s="60" t="s">
        <v>194</v>
      </c>
      <c r="AB53" s="57" t="s">
        <v>165</v>
      </c>
      <c r="AC53" s="55" t="s">
        <v>195</v>
      </c>
      <c r="AD53" s="55" t="s">
        <v>196</v>
      </c>
      <c r="AE53" s="57" t="s">
        <v>197</v>
      </c>
      <c r="AF53" s="55" t="s">
        <v>198</v>
      </c>
      <c r="AG53" s="61"/>
      <c r="AH53" s="77"/>
      <c r="AI53" s="61"/>
    </row>
    <row r="54" spans="1:35" ht="12.75" x14ac:dyDescent="0.2">
      <c r="A54" s="55" t="s">
        <v>199</v>
      </c>
      <c r="B54" s="62">
        <v>0.05</v>
      </c>
      <c r="C54" s="62">
        <v>0.1</v>
      </c>
      <c r="D54" s="62">
        <v>0.2</v>
      </c>
      <c r="E54" s="62">
        <v>0.5</v>
      </c>
      <c r="F54" s="62">
        <v>1</v>
      </c>
      <c r="G54" s="62">
        <v>2</v>
      </c>
      <c r="H54" s="62">
        <v>5</v>
      </c>
      <c r="I54" s="62">
        <v>10</v>
      </c>
      <c r="K54" s="56"/>
      <c r="L54" s="55" t="s">
        <v>199</v>
      </c>
      <c r="M54" s="62">
        <v>0.05</v>
      </c>
      <c r="N54" s="62">
        <v>0.1</v>
      </c>
      <c r="O54" s="62">
        <v>0.2</v>
      </c>
      <c r="P54" s="62">
        <v>0.5</v>
      </c>
      <c r="Q54" s="62">
        <v>1</v>
      </c>
      <c r="R54" s="62">
        <v>2</v>
      </c>
      <c r="S54" s="62">
        <v>5</v>
      </c>
      <c r="T54" s="62">
        <v>10</v>
      </c>
      <c r="U54" s="62">
        <v>20</v>
      </c>
      <c r="V54" s="62">
        <v>50</v>
      </c>
      <c r="W54" s="54"/>
      <c r="X54" s="54"/>
      <c r="Z54" s="63"/>
      <c r="AA54" s="64"/>
      <c r="AB54" s="54"/>
      <c r="AC54" s="54"/>
      <c r="AD54" s="54"/>
      <c r="AE54" s="54"/>
      <c r="AF54" s="54"/>
      <c r="AH54" s="41"/>
    </row>
    <row r="55" spans="1:35" ht="12.75" x14ac:dyDescent="0.2">
      <c r="A55" s="55" t="s">
        <v>200</v>
      </c>
      <c r="B55" s="38">
        <v>93</v>
      </c>
      <c r="C55" s="38">
        <v>37</v>
      </c>
      <c r="D55" s="65">
        <v>14</v>
      </c>
      <c r="E55" s="65">
        <v>10</v>
      </c>
      <c r="F55" s="65">
        <v>10</v>
      </c>
      <c r="G55" s="65">
        <v>5</v>
      </c>
      <c r="H55" s="65">
        <v>2</v>
      </c>
      <c r="I55" s="65"/>
      <c r="J55" s="54"/>
      <c r="K55" s="56"/>
      <c r="L55" s="55" t="s">
        <v>200</v>
      </c>
      <c r="M55" s="38">
        <v>98</v>
      </c>
      <c r="N55" s="38">
        <v>34</v>
      </c>
      <c r="O55" s="65">
        <v>14</v>
      </c>
      <c r="P55" s="65">
        <v>9</v>
      </c>
      <c r="Q55" s="65">
        <v>18</v>
      </c>
      <c r="R55" s="65">
        <v>18</v>
      </c>
      <c r="S55" s="65">
        <v>3</v>
      </c>
      <c r="T55" s="65">
        <v>2</v>
      </c>
      <c r="U55" s="65">
        <v>9</v>
      </c>
      <c r="V55" s="65">
        <v>1</v>
      </c>
      <c r="W55" s="65"/>
      <c r="X55" s="54"/>
      <c r="Z55" s="63"/>
      <c r="AA55" s="64"/>
      <c r="AB55" s="54"/>
      <c r="AC55" s="54"/>
      <c r="AD55" s="54"/>
      <c r="AE55" s="54"/>
      <c r="AF55" s="54"/>
      <c r="AH55" s="41"/>
    </row>
    <row r="56" spans="1:35" ht="12.75" x14ac:dyDescent="0.2">
      <c r="A56" s="55" t="s">
        <v>141</v>
      </c>
      <c r="B56" s="70">
        <f t="shared" ref="B56:I56" si="18">B55*B54</f>
        <v>4.6500000000000004</v>
      </c>
      <c r="C56" s="70">
        <f t="shared" si="18"/>
        <v>3.7</v>
      </c>
      <c r="D56" s="70">
        <f t="shared" si="18"/>
        <v>2.8000000000000003</v>
      </c>
      <c r="E56" s="70">
        <f t="shared" si="18"/>
        <v>5</v>
      </c>
      <c r="F56" s="70">
        <f t="shared" si="18"/>
        <v>10</v>
      </c>
      <c r="G56" s="70">
        <f t="shared" si="18"/>
        <v>10</v>
      </c>
      <c r="H56" s="65">
        <f t="shared" si="18"/>
        <v>10</v>
      </c>
      <c r="I56" s="65">
        <f t="shared" si="18"/>
        <v>0</v>
      </c>
      <c r="J56" s="54">
        <f>SUM(B56:I56)</f>
        <v>46.150000000000006</v>
      </c>
      <c r="K56" s="56"/>
      <c r="L56" s="55" t="s">
        <v>141</v>
      </c>
      <c r="M56" s="70">
        <f t="shared" ref="M56:V56" si="19">M55*M54</f>
        <v>4.9000000000000004</v>
      </c>
      <c r="N56" s="70">
        <f t="shared" si="19"/>
        <v>3.4000000000000004</v>
      </c>
      <c r="O56" s="70">
        <f t="shared" si="19"/>
        <v>2.8000000000000003</v>
      </c>
      <c r="P56" s="70">
        <f t="shared" si="19"/>
        <v>4.5</v>
      </c>
      <c r="Q56" s="70">
        <f t="shared" si="19"/>
        <v>18</v>
      </c>
      <c r="R56" s="70">
        <f t="shared" si="19"/>
        <v>36</v>
      </c>
      <c r="S56" s="70">
        <f t="shared" si="19"/>
        <v>15</v>
      </c>
      <c r="T56" s="70">
        <f t="shared" si="19"/>
        <v>20</v>
      </c>
      <c r="U56" s="70">
        <f t="shared" si="19"/>
        <v>180</v>
      </c>
      <c r="V56" s="70">
        <f t="shared" si="19"/>
        <v>50</v>
      </c>
      <c r="W56" s="54">
        <f>SUM(M56:V56)</f>
        <v>334.6</v>
      </c>
      <c r="X56" s="55">
        <f>W56-J56</f>
        <v>288.45000000000005</v>
      </c>
      <c r="Y56" s="63">
        <v>77.400000000000006</v>
      </c>
      <c r="Z56" s="63">
        <v>56.9</v>
      </c>
      <c r="AA56" s="66">
        <f>X56+Z56</f>
        <v>345.35</v>
      </c>
      <c r="AB56" s="55">
        <v>40</v>
      </c>
      <c r="AC56" s="55">
        <f>Y56-AB56</f>
        <v>37.400000000000006</v>
      </c>
      <c r="AD56" s="55">
        <f>X56-Y56</f>
        <v>211.05000000000004</v>
      </c>
      <c r="AE56" s="55">
        <v>61</v>
      </c>
      <c r="AF56" s="55">
        <f>AD56-AE56</f>
        <v>150.05000000000004</v>
      </c>
      <c r="AG56" s="38" t="s">
        <v>257</v>
      </c>
      <c r="AH56" s="77">
        <f>(SUM(Y56:Z56)/(1+10/100))*(10/100)</f>
        <v>12.209090909090911</v>
      </c>
      <c r="AI56" s="61"/>
    </row>
    <row r="57" spans="1:35" ht="12.75" x14ac:dyDescent="0.2">
      <c r="AB57" s="38" t="s">
        <v>258</v>
      </c>
      <c r="AC57" s="38">
        <v>-20</v>
      </c>
      <c r="AG57" s="38" t="s">
        <v>259</v>
      </c>
    </row>
    <row r="59" spans="1:35" ht="51" x14ac:dyDescent="0.2">
      <c r="A59" s="52" t="s">
        <v>135</v>
      </c>
      <c r="B59" s="53">
        <v>45729</v>
      </c>
      <c r="C59" s="54"/>
      <c r="D59" s="54"/>
      <c r="E59" s="54"/>
      <c r="F59" s="54"/>
      <c r="G59" s="54"/>
      <c r="H59" s="54"/>
      <c r="I59" s="54"/>
      <c r="J59" s="55"/>
      <c r="K59" s="56"/>
      <c r="L59" s="52" t="s">
        <v>136</v>
      </c>
      <c r="M59" s="53">
        <v>45729</v>
      </c>
      <c r="N59" s="54"/>
      <c r="O59" s="54"/>
      <c r="P59" s="54"/>
      <c r="Q59" s="54"/>
      <c r="R59" s="54"/>
      <c r="S59" s="54"/>
      <c r="T59" s="54"/>
      <c r="U59" s="54"/>
      <c r="V59" s="54"/>
      <c r="W59" s="55" t="s">
        <v>141</v>
      </c>
      <c r="X59" s="57" t="s">
        <v>192</v>
      </c>
      <c r="Y59" s="58" t="s">
        <v>142</v>
      </c>
      <c r="Z59" s="59" t="s">
        <v>193</v>
      </c>
      <c r="AA59" s="60" t="s">
        <v>194</v>
      </c>
      <c r="AB59" s="57" t="s">
        <v>165</v>
      </c>
      <c r="AC59" s="55" t="s">
        <v>195</v>
      </c>
      <c r="AD59" s="55" t="s">
        <v>196</v>
      </c>
      <c r="AE59" s="57" t="s">
        <v>197</v>
      </c>
      <c r="AF59" s="55" t="s">
        <v>198</v>
      </c>
      <c r="AG59" s="61"/>
      <c r="AH59" s="77"/>
      <c r="AI59" s="61"/>
    </row>
    <row r="60" spans="1:35" ht="12.75" x14ac:dyDescent="0.2">
      <c r="A60" s="55" t="s">
        <v>199</v>
      </c>
      <c r="B60" s="62">
        <v>0.05</v>
      </c>
      <c r="C60" s="62">
        <v>0.1</v>
      </c>
      <c r="D60" s="62">
        <v>0.2</v>
      </c>
      <c r="E60" s="62">
        <v>0.5</v>
      </c>
      <c r="F60" s="62">
        <v>1</v>
      </c>
      <c r="G60" s="62">
        <v>2</v>
      </c>
      <c r="H60" s="62">
        <v>5</v>
      </c>
      <c r="I60" s="62">
        <v>10</v>
      </c>
      <c r="K60" s="56"/>
      <c r="L60" s="55" t="s">
        <v>199</v>
      </c>
      <c r="M60" s="62">
        <v>0.05</v>
      </c>
      <c r="N60" s="62">
        <v>0.1</v>
      </c>
      <c r="O60" s="62">
        <v>0.2</v>
      </c>
      <c r="P60" s="62">
        <v>0.5</v>
      </c>
      <c r="Q60" s="62">
        <v>1</v>
      </c>
      <c r="R60" s="62">
        <v>2</v>
      </c>
      <c r="S60" s="62">
        <v>5</v>
      </c>
      <c r="T60" s="62">
        <v>10</v>
      </c>
      <c r="U60" s="62">
        <v>20</v>
      </c>
      <c r="V60" s="62">
        <v>50</v>
      </c>
      <c r="W60" s="54"/>
      <c r="X60" s="54"/>
      <c r="Z60" s="63"/>
      <c r="AA60" s="64"/>
      <c r="AB60" s="54"/>
      <c r="AC60" s="54"/>
      <c r="AD60" s="54"/>
      <c r="AE60" s="54"/>
      <c r="AF60" s="54"/>
      <c r="AH60" s="41"/>
    </row>
    <row r="61" spans="1:35" ht="12.75" x14ac:dyDescent="0.2">
      <c r="A61" s="55" t="s">
        <v>200</v>
      </c>
      <c r="B61" s="38">
        <v>98</v>
      </c>
      <c r="C61" s="38">
        <v>34</v>
      </c>
      <c r="D61" s="65">
        <v>14</v>
      </c>
      <c r="E61" s="65">
        <v>9</v>
      </c>
      <c r="F61" s="65">
        <v>10</v>
      </c>
      <c r="G61" s="65">
        <v>5</v>
      </c>
      <c r="H61" s="65">
        <v>2</v>
      </c>
      <c r="I61" s="65"/>
      <c r="J61" s="54"/>
      <c r="K61" s="56"/>
      <c r="L61" s="55" t="s">
        <v>200</v>
      </c>
      <c r="M61" s="38">
        <v>86</v>
      </c>
      <c r="N61" s="38">
        <v>37</v>
      </c>
      <c r="O61" s="65">
        <v>11</v>
      </c>
      <c r="P61" s="65">
        <v>17</v>
      </c>
      <c r="Q61" s="65">
        <v>12</v>
      </c>
      <c r="R61" s="65">
        <v>9</v>
      </c>
      <c r="S61" s="65">
        <v>13</v>
      </c>
      <c r="T61" s="65">
        <v>11</v>
      </c>
      <c r="U61" s="65">
        <v>4</v>
      </c>
      <c r="V61" s="65"/>
      <c r="W61" s="65"/>
      <c r="X61" s="54"/>
      <c r="Z61" s="63"/>
      <c r="AA61" s="64"/>
      <c r="AB61" s="54"/>
      <c r="AC61" s="54"/>
      <c r="AD61" s="54"/>
      <c r="AE61" s="54"/>
      <c r="AF61" s="54"/>
      <c r="AH61" s="41"/>
    </row>
    <row r="62" spans="1:35" ht="12.75" x14ac:dyDescent="0.2">
      <c r="A62" s="55" t="s">
        <v>141</v>
      </c>
      <c r="B62" s="70">
        <f t="shared" ref="B62:I62" si="20">B61*B60</f>
        <v>4.9000000000000004</v>
      </c>
      <c r="C62" s="70">
        <f t="shared" si="20"/>
        <v>3.4000000000000004</v>
      </c>
      <c r="D62" s="70">
        <f t="shared" si="20"/>
        <v>2.8000000000000003</v>
      </c>
      <c r="E62" s="70">
        <f t="shared" si="20"/>
        <v>4.5</v>
      </c>
      <c r="F62" s="70">
        <f t="shared" si="20"/>
        <v>10</v>
      </c>
      <c r="G62" s="70">
        <f t="shared" si="20"/>
        <v>10</v>
      </c>
      <c r="H62" s="65">
        <f t="shared" si="20"/>
        <v>10</v>
      </c>
      <c r="I62" s="65">
        <f t="shared" si="20"/>
        <v>0</v>
      </c>
      <c r="J62" s="54">
        <f>SUM(B62:I62)</f>
        <v>45.6</v>
      </c>
      <c r="K62" s="56"/>
      <c r="L62" s="55" t="s">
        <v>141</v>
      </c>
      <c r="M62" s="70">
        <f t="shared" ref="M62:V62" si="21">M61*M60</f>
        <v>4.3</v>
      </c>
      <c r="N62" s="70">
        <f t="shared" si="21"/>
        <v>3.7</v>
      </c>
      <c r="O62" s="70">
        <f t="shared" si="21"/>
        <v>2.2000000000000002</v>
      </c>
      <c r="P62" s="70">
        <f t="shared" si="21"/>
        <v>8.5</v>
      </c>
      <c r="Q62" s="70">
        <f t="shared" si="21"/>
        <v>12</v>
      </c>
      <c r="R62" s="70">
        <f t="shared" si="21"/>
        <v>18</v>
      </c>
      <c r="S62" s="70">
        <f t="shared" si="21"/>
        <v>65</v>
      </c>
      <c r="T62" s="70">
        <f t="shared" si="21"/>
        <v>110</v>
      </c>
      <c r="U62" s="70">
        <f t="shared" si="21"/>
        <v>80</v>
      </c>
      <c r="V62" s="70">
        <f t="shared" si="21"/>
        <v>0</v>
      </c>
      <c r="W62" s="54">
        <f>SUM(M62:V62)</f>
        <v>303.7</v>
      </c>
      <c r="X62" s="55">
        <f>W62-J62</f>
        <v>258.09999999999997</v>
      </c>
      <c r="Y62" s="63">
        <v>104.1</v>
      </c>
      <c r="Z62" s="63">
        <v>52.6</v>
      </c>
      <c r="AA62" s="66">
        <f>X62+Z62</f>
        <v>310.7</v>
      </c>
      <c r="AB62" s="55">
        <v>50</v>
      </c>
      <c r="AC62" s="55">
        <f>Y62-AB62</f>
        <v>54.099999999999994</v>
      </c>
      <c r="AD62" s="55">
        <f>X62-Y62</f>
        <v>153.99999999999997</v>
      </c>
      <c r="AE62" s="55">
        <v>40</v>
      </c>
      <c r="AF62" s="55">
        <f>AD62-AE62</f>
        <v>113.99999999999997</v>
      </c>
      <c r="AG62" s="61"/>
      <c r="AH62" s="77">
        <f>(SUM(Y62:Z62)/(1+10/100))*(10/100)</f>
        <v>14.245454545454544</v>
      </c>
      <c r="AI62" s="61"/>
    </row>
    <row r="63" spans="1:35" ht="12.75" x14ac:dyDescent="0.2">
      <c r="AC63" s="38">
        <v>-10</v>
      </c>
    </row>
    <row r="65" spans="1:35" ht="51" x14ac:dyDescent="0.2">
      <c r="A65" s="52" t="s">
        <v>135</v>
      </c>
      <c r="B65" s="53">
        <v>45730</v>
      </c>
      <c r="C65" s="54"/>
      <c r="D65" s="54"/>
      <c r="E65" s="54"/>
      <c r="F65" s="54"/>
      <c r="G65" s="54"/>
      <c r="H65" s="54"/>
      <c r="I65" s="54"/>
      <c r="J65" s="55"/>
      <c r="K65" s="56"/>
      <c r="L65" s="52" t="s">
        <v>136</v>
      </c>
      <c r="M65" s="53">
        <v>45730</v>
      </c>
      <c r="N65" s="54"/>
      <c r="O65" s="54"/>
      <c r="P65" s="54"/>
      <c r="Q65" s="54"/>
      <c r="R65" s="54"/>
      <c r="S65" s="54"/>
      <c r="T65" s="54"/>
      <c r="U65" s="54"/>
      <c r="V65" s="54"/>
      <c r="W65" s="55" t="s">
        <v>141</v>
      </c>
      <c r="X65" s="57" t="s">
        <v>192</v>
      </c>
      <c r="Y65" s="58" t="s">
        <v>142</v>
      </c>
      <c r="Z65" s="59" t="s">
        <v>193</v>
      </c>
      <c r="AA65" s="60" t="s">
        <v>194</v>
      </c>
      <c r="AB65" s="57" t="s">
        <v>165</v>
      </c>
      <c r="AC65" s="55" t="s">
        <v>195</v>
      </c>
      <c r="AD65" s="55" t="s">
        <v>196</v>
      </c>
      <c r="AE65" s="57" t="s">
        <v>197</v>
      </c>
      <c r="AF65" s="55" t="s">
        <v>198</v>
      </c>
      <c r="AG65" s="61"/>
      <c r="AH65" s="77"/>
      <c r="AI65" s="61"/>
    </row>
    <row r="66" spans="1:35" ht="12.75" x14ac:dyDescent="0.2">
      <c r="A66" s="55" t="s">
        <v>199</v>
      </c>
      <c r="B66" s="62">
        <v>0.05</v>
      </c>
      <c r="C66" s="62">
        <v>0.1</v>
      </c>
      <c r="D66" s="62">
        <v>0.2</v>
      </c>
      <c r="E66" s="62">
        <v>0.5</v>
      </c>
      <c r="F66" s="62">
        <v>1</v>
      </c>
      <c r="G66" s="62">
        <v>2</v>
      </c>
      <c r="H66" s="62">
        <v>5</v>
      </c>
      <c r="I66" s="62">
        <v>10</v>
      </c>
      <c r="K66" s="56"/>
      <c r="L66" s="55" t="s">
        <v>199</v>
      </c>
      <c r="M66" s="62">
        <v>0.05</v>
      </c>
      <c r="N66" s="62">
        <v>0.1</v>
      </c>
      <c r="O66" s="62">
        <v>0.2</v>
      </c>
      <c r="P66" s="62">
        <v>0.5</v>
      </c>
      <c r="Q66" s="62">
        <v>1</v>
      </c>
      <c r="R66" s="62">
        <v>2</v>
      </c>
      <c r="S66" s="62">
        <v>5</v>
      </c>
      <c r="T66" s="62">
        <v>10</v>
      </c>
      <c r="U66" s="62">
        <v>20</v>
      </c>
      <c r="V66" s="62">
        <v>50</v>
      </c>
      <c r="W66" s="54"/>
      <c r="X66" s="54"/>
      <c r="Z66" s="63"/>
      <c r="AA66" s="64"/>
      <c r="AB66" s="54"/>
      <c r="AC66" s="54"/>
      <c r="AD66" s="54"/>
      <c r="AE66" s="54"/>
      <c r="AF66" s="54"/>
      <c r="AH66" s="41"/>
    </row>
    <row r="67" spans="1:35" ht="12.75" x14ac:dyDescent="0.2">
      <c r="A67" s="55" t="s">
        <v>200</v>
      </c>
      <c r="B67" s="38">
        <v>86</v>
      </c>
      <c r="C67" s="38">
        <v>37</v>
      </c>
      <c r="D67" s="65">
        <v>11</v>
      </c>
      <c r="E67" s="65">
        <v>17</v>
      </c>
      <c r="F67" s="65">
        <v>12</v>
      </c>
      <c r="G67" s="65">
        <v>9</v>
      </c>
      <c r="H67" s="65"/>
      <c r="I67" s="65"/>
      <c r="J67" s="54"/>
      <c r="K67" s="56"/>
      <c r="L67" s="55" t="s">
        <v>200</v>
      </c>
      <c r="M67" s="38">
        <v>82</v>
      </c>
      <c r="N67" s="38">
        <v>46</v>
      </c>
      <c r="O67" s="65">
        <v>14</v>
      </c>
      <c r="P67" s="65">
        <v>13</v>
      </c>
      <c r="Q67" s="65">
        <v>19</v>
      </c>
      <c r="R67" s="65">
        <v>14</v>
      </c>
      <c r="S67" s="65">
        <v>3</v>
      </c>
      <c r="T67" s="65">
        <v>3</v>
      </c>
      <c r="U67" s="65">
        <v>10</v>
      </c>
      <c r="V67" s="65">
        <v>0</v>
      </c>
      <c r="W67" s="65"/>
      <c r="X67" s="54"/>
      <c r="Z67" s="63"/>
      <c r="AA67" s="64"/>
      <c r="AB67" s="54"/>
      <c r="AC67" s="54"/>
      <c r="AD67" s="54"/>
      <c r="AE67" s="54"/>
      <c r="AF67" s="54"/>
      <c r="AH67" s="41"/>
    </row>
    <row r="68" spans="1:35" ht="12.75" x14ac:dyDescent="0.2">
      <c r="A68" s="55" t="s">
        <v>141</v>
      </c>
      <c r="B68" s="70">
        <f t="shared" ref="B68:I68" si="22">B67*B66</f>
        <v>4.3</v>
      </c>
      <c r="C68" s="70">
        <f t="shared" si="22"/>
        <v>3.7</v>
      </c>
      <c r="D68" s="70">
        <f t="shared" si="22"/>
        <v>2.2000000000000002</v>
      </c>
      <c r="E68" s="70">
        <f t="shared" si="22"/>
        <v>8.5</v>
      </c>
      <c r="F68" s="70">
        <f t="shared" si="22"/>
        <v>12</v>
      </c>
      <c r="G68" s="70">
        <f t="shared" si="22"/>
        <v>18</v>
      </c>
      <c r="H68" s="65">
        <f t="shared" si="22"/>
        <v>0</v>
      </c>
      <c r="I68" s="65">
        <f t="shared" si="22"/>
        <v>0</v>
      </c>
      <c r="J68" s="54">
        <f>SUM(B68:I68)</f>
        <v>48.7</v>
      </c>
      <c r="K68" s="56"/>
      <c r="L68" s="55" t="s">
        <v>141</v>
      </c>
      <c r="M68" s="70">
        <f t="shared" ref="M68:V68" si="23">M67*M66</f>
        <v>4.1000000000000005</v>
      </c>
      <c r="N68" s="70">
        <f t="shared" si="23"/>
        <v>4.6000000000000005</v>
      </c>
      <c r="O68" s="70">
        <f t="shared" si="23"/>
        <v>2.8000000000000003</v>
      </c>
      <c r="P68" s="70">
        <f t="shared" si="23"/>
        <v>6.5</v>
      </c>
      <c r="Q68" s="70">
        <f t="shared" si="23"/>
        <v>19</v>
      </c>
      <c r="R68" s="70">
        <f t="shared" si="23"/>
        <v>28</v>
      </c>
      <c r="S68" s="70">
        <f t="shared" si="23"/>
        <v>15</v>
      </c>
      <c r="T68" s="70">
        <f t="shared" si="23"/>
        <v>30</v>
      </c>
      <c r="U68" s="70">
        <f t="shared" si="23"/>
        <v>200</v>
      </c>
      <c r="V68" s="70">
        <f t="shared" si="23"/>
        <v>0</v>
      </c>
      <c r="W68" s="54">
        <f>SUM(M68:V68)</f>
        <v>310</v>
      </c>
      <c r="X68" s="55">
        <f>W68-J68</f>
        <v>261.3</v>
      </c>
      <c r="Y68" s="63">
        <v>162.19999999999999</v>
      </c>
      <c r="Z68" s="63">
        <v>80</v>
      </c>
      <c r="AA68" s="66">
        <f>X68+Z68</f>
        <v>341.3</v>
      </c>
      <c r="AB68" s="55">
        <v>80</v>
      </c>
      <c r="AC68" s="55">
        <f>Y68-AB68</f>
        <v>82.199999999999989</v>
      </c>
      <c r="AD68" s="55">
        <f>X68-Y68</f>
        <v>99.100000000000023</v>
      </c>
      <c r="AE68" s="55"/>
      <c r="AF68" s="55">
        <f>AD68-AE68</f>
        <v>99.100000000000023</v>
      </c>
      <c r="AG68" s="61"/>
      <c r="AH68" s="77">
        <f>(SUM(Y68:Z68)/(1+10/100))*(10/100)</f>
        <v>22.018181818181816</v>
      </c>
      <c r="AI68" s="61"/>
    </row>
    <row r="71" spans="1:35" ht="51" x14ac:dyDescent="0.2">
      <c r="A71" s="52" t="s">
        <v>135</v>
      </c>
      <c r="B71" s="53">
        <v>45731</v>
      </c>
      <c r="C71" s="54"/>
      <c r="D71" s="54"/>
      <c r="E71" s="54"/>
      <c r="F71" s="54"/>
      <c r="G71" s="54"/>
      <c r="H71" s="54"/>
      <c r="I71" s="54"/>
      <c r="J71" s="55"/>
      <c r="K71" s="56"/>
      <c r="L71" s="52" t="s">
        <v>136</v>
      </c>
      <c r="M71" s="53">
        <v>45731</v>
      </c>
      <c r="N71" s="54"/>
      <c r="O71" s="54"/>
      <c r="P71" s="54"/>
      <c r="Q71" s="54"/>
      <c r="R71" s="54"/>
      <c r="S71" s="54"/>
      <c r="T71" s="54"/>
      <c r="U71" s="54"/>
      <c r="V71" s="54"/>
      <c r="W71" s="55" t="s">
        <v>141</v>
      </c>
      <c r="X71" s="57" t="s">
        <v>192</v>
      </c>
      <c r="Y71" s="58" t="s">
        <v>142</v>
      </c>
      <c r="Z71" s="59" t="s">
        <v>193</v>
      </c>
      <c r="AA71" s="60" t="s">
        <v>194</v>
      </c>
      <c r="AB71" s="57" t="s">
        <v>165</v>
      </c>
      <c r="AC71" s="55" t="s">
        <v>195</v>
      </c>
      <c r="AD71" s="55" t="s">
        <v>196</v>
      </c>
      <c r="AE71" s="57" t="s">
        <v>197</v>
      </c>
      <c r="AF71" s="55" t="s">
        <v>198</v>
      </c>
      <c r="AG71" s="61"/>
      <c r="AH71" s="77"/>
      <c r="AI71" s="61"/>
    </row>
    <row r="72" spans="1:35" ht="12.75" x14ac:dyDescent="0.2">
      <c r="A72" s="55" t="s">
        <v>199</v>
      </c>
      <c r="B72" s="62">
        <v>0.05</v>
      </c>
      <c r="C72" s="62">
        <v>0.1</v>
      </c>
      <c r="D72" s="62">
        <v>0.2</v>
      </c>
      <c r="E72" s="62">
        <v>0.5</v>
      </c>
      <c r="F72" s="62">
        <v>1</v>
      </c>
      <c r="G72" s="62">
        <v>2</v>
      </c>
      <c r="H72" s="62">
        <v>5</v>
      </c>
      <c r="I72" s="62">
        <v>10</v>
      </c>
      <c r="K72" s="56"/>
      <c r="L72" s="55" t="s">
        <v>199</v>
      </c>
      <c r="M72" s="62">
        <v>0.05</v>
      </c>
      <c r="N72" s="62">
        <v>0.1</v>
      </c>
      <c r="O72" s="62">
        <v>0.2</v>
      </c>
      <c r="P72" s="62">
        <v>0.5</v>
      </c>
      <c r="Q72" s="62">
        <v>1</v>
      </c>
      <c r="R72" s="62">
        <v>2</v>
      </c>
      <c r="S72" s="62">
        <v>5</v>
      </c>
      <c r="T72" s="62">
        <v>10</v>
      </c>
      <c r="U72" s="62">
        <v>20</v>
      </c>
      <c r="V72" s="62">
        <v>50</v>
      </c>
      <c r="W72" s="54"/>
      <c r="X72" s="54"/>
      <c r="Z72" s="63"/>
      <c r="AA72" s="64"/>
      <c r="AB72" s="54"/>
      <c r="AC72" s="54"/>
      <c r="AD72" s="54"/>
      <c r="AE72" s="54"/>
      <c r="AF72" s="54"/>
      <c r="AH72" s="41"/>
    </row>
    <row r="73" spans="1:35" ht="12.75" x14ac:dyDescent="0.2">
      <c r="A73" s="55" t="s">
        <v>200</v>
      </c>
      <c r="B73" s="38">
        <v>82</v>
      </c>
      <c r="C73" s="38">
        <v>46</v>
      </c>
      <c r="D73" s="65">
        <v>14</v>
      </c>
      <c r="E73" s="65">
        <v>13</v>
      </c>
      <c r="F73" s="65">
        <v>10</v>
      </c>
      <c r="G73" s="65">
        <v>5</v>
      </c>
      <c r="H73" s="65">
        <v>2</v>
      </c>
      <c r="I73" s="65"/>
      <c r="J73" s="54"/>
      <c r="K73" s="56"/>
      <c r="L73" s="55" t="s">
        <v>200</v>
      </c>
      <c r="M73" s="38">
        <v>85</v>
      </c>
      <c r="N73" s="38">
        <v>40</v>
      </c>
      <c r="O73" s="65">
        <v>7</v>
      </c>
      <c r="P73" s="65">
        <v>8</v>
      </c>
      <c r="Q73" s="65">
        <v>10</v>
      </c>
      <c r="R73" s="65">
        <v>8</v>
      </c>
      <c r="S73" s="65">
        <v>3</v>
      </c>
      <c r="T73" s="65">
        <v>5</v>
      </c>
      <c r="U73" s="65">
        <v>3</v>
      </c>
      <c r="V73" s="65">
        <v>2</v>
      </c>
      <c r="W73" s="65"/>
      <c r="X73" s="54"/>
      <c r="Z73" s="63"/>
      <c r="AA73" s="64"/>
      <c r="AB73" s="54"/>
      <c r="AC73" s="54"/>
      <c r="AD73" s="54"/>
      <c r="AE73" s="54"/>
      <c r="AF73" s="54"/>
      <c r="AH73" s="41"/>
    </row>
    <row r="74" spans="1:35" ht="12.75" x14ac:dyDescent="0.2">
      <c r="A74" s="55" t="s">
        <v>141</v>
      </c>
      <c r="B74" s="70">
        <f t="shared" ref="B74:I74" si="24">B73*B72</f>
        <v>4.1000000000000005</v>
      </c>
      <c r="C74" s="70">
        <f t="shared" si="24"/>
        <v>4.6000000000000005</v>
      </c>
      <c r="D74" s="70">
        <f t="shared" si="24"/>
        <v>2.8000000000000003</v>
      </c>
      <c r="E74" s="70">
        <f t="shared" si="24"/>
        <v>6.5</v>
      </c>
      <c r="F74" s="70">
        <f t="shared" si="24"/>
        <v>10</v>
      </c>
      <c r="G74" s="70">
        <f t="shared" si="24"/>
        <v>10</v>
      </c>
      <c r="H74" s="65">
        <f t="shared" si="24"/>
        <v>10</v>
      </c>
      <c r="I74" s="65">
        <f t="shared" si="24"/>
        <v>0</v>
      </c>
      <c r="J74" s="54">
        <f>SUM(B74:I74)</f>
        <v>48</v>
      </c>
      <c r="K74" s="56"/>
      <c r="L74" s="55" t="s">
        <v>141</v>
      </c>
      <c r="M74" s="70">
        <f t="shared" ref="M74:V74" si="25">M73*M72</f>
        <v>4.25</v>
      </c>
      <c r="N74" s="70">
        <f t="shared" si="25"/>
        <v>4</v>
      </c>
      <c r="O74" s="70">
        <f t="shared" si="25"/>
        <v>1.4000000000000001</v>
      </c>
      <c r="P74" s="70">
        <f t="shared" si="25"/>
        <v>4</v>
      </c>
      <c r="Q74" s="70">
        <f t="shared" si="25"/>
        <v>10</v>
      </c>
      <c r="R74" s="70">
        <f t="shared" si="25"/>
        <v>16</v>
      </c>
      <c r="S74" s="70">
        <f t="shared" si="25"/>
        <v>15</v>
      </c>
      <c r="T74" s="70">
        <f t="shared" si="25"/>
        <v>50</v>
      </c>
      <c r="U74" s="70">
        <f t="shared" si="25"/>
        <v>60</v>
      </c>
      <c r="V74" s="70">
        <f t="shared" si="25"/>
        <v>100</v>
      </c>
      <c r="W74" s="54">
        <f>SUM(M74:V74)</f>
        <v>264.64999999999998</v>
      </c>
      <c r="X74" s="55">
        <f>W74-J74</f>
        <v>216.64999999999998</v>
      </c>
      <c r="Y74" s="63">
        <v>112.4</v>
      </c>
      <c r="Z74" s="63">
        <v>24</v>
      </c>
      <c r="AA74" s="66">
        <f>X74+Z74</f>
        <v>240.64999999999998</v>
      </c>
      <c r="AB74" s="55">
        <v>70</v>
      </c>
      <c r="AC74" s="55">
        <f>Y74-AB74</f>
        <v>42.400000000000006</v>
      </c>
      <c r="AD74" s="55">
        <f>X74-Y74</f>
        <v>104.24999999999997</v>
      </c>
      <c r="AE74" s="55">
        <v>20</v>
      </c>
      <c r="AF74" s="55">
        <f>AD74-AE74</f>
        <v>84.249999999999972</v>
      </c>
      <c r="AG74" s="61"/>
      <c r="AH74" s="77">
        <f>(SUM(Y74:Z74)/(1+10/100))*(10/100)</f>
        <v>12.4</v>
      </c>
      <c r="AI74" s="61"/>
    </row>
    <row r="77" spans="1:35" ht="51" x14ac:dyDescent="0.2">
      <c r="A77" s="52" t="s">
        <v>135</v>
      </c>
      <c r="B77" s="53">
        <v>45733</v>
      </c>
      <c r="C77" s="54"/>
      <c r="D77" s="54"/>
      <c r="E77" s="54"/>
      <c r="F77" s="54"/>
      <c r="G77" s="54"/>
      <c r="H77" s="54"/>
      <c r="I77" s="54"/>
      <c r="J77" s="55"/>
      <c r="K77" s="56"/>
      <c r="L77" s="52" t="s">
        <v>136</v>
      </c>
      <c r="M77" s="53">
        <v>45733</v>
      </c>
      <c r="N77" s="54"/>
      <c r="O77" s="54"/>
      <c r="P77" s="54"/>
      <c r="Q77" s="54"/>
      <c r="R77" s="54"/>
      <c r="S77" s="54"/>
      <c r="T77" s="54"/>
      <c r="U77" s="54"/>
      <c r="V77" s="54"/>
      <c r="W77" s="55" t="s">
        <v>141</v>
      </c>
      <c r="X77" s="57" t="s">
        <v>192</v>
      </c>
      <c r="Y77" s="58" t="s">
        <v>142</v>
      </c>
      <c r="Z77" s="59" t="s">
        <v>193</v>
      </c>
      <c r="AA77" s="60" t="s">
        <v>194</v>
      </c>
      <c r="AB77" s="57" t="s">
        <v>165</v>
      </c>
      <c r="AC77" s="55" t="s">
        <v>195</v>
      </c>
      <c r="AD77" s="55" t="s">
        <v>196</v>
      </c>
      <c r="AE77" s="57" t="s">
        <v>197</v>
      </c>
      <c r="AF77" s="55" t="s">
        <v>198</v>
      </c>
      <c r="AG77" s="61"/>
      <c r="AH77" s="77"/>
      <c r="AI77" s="61"/>
    </row>
    <row r="78" spans="1:35" ht="12.75" x14ac:dyDescent="0.2">
      <c r="A78" s="55" t="s">
        <v>199</v>
      </c>
      <c r="B78" s="62">
        <v>0.05</v>
      </c>
      <c r="C78" s="62">
        <v>0.1</v>
      </c>
      <c r="D78" s="62">
        <v>0.2</v>
      </c>
      <c r="E78" s="62">
        <v>0.5</v>
      </c>
      <c r="F78" s="62">
        <v>1</v>
      </c>
      <c r="G78" s="62">
        <v>2</v>
      </c>
      <c r="H78" s="62">
        <v>5</v>
      </c>
      <c r="I78" s="62">
        <v>10</v>
      </c>
      <c r="K78" s="56"/>
      <c r="L78" s="55" t="s">
        <v>199</v>
      </c>
      <c r="M78" s="62">
        <v>0.05</v>
      </c>
      <c r="N78" s="62">
        <v>0.1</v>
      </c>
      <c r="O78" s="62">
        <v>0.2</v>
      </c>
      <c r="P78" s="62">
        <v>0.5</v>
      </c>
      <c r="Q78" s="62">
        <v>1</v>
      </c>
      <c r="R78" s="62">
        <v>2</v>
      </c>
      <c r="S78" s="62">
        <v>5</v>
      </c>
      <c r="T78" s="62">
        <v>10</v>
      </c>
      <c r="U78" s="62">
        <v>20</v>
      </c>
      <c r="V78" s="62">
        <v>50</v>
      </c>
      <c r="W78" s="54"/>
      <c r="X78" s="54"/>
      <c r="Z78" s="63"/>
      <c r="AA78" s="64"/>
      <c r="AB78" s="54"/>
      <c r="AC78" s="54"/>
      <c r="AD78" s="54"/>
      <c r="AE78" s="54"/>
      <c r="AF78" s="54"/>
      <c r="AH78" s="41"/>
    </row>
    <row r="79" spans="1:35" ht="12.75" x14ac:dyDescent="0.2">
      <c r="A79" s="55" t="s">
        <v>200</v>
      </c>
      <c r="B79" s="38">
        <v>85</v>
      </c>
      <c r="C79" s="38">
        <v>40</v>
      </c>
      <c r="D79" s="65">
        <v>7</v>
      </c>
      <c r="E79" s="65">
        <v>8</v>
      </c>
      <c r="F79" s="65">
        <v>10</v>
      </c>
      <c r="G79" s="65">
        <v>8</v>
      </c>
      <c r="H79" s="65"/>
      <c r="I79" s="65"/>
      <c r="J79" s="54"/>
      <c r="K79" s="56"/>
      <c r="L79" s="55" t="s">
        <v>200</v>
      </c>
      <c r="M79" s="38">
        <v>82</v>
      </c>
      <c r="N79" s="38">
        <v>3</v>
      </c>
      <c r="O79" s="65">
        <v>11</v>
      </c>
      <c r="P79" s="65">
        <v>7</v>
      </c>
      <c r="Q79" s="65">
        <v>17</v>
      </c>
      <c r="R79" s="65">
        <v>8</v>
      </c>
      <c r="S79" s="65">
        <v>7</v>
      </c>
      <c r="T79" s="65">
        <v>3</v>
      </c>
      <c r="U79" s="65">
        <v>2</v>
      </c>
      <c r="V79" s="65">
        <v>3</v>
      </c>
      <c r="W79" s="65"/>
      <c r="X79" s="54"/>
      <c r="Z79" s="63"/>
      <c r="AA79" s="64"/>
      <c r="AB79" s="54"/>
      <c r="AC79" s="54"/>
      <c r="AD79" s="54"/>
      <c r="AE79" s="54"/>
      <c r="AF79" s="54"/>
      <c r="AH79" s="41"/>
    </row>
    <row r="80" spans="1:35" ht="12.75" x14ac:dyDescent="0.2">
      <c r="A80" s="55" t="s">
        <v>141</v>
      </c>
      <c r="B80" s="70">
        <f t="shared" ref="B80:I80" si="26">B79*B78</f>
        <v>4.25</v>
      </c>
      <c r="C80" s="70">
        <f t="shared" si="26"/>
        <v>4</v>
      </c>
      <c r="D80" s="70">
        <f t="shared" si="26"/>
        <v>1.4000000000000001</v>
      </c>
      <c r="E80" s="70">
        <f t="shared" si="26"/>
        <v>4</v>
      </c>
      <c r="F80" s="70">
        <f t="shared" si="26"/>
        <v>10</v>
      </c>
      <c r="G80" s="70">
        <f t="shared" si="26"/>
        <v>16</v>
      </c>
      <c r="H80" s="65">
        <f t="shared" si="26"/>
        <v>0</v>
      </c>
      <c r="I80" s="65">
        <f t="shared" si="26"/>
        <v>0</v>
      </c>
      <c r="J80" s="54">
        <f>SUM(B80:I80)</f>
        <v>39.65</v>
      </c>
      <c r="K80" s="56"/>
      <c r="L80" s="55" t="s">
        <v>141</v>
      </c>
      <c r="M80" s="70">
        <f t="shared" ref="M80:V80" si="27">M79*M78</f>
        <v>4.1000000000000005</v>
      </c>
      <c r="N80" s="70">
        <f t="shared" si="27"/>
        <v>0.30000000000000004</v>
      </c>
      <c r="O80" s="70">
        <f t="shared" si="27"/>
        <v>2.2000000000000002</v>
      </c>
      <c r="P80" s="70">
        <f t="shared" si="27"/>
        <v>3.5</v>
      </c>
      <c r="Q80" s="70">
        <f t="shared" si="27"/>
        <v>17</v>
      </c>
      <c r="R80" s="70">
        <f t="shared" si="27"/>
        <v>16</v>
      </c>
      <c r="S80" s="70">
        <f t="shared" si="27"/>
        <v>35</v>
      </c>
      <c r="T80" s="70">
        <f t="shared" si="27"/>
        <v>30</v>
      </c>
      <c r="U80" s="70">
        <f t="shared" si="27"/>
        <v>40</v>
      </c>
      <c r="V80" s="70">
        <f t="shared" si="27"/>
        <v>150</v>
      </c>
      <c r="W80" s="54">
        <f>SUM(M80:V80)</f>
        <v>298.10000000000002</v>
      </c>
      <c r="X80" s="55">
        <f>W80-J80</f>
        <v>258.45000000000005</v>
      </c>
      <c r="Y80" s="63">
        <v>170</v>
      </c>
      <c r="Z80" s="63">
        <v>37.9</v>
      </c>
      <c r="AA80" s="66">
        <f>X80+Z80</f>
        <v>296.35000000000002</v>
      </c>
      <c r="AB80" s="55">
        <v>70</v>
      </c>
      <c r="AC80" s="55">
        <f>Y80-AB80</f>
        <v>100</v>
      </c>
      <c r="AD80" s="55">
        <f>X80-Y80</f>
        <v>88.450000000000045</v>
      </c>
      <c r="AE80" s="55">
        <v>10</v>
      </c>
      <c r="AF80" s="55">
        <f>AD80-AE80</f>
        <v>78.450000000000045</v>
      </c>
      <c r="AG80" s="61"/>
      <c r="AH80" s="77">
        <f>(SUM(Y80:Z80)/(1+10/100))*(10/100)</f>
        <v>18.900000000000002</v>
      </c>
      <c r="AI80" s="61"/>
    </row>
    <row r="81" spans="1:35" ht="12.75" x14ac:dyDescent="0.2">
      <c r="AC81" s="38">
        <v>-50</v>
      </c>
    </row>
    <row r="83" spans="1:35" ht="51" x14ac:dyDescent="0.2">
      <c r="A83" s="52" t="s">
        <v>135</v>
      </c>
      <c r="B83" s="53">
        <v>45734</v>
      </c>
      <c r="C83" s="54"/>
      <c r="D83" s="54"/>
      <c r="E83" s="54"/>
      <c r="F83" s="54"/>
      <c r="G83" s="54"/>
      <c r="H83" s="54"/>
      <c r="I83" s="54"/>
      <c r="J83" s="55"/>
      <c r="K83" s="56"/>
      <c r="L83" s="52" t="s">
        <v>136</v>
      </c>
      <c r="M83" s="53">
        <v>45734</v>
      </c>
      <c r="N83" s="54"/>
      <c r="O83" s="54"/>
      <c r="P83" s="54"/>
      <c r="Q83" s="54"/>
      <c r="R83" s="54"/>
      <c r="S83" s="54"/>
      <c r="T83" s="54"/>
      <c r="U83" s="54"/>
      <c r="V83" s="54"/>
      <c r="W83" s="55" t="s">
        <v>141</v>
      </c>
      <c r="X83" s="57" t="s">
        <v>192</v>
      </c>
      <c r="Y83" s="58" t="s">
        <v>142</v>
      </c>
      <c r="Z83" s="59" t="s">
        <v>193</v>
      </c>
      <c r="AA83" s="60" t="s">
        <v>194</v>
      </c>
      <c r="AB83" s="57" t="s">
        <v>165</v>
      </c>
      <c r="AC83" s="55" t="s">
        <v>195</v>
      </c>
      <c r="AD83" s="55" t="s">
        <v>196</v>
      </c>
      <c r="AE83" s="57" t="s">
        <v>197</v>
      </c>
      <c r="AF83" s="55" t="s">
        <v>198</v>
      </c>
      <c r="AG83" s="61"/>
      <c r="AH83" s="77"/>
      <c r="AI83" s="61"/>
    </row>
    <row r="84" spans="1:35" ht="12.75" x14ac:dyDescent="0.2">
      <c r="A84" s="55" t="s">
        <v>199</v>
      </c>
      <c r="B84" s="62">
        <v>0.05</v>
      </c>
      <c r="C84" s="62">
        <v>0.1</v>
      </c>
      <c r="D84" s="62">
        <v>0.2</v>
      </c>
      <c r="E84" s="62">
        <v>0.5</v>
      </c>
      <c r="F84" s="62">
        <v>1</v>
      </c>
      <c r="G84" s="62">
        <v>2</v>
      </c>
      <c r="H84" s="62">
        <v>5</v>
      </c>
      <c r="I84" s="62">
        <v>10</v>
      </c>
      <c r="K84" s="56"/>
      <c r="L84" s="55" t="s">
        <v>199</v>
      </c>
      <c r="M84" s="62">
        <v>0.05</v>
      </c>
      <c r="N84" s="62">
        <v>0.1</v>
      </c>
      <c r="O84" s="62">
        <v>0.2</v>
      </c>
      <c r="P84" s="62">
        <v>0.5</v>
      </c>
      <c r="Q84" s="62">
        <v>1</v>
      </c>
      <c r="R84" s="62">
        <v>2</v>
      </c>
      <c r="S84" s="62">
        <v>5</v>
      </c>
      <c r="T84" s="62">
        <v>10</v>
      </c>
      <c r="U84" s="62">
        <v>20</v>
      </c>
      <c r="V84" s="62">
        <v>50</v>
      </c>
      <c r="W84" s="54"/>
      <c r="X84" s="54"/>
      <c r="Z84" s="63"/>
      <c r="AA84" s="64"/>
      <c r="AB84" s="54"/>
      <c r="AC84" s="54"/>
      <c r="AD84" s="54"/>
      <c r="AE84" s="54"/>
      <c r="AF84" s="54"/>
      <c r="AH84" s="41"/>
    </row>
    <row r="85" spans="1:35" ht="12.75" x14ac:dyDescent="0.2">
      <c r="A85" s="55" t="s">
        <v>200</v>
      </c>
      <c r="B85" s="38">
        <v>82</v>
      </c>
      <c r="C85" s="38">
        <v>3</v>
      </c>
      <c r="D85" s="65">
        <v>11</v>
      </c>
      <c r="E85" s="65">
        <v>7</v>
      </c>
      <c r="F85" s="65">
        <v>10</v>
      </c>
      <c r="G85" s="65">
        <v>5</v>
      </c>
      <c r="H85" s="65">
        <v>2</v>
      </c>
      <c r="I85" s="65"/>
      <c r="J85" s="54"/>
      <c r="K85" s="56"/>
      <c r="L85" s="55" t="s">
        <v>200</v>
      </c>
      <c r="M85" s="38">
        <v>86</v>
      </c>
      <c r="N85" s="38">
        <v>15</v>
      </c>
      <c r="O85" s="65">
        <v>9</v>
      </c>
      <c r="P85" s="65">
        <v>10</v>
      </c>
      <c r="Q85" s="65">
        <v>10</v>
      </c>
      <c r="R85" s="65">
        <v>8</v>
      </c>
      <c r="S85" s="65">
        <v>5</v>
      </c>
      <c r="T85" s="65">
        <v>7</v>
      </c>
      <c r="U85" s="65">
        <v>7</v>
      </c>
      <c r="V85" s="65"/>
      <c r="W85" s="65"/>
      <c r="X85" s="54"/>
      <c r="Z85" s="63"/>
      <c r="AA85" s="64"/>
      <c r="AB85" s="54"/>
      <c r="AC85" s="54"/>
      <c r="AD85" s="54"/>
      <c r="AE85" s="54"/>
      <c r="AF85" s="54"/>
      <c r="AH85" s="41"/>
    </row>
    <row r="86" spans="1:35" ht="12.75" x14ac:dyDescent="0.2">
      <c r="A86" s="55" t="s">
        <v>141</v>
      </c>
      <c r="B86" s="70">
        <f t="shared" ref="B86:I86" si="28">B85*B84</f>
        <v>4.1000000000000005</v>
      </c>
      <c r="C86" s="70">
        <f t="shared" si="28"/>
        <v>0.30000000000000004</v>
      </c>
      <c r="D86" s="70">
        <f t="shared" si="28"/>
        <v>2.2000000000000002</v>
      </c>
      <c r="E86" s="70">
        <f t="shared" si="28"/>
        <v>3.5</v>
      </c>
      <c r="F86" s="70">
        <f t="shared" si="28"/>
        <v>10</v>
      </c>
      <c r="G86" s="70">
        <f t="shared" si="28"/>
        <v>10</v>
      </c>
      <c r="H86" s="65">
        <f t="shared" si="28"/>
        <v>10</v>
      </c>
      <c r="I86" s="65">
        <f t="shared" si="28"/>
        <v>0</v>
      </c>
      <c r="J86" s="54">
        <f>SUM(B86:I86)</f>
        <v>40.1</v>
      </c>
      <c r="K86" s="56"/>
      <c r="L86" s="55" t="s">
        <v>141</v>
      </c>
      <c r="M86" s="70">
        <f t="shared" ref="M86:V86" si="29">M85*M84</f>
        <v>4.3</v>
      </c>
      <c r="N86" s="70">
        <f t="shared" si="29"/>
        <v>1.5</v>
      </c>
      <c r="O86" s="70">
        <f t="shared" si="29"/>
        <v>1.8</v>
      </c>
      <c r="P86" s="70">
        <f t="shared" si="29"/>
        <v>5</v>
      </c>
      <c r="Q86" s="70">
        <f t="shared" si="29"/>
        <v>10</v>
      </c>
      <c r="R86" s="70">
        <f t="shared" si="29"/>
        <v>16</v>
      </c>
      <c r="S86" s="70">
        <f t="shared" si="29"/>
        <v>25</v>
      </c>
      <c r="T86" s="70">
        <f t="shared" si="29"/>
        <v>70</v>
      </c>
      <c r="U86" s="70">
        <f t="shared" si="29"/>
        <v>140</v>
      </c>
      <c r="V86" s="70">
        <f t="shared" si="29"/>
        <v>0</v>
      </c>
      <c r="W86" s="54">
        <f>SUM(M86:V86)</f>
        <v>273.60000000000002</v>
      </c>
      <c r="X86" s="55">
        <f>W86-J86</f>
        <v>233.50000000000003</v>
      </c>
      <c r="Y86" s="63">
        <v>134.30000000000001</v>
      </c>
      <c r="Z86" s="63">
        <v>8.8000000000000007</v>
      </c>
      <c r="AA86" s="66">
        <f>X86+Z86</f>
        <v>242.30000000000004</v>
      </c>
      <c r="AB86" s="55">
        <v>50</v>
      </c>
      <c r="AC86" s="55">
        <f>Y86-AB86</f>
        <v>84.300000000000011</v>
      </c>
      <c r="AD86" s="55">
        <f>X86-Y86</f>
        <v>99.200000000000017</v>
      </c>
      <c r="AE86" s="55">
        <v>29</v>
      </c>
      <c r="AF86" s="55">
        <f>AD86-AE86</f>
        <v>70.200000000000017</v>
      </c>
      <c r="AG86" s="61"/>
      <c r="AH86" s="77">
        <f>(SUM(Y86:Z86)/(1+10/100))*(10/100)</f>
        <v>13.00909090909091</v>
      </c>
      <c r="AI86" s="61"/>
    </row>
    <row r="87" spans="1:35" ht="12.75" x14ac:dyDescent="0.2">
      <c r="AC87" s="38">
        <v>-20</v>
      </c>
    </row>
    <row r="89" spans="1:35" ht="51" x14ac:dyDescent="0.2">
      <c r="A89" s="52" t="s">
        <v>135</v>
      </c>
      <c r="B89" s="53">
        <v>45735</v>
      </c>
      <c r="C89" s="54"/>
      <c r="D89" s="54"/>
      <c r="E89" s="54"/>
      <c r="F89" s="54"/>
      <c r="G89" s="54"/>
      <c r="H89" s="54"/>
      <c r="I89" s="54"/>
      <c r="J89" s="55"/>
      <c r="K89" s="56"/>
      <c r="L89" s="52" t="s">
        <v>136</v>
      </c>
      <c r="M89" s="53">
        <v>45735</v>
      </c>
      <c r="N89" s="54"/>
      <c r="O89" s="54"/>
      <c r="P89" s="54"/>
      <c r="Q89" s="54"/>
      <c r="R89" s="54"/>
      <c r="S89" s="54"/>
      <c r="T89" s="54"/>
      <c r="U89" s="54"/>
      <c r="V89" s="54"/>
      <c r="W89" s="55" t="s">
        <v>141</v>
      </c>
      <c r="X89" s="57" t="s">
        <v>192</v>
      </c>
      <c r="Y89" s="58" t="s">
        <v>142</v>
      </c>
      <c r="Z89" s="59" t="s">
        <v>193</v>
      </c>
      <c r="AA89" s="60" t="s">
        <v>194</v>
      </c>
      <c r="AB89" s="57" t="s">
        <v>165</v>
      </c>
      <c r="AC89" s="55" t="s">
        <v>195</v>
      </c>
      <c r="AD89" s="55" t="s">
        <v>196</v>
      </c>
      <c r="AE89" s="57" t="s">
        <v>197</v>
      </c>
      <c r="AF89" s="55" t="s">
        <v>198</v>
      </c>
      <c r="AG89" s="61"/>
      <c r="AH89" s="77"/>
      <c r="AI89" s="61"/>
    </row>
    <row r="90" spans="1:35" ht="12.75" x14ac:dyDescent="0.2">
      <c r="A90" s="55" t="s">
        <v>199</v>
      </c>
      <c r="B90" s="62">
        <v>0.05</v>
      </c>
      <c r="C90" s="62">
        <v>0.1</v>
      </c>
      <c r="D90" s="62">
        <v>0.2</v>
      </c>
      <c r="E90" s="62">
        <v>0.5</v>
      </c>
      <c r="F90" s="62">
        <v>1</v>
      </c>
      <c r="G90" s="62">
        <v>2</v>
      </c>
      <c r="H90" s="62">
        <v>5</v>
      </c>
      <c r="I90" s="62">
        <v>10</v>
      </c>
      <c r="K90" s="56"/>
      <c r="L90" s="55" t="s">
        <v>199</v>
      </c>
      <c r="M90" s="62">
        <v>0.05</v>
      </c>
      <c r="N90" s="62">
        <v>0.1</v>
      </c>
      <c r="O90" s="62">
        <v>0.2</v>
      </c>
      <c r="P90" s="62">
        <v>0.5</v>
      </c>
      <c r="Q90" s="62">
        <v>1</v>
      </c>
      <c r="R90" s="62">
        <v>2</v>
      </c>
      <c r="S90" s="62">
        <v>5</v>
      </c>
      <c r="T90" s="62">
        <v>10</v>
      </c>
      <c r="U90" s="62">
        <v>20</v>
      </c>
      <c r="V90" s="62">
        <v>50</v>
      </c>
      <c r="W90" s="54"/>
      <c r="X90" s="54"/>
      <c r="Z90" s="63"/>
      <c r="AA90" s="64"/>
      <c r="AB90" s="54"/>
      <c r="AC90" s="54"/>
      <c r="AD90" s="54"/>
      <c r="AE90" s="54"/>
      <c r="AF90" s="54"/>
      <c r="AH90" s="41"/>
    </row>
    <row r="91" spans="1:35" ht="12.75" x14ac:dyDescent="0.2">
      <c r="A91" s="55" t="s">
        <v>200</v>
      </c>
      <c r="B91" s="38">
        <v>86</v>
      </c>
      <c r="C91" s="38">
        <v>15</v>
      </c>
      <c r="D91" s="65">
        <v>8</v>
      </c>
      <c r="E91" s="65">
        <v>10</v>
      </c>
      <c r="F91" s="65">
        <v>9</v>
      </c>
      <c r="G91" s="65">
        <v>7</v>
      </c>
      <c r="H91" s="65">
        <v>2</v>
      </c>
      <c r="I91" s="65"/>
      <c r="J91" s="54"/>
      <c r="K91" s="56"/>
      <c r="L91" s="55" t="s">
        <v>200</v>
      </c>
      <c r="M91" s="38">
        <v>95</v>
      </c>
      <c r="N91" s="38">
        <v>16</v>
      </c>
      <c r="O91" s="65">
        <v>7</v>
      </c>
      <c r="P91" s="65">
        <v>13</v>
      </c>
      <c r="Q91" s="65">
        <v>18</v>
      </c>
      <c r="R91" s="65">
        <v>15</v>
      </c>
      <c r="S91" s="65">
        <v>9</v>
      </c>
      <c r="T91" s="65">
        <v>5</v>
      </c>
      <c r="U91" s="65">
        <v>3</v>
      </c>
      <c r="V91" s="65">
        <v>2</v>
      </c>
      <c r="W91" s="65"/>
      <c r="X91" s="54"/>
      <c r="Z91" s="63"/>
      <c r="AA91" s="64"/>
      <c r="AB91" s="54"/>
      <c r="AC91" s="54"/>
      <c r="AD91" s="54"/>
      <c r="AE91" s="54"/>
      <c r="AF91" s="54"/>
      <c r="AH91" s="41"/>
    </row>
    <row r="92" spans="1:35" ht="12.75" x14ac:dyDescent="0.2">
      <c r="A92" s="55" t="s">
        <v>141</v>
      </c>
      <c r="B92" s="70">
        <f t="shared" ref="B92:I92" si="30">B91*B90</f>
        <v>4.3</v>
      </c>
      <c r="C92" s="70">
        <f t="shared" si="30"/>
        <v>1.5</v>
      </c>
      <c r="D92" s="70">
        <f t="shared" si="30"/>
        <v>1.6</v>
      </c>
      <c r="E92" s="70">
        <f t="shared" si="30"/>
        <v>5</v>
      </c>
      <c r="F92" s="70">
        <f t="shared" si="30"/>
        <v>9</v>
      </c>
      <c r="G92" s="70">
        <f t="shared" si="30"/>
        <v>14</v>
      </c>
      <c r="H92" s="65">
        <f t="shared" si="30"/>
        <v>10</v>
      </c>
      <c r="I92" s="65">
        <f t="shared" si="30"/>
        <v>0</v>
      </c>
      <c r="J92" s="54">
        <f>SUM(B92:I92)</f>
        <v>45.4</v>
      </c>
      <c r="K92" s="56"/>
      <c r="L92" s="55" t="s">
        <v>141</v>
      </c>
      <c r="M92" s="70">
        <f t="shared" ref="M92:V92" si="31">M91*M90</f>
        <v>4.75</v>
      </c>
      <c r="N92" s="70">
        <f t="shared" si="31"/>
        <v>1.6</v>
      </c>
      <c r="O92" s="70">
        <f t="shared" si="31"/>
        <v>1.4000000000000001</v>
      </c>
      <c r="P92" s="70">
        <f t="shared" si="31"/>
        <v>6.5</v>
      </c>
      <c r="Q92" s="70">
        <f t="shared" si="31"/>
        <v>18</v>
      </c>
      <c r="R92" s="70">
        <f t="shared" si="31"/>
        <v>30</v>
      </c>
      <c r="S92" s="70">
        <f t="shared" si="31"/>
        <v>45</v>
      </c>
      <c r="T92" s="70">
        <f t="shared" si="31"/>
        <v>50</v>
      </c>
      <c r="U92" s="70">
        <f t="shared" si="31"/>
        <v>60</v>
      </c>
      <c r="V92" s="70">
        <f t="shared" si="31"/>
        <v>100</v>
      </c>
      <c r="W92" s="54">
        <f>SUM(M92:V92)</f>
        <v>317.25</v>
      </c>
      <c r="X92" s="55">
        <f>W92-J92</f>
        <v>271.85000000000002</v>
      </c>
      <c r="Y92" s="63">
        <v>184.2</v>
      </c>
      <c r="Z92" s="63">
        <v>58.9</v>
      </c>
      <c r="AA92" s="66">
        <f>X92+Z92</f>
        <v>330.75</v>
      </c>
      <c r="AB92" s="55">
        <v>90</v>
      </c>
      <c r="AC92" s="55">
        <f>Y92-AB92</f>
        <v>94.199999999999989</v>
      </c>
      <c r="AD92" s="55">
        <f>X92-Y92</f>
        <v>87.650000000000034</v>
      </c>
      <c r="AE92" s="55">
        <v>20</v>
      </c>
      <c r="AF92" s="55">
        <f>AD92-AE92</f>
        <v>67.650000000000034</v>
      </c>
      <c r="AG92" s="61"/>
      <c r="AH92" s="77">
        <f>(SUM(Y92:Z92)/(1+10/100))*(10/100)</f>
        <v>22.099999999999998</v>
      </c>
      <c r="AI92" s="61"/>
    </row>
    <row r="93" spans="1:35" ht="12.75" x14ac:dyDescent="0.2">
      <c r="AC93" s="38">
        <v>-4.2</v>
      </c>
    </row>
    <row r="95" spans="1:35" ht="51" x14ac:dyDescent="0.2">
      <c r="A95" s="52" t="s">
        <v>135</v>
      </c>
      <c r="B95" s="53">
        <v>45736</v>
      </c>
      <c r="C95" s="54"/>
      <c r="D95" s="54"/>
      <c r="E95" s="54"/>
      <c r="F95" s="54"/>
      <c r="G95" s="54"/>
      <c r="H95" s="54"/>
      <c r="I95" s="54"/>
      <c r="J95" s="55"/>
      <c r="K95" s="56"/>
      <c r="L95" s="52" t="s">
        <v>136</v>
      </c>
      <c r="M95" s="53">
        <v>45736</v>
      </c>
      <c r="N95" s="54"/>
      <c r="O95" s="54"/>
      <c r="P95" s="54"/>
      <c r="Q95" s="54"/>
      <c r="R95" s="54"/>
      <c r="S95" s="54"/>
      <c r="T95" s="54"/>
      <c r="U95" s="54"/>
      <c r="V95" s="54"/>
      <c r="W95" s="55" t="s">
        <v>141</v>
      </c>
      <c r="X95" s="57" t="s">
        <v>192</v>
      </c>
      <c r="Y95" s="58" t="s">
        <v>142</v>
      </c>
      <c r="Z95" s="59" t="s">
        <v>193</v>
      </c>
      <c r="AA95" s="60" t="s">
        <v>194</v>
      </c>
      <c r="AB95" s="57" t="s">
        <v>165</v>
      </c>
      <c r="AC95" s="55" t="s">
        <v>195</v>
      </c>
      <c r="AD95" s="55" t="s">
        <v>196</v>
      </c>
      <c r="AE95" s="57" t="s">
        <v>197</v>
      </c>
      <c r="AF95" s="55" t="s">
        <v>198</v>
      </c>
      <c r="AG95" s="61"/>
      <c r="AH95" s="77"/>
      <c r="AI95" s="61"/>
    </row>
    <row r="96" spans="1:35" ht="12.75" x14ac:dyDescent="0.2">
      <c r="A96" s="55" t="s">
        <v>199</v>
      </c>
      <c r="B96" s="62">
        <v>0.05</v>
      </c>
      <c r="C96" s="62">
        <v>0.1</v>
      </c>
      <c r="D96" s="62">
        <v>0.2</v>
      </c>
      <c r="E96" s="62">
        <v>0.5</v>
      </c>
      <c r="F96" s="62">
        <v>1</v>
      </c>
      <c r="G96" s="62">
        <v>2</v>
      </c>
      <c r="H96" s="62">
        <v>5</v>
      </c>
      <c r="I96" s="62">
        <v>10</v>
      </c>
      <c r="K96" s="56"/>
      <c r="L96" s="55" t="s">
        <v>199</v>
      </c>
      <c r="M96" s="62">
        <v>0.05</v>
      </c>
      <c r="N96" s="62">
        <v>0.1</v>
      </c>
      <c r="O96" s="62">
        <v>0.2</v>
      </c>
      <c r="P96" s="62">
        <v>0.5</v>
      </c>
      <c r="Q96" s="62">
        <v>1</v>
      </c>
      <c r="R96" s="62">
        <v>2</v>
      </c>
      <c r="S96" s="62">
        <v>5</v>
      </c>
      <c r="T96" s="62">
        <v>10</v>
      </c>
      <c r="U96" s="62">
        <v>20</v>
      </c>
      <c r="V96" s="62">
        <v>50</v>
      </c>
      <c r="W96" s="54"/>
      <c r="X96" s="54"/>
      <c r="Z96" s="63"/>
      <c r="AA96" s="64"/>
      <c r="AB96" s="54"/>
      <c r="AC96" s="54"/>
      <c r="AD96" s="54"/>
      <c r="AE96" s="54"/>
      <c r="AF96" s="54"/>
      <c r="AH96" s="41"/>
    </row>
    <row r="97" spans="1:35" ht="12.75" x14ac:dyDescent="0.2">
      <c r="A97" s="55" t="s">
        <v>200</v>
      </c>
      <c r="B97" s="38">
        <v>95</v>
      </c>
      <c r="C97" s="38">
        <v>16</v>
      </c>
      <c r="D97" s="65">
        <v>7</v>
      </c>
      <c r="E97" s="65">
        <v>13</v>
      </c>
      <c r="F97" s="65">
        <v>10</v>
      </c>
      <c r="G97" s="65">
        <v>5</v>
      </c>
      <c r="H97" s="65">
        <v>2</v>
      </c>
      <c r="I97" s="65"/>
      <c r="J97" s="54"/>
      <c r="K97" s="56"/>
      <c r="L97" s="55" t="s">
        <v>200</v>
      </c>
      <c r="M97" s="38">
        <v>98</v>
      </c>
      <c r="N97" s="38">
        <v>23</v>
      </c>
      <c r="O97" s="65">
        <v>8</v>
      </c>
      <c r="P97" s="65">
        <v>8</v>
      </c>
      <c r="Q97" s="65">
        <v>3</v>
      </c>
      <c r="R97" s="65">
        <v>3</v>
      </c>
      <c r="S97" s="65">
        <v>3</v>
      </c>
      <c r="T97" s="65">
        <v>13</v>
      </c>
      <c r="U97" s="65">
        <v>9</v>
      </c>
      <c r="V97" s="65">
        <v>1</v>
      </c>
      <c r="W97" s="65"/>
      <c r="X97" s="54"/>
      <c r="Z97" s="63"/>
      <c r="AA97" s="64"/>
      <c r="AB97" s="54"/>
      <c r="AC97" s="54"/>
      <c r="AD97" s="54"/>
      <c r="AE97" s="54"/>
      <c r="AF97" s="54"/>
      <c r="AH97" s="41"/>
    </row>
    <row r="98" spans="1:35" ht="12.75" x14ac:dyDescent="0.2">
      <c r="A98" s="55" t="s">
        <v>141</v>
      </c>
      <c r="B98" s="70">
        <f t="shared" ref="B98:I98" si="32">B97*B96</f>
        <v>4.75</v>
      </c>
      <c r="C98" s="70">
        <f t="shared" si="32"/>
        <v>1.6</v>
      </c>
      <c r="D98" s="70">
        <f t="shared" si="32"/>
        <v>1.4000000000000001</v>
      </c>
      <c r="E98" s="70">
        <f t="shared" si="32"/>
        <v>6.5</v>
      </c>
      <c r="F98" s="70">
        <f t="shared" si="32"/>
        <v>10</v>
      </c>
      <c r="G98" s="70">
        <f t="shared" si="32"/>
        <v>10</v>
      </c>
      <c r="H98" s="65">
        <f t="shared" si="32"/>
        <v>10</v>
      </c>
      <c r="I98" s="65">
        <f t="shared" si="32"/>
        <v>0</v>
      </c>
      <c r="J98" s="54">
        <f>SUM(B98:I98)</f>
        <v>44.25</v>
      </c>
      <c r="K98" s="56"/>
      <c r="L98" s="55" t="s">
        <v>141</v>
      </c>
      <c r="M98" s="70">
        <f t="shared" ref="M98:V98" si="33">M97*M96</f>
        <v>4.9000000000000004</v>
      </c>
      <c r="N98" s="70">
        <f t="shared" si="33"/>
        <v>2.3000000000000003</v>
      </c>
      <c r="O98" s="70">
        <f t="shared" si="33"/>
        <v>1.6</v>
      </c>
      <c r="P98" s="70">
        <f t="shared" si="33"/>
        <v>4</v>
      </c>
      <c r="Q98" s="70">
        <f t="shared" si="33"/>
        <v>3</v>
      </c>
      <c r="R98" s="70">
        <f t="shared" si="33"/>
        <v>6</v>
      </c>
      <c r="S98" s="70">
        <f t="shared" si="33"/>
        <v>15</v>
      </c>
      <c r="T98" s="70">
        <f t="shared" si="33"/>
        <v>130</v>
      </c>
      <c r="U98" s="70">
        <f t="shared" si="33"/>
        <v>180</v>
      </c>
      <c r="V98" s="70">
        <f t="shared" si="33"/>
        <v>50</v>
      </c>
      <c r="W98" s="54">
        <f>SUM(M98:V98)</f>
        <v>396.8</v>
      </c>
      <c r="X98" s="55">
        <f>W98-J98</f>
        <v>352.55</v>
      </c>
      <c r="Y98" s="63">
        <v>179.5</v>
      </c>
      <c r="Z98" s="63">
        <v>20.100000000000001</v>
      </c>
      <c r="AA98" s="66">
        <f>X98+Z98</f>
        <v>372.65000000000003</v>
      </c>
      <c r="AB98" s="55">
        <v>78</v>
      </c>
      <c r="AC98" s="55">
        <f>Y98-AB98</f>
        <v>101.5</v>
      </c>
      <c r="AD98" s="55">
        <f>X98-Y98</f>
        <v>173.05</v>
      </c>
      <c r="AE98" s="55">
        <v>20</v>
      </c>
      <c r="AF98" s="55">
        <f>AD98-AE98</f>
        <v>153.05000000000001</v>
      </c>
      <c r="AG98" s="61"/>
      <c r="AH98" s="77">
        <f>(SUM(Y98:Z98)/(1+10/100))*(10/100)</f>
        <v>18.145454545454545</v>
      </c>
      <c r="AI98" s="61"/>
    </row>
    <row r="99" spans="1:35" ht="12.75" x14ac:dyDescent="0.2">
      <c r="AE99" s="38"/>
    </row>
    <row r="101" spans="1:35" ht="51" x14ac:dyDescent="0.2">
      <c r="A101" s="52" t="s">
        <v>135</v>
      </c>
      <c r="B101" s="53">
        <v>45737</v>
      </c>
      <c r="C101" s="54"/>
      <c r="D101" s="54"/>
      <c r="E101" s="54"/>
      <c r="F101" s="54"/>
      <c r="G101" s="54"/>
      <c r="H101" s="54"/>
      <c r="I101" s="54"/>
      <c r="J101" s="55"/>
      <c r="K101" s="56"/>
      <c r="L101" s="52" t="s">
        <v>136</v>
      </c>
      <c r="M101" s="53">
        <v>45737</v>
      </c>
      <c r="N101" s="54"/>
      <c r="O101" s="54"/>
      <c r="P101" s="54"/>
      <c r="Q101" s="54"/>
      <c r="R101" s="54"/>
      <c r="S101" s="54"/>
      <c r="T101" s="54"/>
      <c r="U101" s="54"/>
      <c r="V101" s="54"/>
      <c r="W101" s="55" t="s">
        <v>141</v>
      </c>
      <c r="X101" s="57" t="s">
        <v>192</v>
      </c>
      <c r="Y101" s="58" t="s">
        <v>142</v>
      </c>
      <c r="Z101" s="59" t="s">
        <v>193</v>
      </c>
      <c r="AA101" s="60" t="s">
        <v>194</v>
      </c>
      <c r="AB101" s="57" t="s">
        <v>165</v>
      </c>
      <c r="AC101" s="55" t="s">
        <v>195</v>
      </c>
      <c r="AD101" s="55" t="s">
        <v>196</v>
      </c>
      <c r="AE101" s="57" t="s">
        <v>197</v>
      </c>
      <c r="AF101" s="55" t="s">
        <v>198</v>
      </c>
      <c r="AG101" s="61"/>
      <c r="AH101" s="77"/>
      <c r="AI101" s="61"/>
    </row>
    <row r="102" spans="1:35" ht="12.75" x14ac:dyDescent="0.2">
      <c r="A102" s="55" t="s">
        <v>199</v>
      </c>
      <c r="B102" s="62">
        <v>0.05</v>
      </c>
      <c r="C102" s="62">
        <v>0.1</v>
      </c>
      <c r="D102" s="62">
        <v>0.2</v>
      </c>
      <c r="E102" s="62">
        <v>0.5</v>
      </c>
      <c r="F102" s="62">
        <v>1</v>
      </c>
      <c r="G102" s="62">
        <v>2</v>
      </c>
      <c r="H102" s="62">
        <v>5</v>
      </c>
      <c r="I102" s="62">
        <v>10</v>
      </c>
      <c r="K102" s="56"/>
      <c r="L102" s="55" t="s">
        <v>199</v>
      </c>
      <c r="M102" s="62">
        <v>0.05</v>
      </c>
      <c r="N102" s="62">
        <v>0.1</v>
      </c>
      <c r="O102" s="62">
        <v>0.2</v>
      </c>
      <c r="P102" s="62">
        <v>0.5</v>
      </c>
      <c r="Q102" s="62">
        <v>1</v>
      </c>
      <c r="R102" s="62">
        <v>2</v>
      </c>
      <c r="S102" s="62">
        <v>5</v>
      </c>
      <c r="T102" s="62">
        <v>10</v>
      </c>
      <c r="U102" s="62">
        <v>20</v>
      </c>
      <c r="V102" s="62">
        <v>50</v>
      </c>
      <c r="W102" s="54"/>
      <c r="X102" s="54"/>
      <c r="Z102" s="63"/>
      <c r="AA102" s="64"/>
      <c r="AB102" s="54"/>
      <c r="AC102" s="54"/>
      <c r="AD102" s="54"/>
      <c r="AE102" s="54"/>
      <c r="AF102" s="54"/>
      <c r="AH102" s="41"/>
    </row>
    <row r="103" spans="1:35" ht="12.75" x14ac:dyDescent="0.2">
      <c r="A103" s="55" t="s">
        <v>200</v>
      </c>
      <c r="B103" s="38">
        <v>98</v>
      </c>
      <c r="C103" s="38">
        <v>23</v>
      </c>
      <c r="D103" s="65">
        <v>8</v>
      </c>
      <c r="E103" s="65">
        <v>8</v>
      </c>
      <c r="F103" s="65">
        <v>3</v>
      </c>
      <c r="G103" s="65">
        <v>3</v>
      </c>
      <c r="H103" s="65">
        <v>2</v>
      </c>
      <c r="I103" s="65"/>
      <c r="J103" s="54"/>
      <c r="K103" s="56"/>
      <c r="L103" s="55" t="s">
        <v>200</v>
      </c>
      <c r="M103" s="38">
        <v>94</v>
      </c>
      <c r="N103" s="38">
        <v>12</v>
      </c>
      <c r="O103" s="65">
        <v>12</v>
      </c>
      <c r="P103" s="65">
        <v>3</v>
      </c>
      <c r="Q103" s="65">
        <v>3</v>
      </c>
      <c r="R103" s="65">
        <v>6</v>
      </c>
      <c r="S103" s="65">
        <v>10</v>
      </c>
      <c r="T103" s="65">
        <v>3</v>
      </c>
      <c r="U103" s="65">
        <v>7</v>
      </c>
      <c r="V103" s="65">
        <v>3</v>
      </c>
      <c r="W103" s="65"/>
      <c r="X103" s="54"/>
      <c r="Z103" s="63"/>
      <c r="AA103" s="64"/>
      <c r="AB103" s="54"/>
      <c r="AC103" s="54"/>
      <c r="AD103" s="54"/>
      <c r="AE103" s="54"/>
      <c r="AF103" s="54"/>
      <c r="AH103" s="41"/>
    </row>
    <row r="104" spans="1:35" ht="12.75" x14ac:dyDescent="0.2">
      <c r="A104" s="55" t="s">
        <v>141</v>
      </c>
      <c r="B104" s="70">
        <f t="shared" ref="B104:I104" si="34">B103*B102</f>
        <v>4.9000000000000004</v>
      </c>
      <c r="C104" s="70">
        <f t="shared" si="34"/>
        <v>2.3000000000000003</v>
      </c>
      <c r="D104" s="70">
        <f t="shared" si="34"/>
        <v>1.6</v>
      </c>
      <c r="E104" s="70">
        <f t="shared" si="34"/>
        <v>4</v>
      </c>
      <c r="F104" s="70">
        <f t="shared" si="34"/>
        <v>3</v>
      </c>
      <c r="G104" s="70">
        <f t="shared" si="34"/>
        <v>6</v>
      </c>
      <c r="H104" s="65">
        <f t="shared" si="34"/>
        <v>10</v>
      </c>
      <c r="I104" s="65">
        <f t="shared" si="34"/>
        <v>0</v>
      </c>
      <c r="J104" s="54">
        <f>SUM(B104:I104)</f>
        <v>31.8</v>
      </c>
      <c r="K104" s="56"/>
      <c r="L104" s="55" t="s">
        <v>141</v>
      </c>
      <c r="M104" s="70">
        <f t="shared" ref="M104:V104" si="35">M103*M102</f>
        <v>4.7</v>
      </c>
      <c r="N104" s="70">
        <f t="shared" si="35"/>
        <v>1.2000000000000002</v>
      </c>
      <c r="O104" s="70">
        <f t="shared" si="35"/>
        <v>2.4000000000000004</v>
      </c>
      <c r="P104" s="70">
        <f t="shared" si="35"/>
        <v>1.5</v>
      </c>
      <c r="Q104" s="70">
        <f t="shared" si="35"/>
        <v>3</v>
      </c>
      <c r="R104" s="70">
        <f t="shared" si="35"/>
        <v>12</v>
      </c>
      <c r="S104" s="70">
        <f t="shared" si="35"/>
        <v>50</v>
      </c>
      <c r="T104" s="70">
        <f t="shared" si="35"/>
        <v>30</v>
      </c>
      <c r="U104" s="70">
        <f t="shared" si="35"/>
        <v>140</v>
      </c>
      <c r="V104" s="70">
        <f t="shared" si="35"/>
        <v>150</v>
      </c>
      <c r="W104" s="54">
        <f>SUM(M104:V104)</f>
        <v>394.8</v>
      </c>
      <c r="X104" s="55">
        <f>W104-J104</f>
        <v>363</v>
      </c>
      <c r="Y104" s="63">
        <v>179.73</v>
      </c>
      <c r="Z104" s="63">
        <v>47.8</v>
      </c>
      <c r="AA104" s="66">
        <f>X104+Z104</f>
        <v>410.8</v>
      </c>
      <c r="AB104" s="55">
        <v>80</v>
      </c>
      <c r="AC104" s="55">
        <f>Y104-AB104</f>
        <v>99.72999999999999</v>
      </c>
      <c r="AD104" s="55">
        <f>X104-Y104</f>
        <v>183.27</v>
      </c>
      <c r="AE104" s="55">
        <v>33</v>
      </c>
      <c r="AF104" s="55">
        <f>AD104-AE104</f>
        <v>150.27000000000001</v>
      </c>
      <c r="AG104" s="61"/>
      <c r="AH104" s="77">
        <f>(SUM(Y104:Z104)/(1+10/100))*(10/100)</f>
        <v>20.684545454545454</v>
      </c>
      <c r="AI104" s="61"/>
    </row>
    <row r="105" spans="1:35" ht="12.75" x14ac:dyDescent="0.2">
      <c r="AE105" s="38" t="s">
        <v>260</v>
      </c>
    </row>
    <row r="107" spans="1:35" ht="51" x14ac:dyDescent="0.2">
      <c r="A107" s="52" t="s">
        <v>135</v>
      </c>
      <c r="B107" s="53">
        <v>45738</v>
      </c>
      <c r="C107" s="54"/>
      <c r="D107" s="54"/>
      <c r="E107" s="54"/>
      <c r="F107" s="54"/>
      <c r="G107" s="54"/>
      <c r="H107" s="54"/>
      <c r="I107" s="54"/>
      <c r="J107" s="55"/>
      <c r="K107" s="56"/>
      <c r="L107" s="52" t="s">
        <v>136</v>
      </c>
      <c r="M107" s="53">
        <v>45738</v>
      </c>
      <c r="N107" s="54"/>
      <c r="O107" s="54"/>
      <c r="P107" s="54"/>
      <c r="Q107" s="54"/>
      <c r="R107" s="54"/>
      <c r="S107" s="54"/>
      <c r="T107" s="54"/>
      <c r="U107" s="54"/>
      <c r="V107" s="54"/>
      <c r="W107" s="55" t="s">
        <v>141</v>
      </c>
      <c r="X107" s="57" t="s">
        <v>192</v>
      </c>
      <c r="Y107" s="58" t="s">
        <v>142</v>
      </c>
      <c r="Z107" s="59" t="s">
        <v>193</v>
      </c>
      <c r="AA107" s="60" t="s">
        <v>194</v>
      </c>
      <c r="AB107" s="57" t="s">
        <v>165</v>
      </c>
      <c r="AC107" s="55" t="s">
        <v>195</v>
      </c>
      <c r="AD107" s="55" t="s">
        <v>196</v>
      </c>
      <c r="AE107" s="57" t="s">
        <v>197</v>
      </c>
      <c r="AF107" s="55" t="s">
        <v>198</v>
      </c>
      <c r="AG107" s="61"/>
      <c r="AH107" s="77"/>
      <c r="AI107" s="61"/>
    </row>
    <row r="108" spans="1:35" ht="12.75" x14ac:dyDescent="0.2">
      <c r="A108" s="55" t="s">
        <v>199</v>
      </c>
      <c r="B108" s="62">
        <v>0.05</v>
      </c>
      <c r="C108" s="62">
        <v>0.1</v>
      </c>
      <c r="D108" s="62">
        <v>0.2</v>
      </c>
      <c r="E108" s="62">
        <v>0.5</v>
      </c>
      <c r="F108" s="62">
        <v>1</v>
      </c>
      <c r="G108" s="62">
        <v>2</v>
      </c>
      <c r="H108" s="62">
        <v>5</v>
      </c>
      <c r="I108" s="62">
        <v>10</v>
      </c>
      <c r="K108" s="56"/>
      <c r="L108" s="55" t="s">
        <v>199</v>
      </c>
      <c r="M108" s="62">
        <v>0.05</v>
      </c>
      <c r="N108" s="62">
        <v>0.1</v>
      </c>
      <c r="O108" s="62">
        <v>0.2</v>
      </c>
      <c r="P108" s="62">
        <v>0.5</v>
      </c>
      <c r="Q108" s="62">
        <v>1</v>
      </c>
      <c r="R108" s="62">
        <v>2</v>
      </c>
      <c r="S108" s="62">
        <v>5</v>
      </c>
      <c r="T108" s="62">
        <v>10</v>
      </c>
      <c r="U108" s="62">
        <v>20</v>
      </c>
      <c r="V108" s="62">
        <v>50</v>
      </c>
      <c r="W108" s="54"/>
      <c r="X108" s="54"/>
      <c r="Z108" s="63"/>
      <c r="AA108" s="64"/>
      <c r="AB108" s="54"/>
      <c r="AC108" s="54"/>
      <c r="AD108" s="54"/>
      <c r="AE108" s="54"/>
      <c r="AF108" s="54"/>
      <c r="AH108" s="41"/>
    </row>
    <row r="109" spans="1:35" ht="12.75" x14ac:dyDescent="0.2">
      <c r="A109" s="55" t="s">
        <v>200</v>
      </c>
      <c r="B109" s="38">
        <v>94</v>
      </c>
      <c r="C109" s="38">
        <v>12</v>
      </c>
      <c r="D109" s="65">
        <v>12</v>
      </c>
      <c r="E109" s="65">
        <v>3</v>
      </c>
      <c r="F109" s="65">
        <v>3</v>
      </c>
      <c r="G109" s="65">
        <v>6</v>
      </c>
      <c r="H109" s="65">
        <v>2</v>
      </c>
      <c r="I109" s="65"/>
      <c r="J109" s="54"/>
      <c r="K109" s="56"/>
      <c r="L109" s="55" t="s">
        <v>200</v>
      </c>
      <c r="M109" s="38">
        <v>94</v>
      </c>
      <c r="N109" s="38">
        <v>21</v>
      </c>
      <c r="O109" s="65">
        <v>11</v>
      </c>
      <c r="P109" s="65">
        <v>2</v>
      </c>
      <c r="Q109" s="65">
        <v>10</v>
      </c>
      <c r="R109" s="65">
        <v>4</v>
      </c>
      <c r="S109" s="65">
        <v>7</v>
      </c>
      <c r="T109" s="65">
        <v>10</v>
      </c>
      <c r="U109" s="65">
        <v>4</v>
      </c>
      <c r="V109" s="65">
        <v>1</v>
      </c>
      <c r="W109" s="65"/>
      <c r="X109" s="54"/>
      <c r="Z109" s="63"/>
      <c r="AA109" s="64"/>
      <c r="AB109" s="54"/>
      <c r="AC109" s="54"/>
      <c r="AD109" s="54"/>
      <c r="AE109" s="54"/>
      <c r="AF109" s="54"/>
      <c r="AH109" s="41"/>
    </row>
    <row r="110" spans="1:35" ht="12.75" x14ac:dyDescent="0.2">
      <c r="A110" s="55" t="s">
        <v>141</v>
      </c>
      <c r="B110" s="70">
        <f t="shared" ref="B110:I110" si="36">B109*B108</f>
        <v>4.7</v>
      </c>
      <c r="C110" s="70">
        <f t="shared" si="36"/>
        <v>1.2000000000000002</v>
      </c>
      <c r="D110" s="70">
        <f t="shared" si="36"/>
        <v>2.4000000000000004</v>
      </c>
      <c r="E110" s="70">
        <f t="shared" si="36"/>
        <v>1.5</v>
      </c>
      <c r="F110" s="70">
        <f t="shared" si="36"/>
        <v>3</v>
      </c>
      <c r="G110" s="70">
        <f t="shared" si="36"/>
        <v>12</v>
      </c>
      <c r="H110" s="65">
        <f t="shared" si="36"/>
        <v>10</v>
      </c>
      <c r="I110" s="65">
        <f t="shared" si="36"/>
        <v>0</v>
      </c>
      <c r="J110" s="54">
        <f>SUM(B110:I110)</f>
        <v>34.799999999999997</v>
      </c>
      <c r="K110" s="56"/>
      <c r="L110" s="55" t="s">
        <v>141</v>
      </c>
      <c r="M110" s="70">
        <f t="shared" ref="M110:V110" si="37">M109*M108</f>
        <v>4.7</v>
      </c>
      <c r="N110" s="70">
        <f t="shared" si="37"/>
        <v>2.1</v>
      </c>
      <c r="O110" s="70">
        <f t="shared" si="37"/>
        <v>2.2000000000000002</v>
      </c>
      <c r="P110" s="70">
        <f t="shared" si="37"/>
        <v>1</v>
      </c>
      <c r="Q110" s="70">
        <f t="shared" si="37"/>
        <v>10</v>
      </c>
      <c r="R110" s="70">
        <f t="shared" si="37"/>
        <v>8</v>
      </c>
      <c r="S110" s="70">
        <f t="shared" si="37"/>
        <v>35</v>
      </c>
      <c r="T110" s="70">
        <f t="shared" si="37"/>
        <v>100</v>
      </c>
      <c r="U110" s="70">
        <f t="shared" si="37"/>
        <v>80</v>
      </c>
      <c r="V110" s="70">
        <f t="shared" si="37"/>
        <v>50</v>
      </c>
      <c r="W110" s="54">
        <f>SUM(M110:V110)</f>
        <v>293</v>
      </c>
      <c r="X110" s="55">
        <f>W110-J110</f>
        <v>258.2</v>
      </c>
      <c r="Y110" s="63">
        <v>132.4</v>
      </c>
      <c r="Z110" s="63">
        <v>49</v>
      </c>
      <c r="AA110" s="66">
        <f>X110+Z110</f>
        <v>307.2</v>
      </c>
      <c r="AB110" s="55">
        <v>50</v>
      </c>
      <c r="AC110" s="55">
        <f>Y110-AB110</f>
        <v>82.4</v>
      </c>
      <c r="AD110" s="55">
        <f>X110-Y110</f>
        <v>125.79999999999998</v>
      </c>
      <c r="AE110" s="55"/>
      <c r="AF110" s="55">
        <f>AD110-AE110</f>
        <v>125.79999999999998</v>
      </c>
      <c r="AG110" s="61"/>
      <c r="AH110" s="77">
        <f>(SUM(Y110:Z110)/(1+10/100))*(10/100)</f>
        <v>16.490909090909092</v>
      </c>
      <c r="AI110" s="61"/>
    </row>
    <row r="113" spans="1:35" ht="51" x14ac:dyDescent="0.2">
      <c r="A113" s="52" t="s">
        <v>135</v>
      </c>
      <c r="B113" s="53">
        <v>45740</v>
      </c>
      <c r="C113" s="54"/>
      <c r="D113" s="54"/>
      <c r="E113" s="54"/>
      <c r="F113" s="54"/>
      <c r="G113" s="54"/>
      <c r="H113" s="54"/>
      <c r="I113" s="54"/>
      <c r="J113" s="55"/>
      <c r="K113" s="56"/>
      <c r="L113" s="52" t="s">
        <v>136</v>
      </c>
      <c r="M113" s="53">
        <v>45740</v>
      </c>
      <c r="N113" s="54"/>
      <c r="O113" s="54"/>
      <c r="P113" s="54"/>
      <c r="Q113" s="54"/>
      <c r="R113" s="54"/>
      <c r="S113" s="54"/>
      <c r="T113" s="54"/>
      <c r="U113" s="54"/>
      <c r="V113" s="54"/>
      <c r="W113" s="55" t="s">
        <v>141</v>
      </c>
      <c r="X113" s="57" t="s">
        <v>192</v>
      </c>
      <c r="Y113" s="58" t="s">
        <v>142</v>
      </c>
      <c r="Z113" s="59" t="s">
        <v>193</v>
      </c>
      <c r="AA113" s="60" t="s">
        <v>194</v>
      </c>
      <c r="AB113" s="57" t="s">
        <v>165</v>
      </c>
      <c r="AC113" s="55" t="s">
        <v>195</v>
      </c>
      <c r="AD113" s="55" t="s">
        <v>196</v>
      </c>
      <c r="AE113" s="57" t="s">
        <v>197</v>
      </c>
      <c r="AF113" s="55" t="s">
        <v>198</v>
      </c>
      <c r="AG113" s="61"/>
      <c r="AH113" s="77"/>
      <c r="AI113" s="61"/>
    </row>
    <row r="114" spans="1:35" ht="12.75" x14ac:dyDescent="0.2">
      <c r="A114" s="55" t="s">
        <v>199</v>
      </c>
      <c r="B114" s="62">
        <v>0.05</v>
      </c>
      <c r="C114" s="62">
        <v>0.1</v>
      </c>
      <c r="D114" s="62">
        <v>0.2</v>
      </c>
      <c r="E114" s="62">
        <v>0.5</v>
      </c>
      <c r="F114" s="62">
        <v>1</v>
      </c>
      <c r="G114" s="62">
        <v>2</v>
      </c>
      <c r="H114" s="62">
        <v>5</v>
      </c>
      <c r="I114" s="62">
        <v>10</v>
      </c>
      <c r="K114" s="56"/>
      <c r="L114" s="55" t="s">
        <v>199</v>
      </c>
      <c r="M114" s="62">
        <v>0.05</v>
      </c>
      <c r="N114" s="62">
        <v>0.1</v>
      </c>
      <c r="O114" s="62">
        <v>0.2</v>
      </c>
      <c r="P114" s="62">
        <v>0.5</v>
      </c>
      <c r="Q114" s="62">
        <v>1</v>
      </c>
      <c r="R114" s="62">
        <v>2</v>
      </c>
      <c r="S114" s="62">
        <v>5</v>
      </c>
      <c r="T114" s="62">
        <v>10</v>
      </c>
      <c r="U114" s="62">
        <v>20</v>
      </c>
      <c r="V114" s="62">
        <v>50</v>
      </c>
      <c r="W114" s="54"/>
      <c r="X114" s="54"/>
      <c r="Z114" s="63"/>
      <c r="AA114" s="64"/>
      <c r="AB114" s="54"/>
      <c r="AC114" s="54"/>
      <c r="AD114" s="54"/>
      <c r="AE114" s="54"/>
      <c r="AF114" s="54"/>
      <c r="AH114" s="41"/>
    </row>
    <row r="115" spans="1:35" ht="12.75" x14ac:dyDescent="0.2">
      <c r="A115" s="55" t="s">
        <v>200</v>
      </c>
      <c r="B115" s="38">
        <v>94</v>
      </c>
      <c r="C115" s="38">
        <v>21</v>
      </c>
      <c r="D115" s="65">
        <v>11</v>
      </c>
      <c r="E115" s="65">
        <v>2</v>
      </c>
      <c r="F115" s="65">
        <v>10</v>
      </c>
      <c r="G115" s="65">
        <v>4</v>
      </c>
      <c r="H115" s="65">
        <v>2</v>
      </c>
      <c r="I115" s="65"/>
      <c r="J115" s="54"/>
      <c r="K115" s="56"/>
      <c r="L115" s="55" t="s">
        <v>200</v>
      </c>
      <c r="M115" s="38">
        <v>94</v>
      </c>
      <c r="N115" s="38">
        <v>21</v>
      </c>
      <c r="O115" s="65">
        <v>22</v>
      </c>
      <c r="P115" s="65">
        <v>35</v>
      </c>
      <c r="Q115" s="65">
        <v>17</v>
      </c>
      <c r="R115" s="65">
        <v>6</v>
      </c>
      <c r="S115" s="65">
        <v>6</v>
      </c>
      <c r="T115" s="65">
        <v>12</v>
      </c>
      <c r="U115" s="65">
        <v>6</v>
      </c>
      <c r="V115" s="65">
        <v>0</v>
      </c>
      <c r="W115" s="65"/>
      <c r="X115" s="54"/>
      <c r="Z115" s="63"/>
      <c r="AA115" s="64"/>
      <c r="AB115" s="54"/>
      <c r="AC115" s="54"/>
      <c r="AD115" s="54"/>
      <c r="AE115" s="54"/>
      <c r="AF115" s="54"/>
      <c r="AH115" s="41"/>
    </row>
    <row r="116" spans="1:35" ht="12.75" x14ac:dyDescent="0.2">
      <c r="A116" s="55" t="s">
        <v>141</v>
      </c>
      <c r="B116" s="70">
        <f t="shared" ref="B116:I116" si="38">B115*B114</f>
        <v>4.7</v>
      </c>
      <c r="C116" s="70">
        <f t="shared" si="38"/>
        <v>2.1</v>
      </c>
      <c r="D116" s="70">
        <f t="shared" si="38"/>
        <v>2.2000000000000002</v>
      </c>
      <c r="E116" s="70">
        <f t="shared" si="38"/>
        <v>1</v>
      </c>
      <c r="F116" s="70">
        <f t="shared" si="38"/>
        <v>10</v>
      </c>
      <c r="G116" s="70">
        <f t="shared" si="38"/>
        <v>8</v>
      </c>
      <c r="H116" s="65">
        <f t="shared" si="38"/>
        <v>10</v>
      </c>
      <c r="I116" s="65">
        <f t="shared" si="38"/>
        <v>0</v>
      </c>
      <c r="J116" s="54">
        <f>SUM(B116:I116)</f>
        <v>38</v>
      </c>
      <c r="K116" s="56"/>
      <c r="L116" s="55" t="s">
        <v>141</v>
      </c>
      <c r="M116" s="70">
        <f t="shared" ref="M116:V116" si="39">M115*M114</f>
        <v>4.7</v>
      </c>
      <c r="N116" s="70">
        <f t="shared" si="39"/>
        <v>2.1</v>
      </c>
      <c r="O116" s="70">
        <f t="shared" si="39"/>
        <v>4.4000000000000004</v>
      </c>
      <c r="P116" s="70">
        <f t="shared" si="39"/>
        <v>17.5</v>
      </c>
      <c r="Q116" s="70">
        <f t="shared" si="39"/>
        <v>17</v>
      </c>
      <c r="R116" s="70">
        <f t="shared" si="39"/>
        <v>12</v>
      </c>
      <c r="S116" s="70">
        <f t="shared" si="39"/>
        <v>30</v>
      </c>
      <c r="T116" s="70">
        <f t="shared" si="39"/>
        <v>120</v>
      </c>
      <c r="U116" s="70">
        <f t="shared" si="39"/>
        <v>120</v>
      </c>
      <c r="V116" s="70">
        <f t="shared" si="39"/>
        <v>0</v>
      </c>
      <c r="W116" s="54">
        <f>SUM(M116:V116)</f>
        <v>327.7</v>
      </c>
      <c r="X116" s="55">
        <f>W116-J116</f>
        <v>289.7</v>
      </c>
      <c r="Y116" s="63">
        <v>168.3</v>
      </c>
      <c r="Z116" s="63">
        <v>67.3</v>
      </c>
      <c r="AA116" s="66">
        <f>X116+Z116</f>
        <v>357</v>
      </c>
      <c r="AB116" s="55">
        <v>60</v>
      </c>
      <c r="AC116" s="55">
        <f>Y116-AB116</f>
        <v>108.30000000000001</v>
      </c>
      <c r="AD116" s="55">
        <f>X116-Y116</f>
        <v>121.39999999999998</v>
      </c>
      <c r="AE116" s="55"/>
      <c r="AF116" s="55">
        <f>AD116-AE116</f>
        <v>121.39999999999998</v>
      </c>
      <c r="AG116" s="61"/>
      <c r="AH116" s="77">
        <f>(SUM(Y116:Z116)/(1+10/100))*(10/100)</f>
        <v>21.418181818181822</v>
      </c>
      <c r="AI116" s="61"/>
    </row>
    <row r="117" spans="1:35" ht="12.75" x14ac:dyDescent="0.2">
      <c r="AC117" s="38">
        <v>-8.3000000000000007</v>
      </c>
    </row>
    <row r="118" spans="1:35" ht="12.75" x14ac:dyDescent="0.2">
      <c r="B118" s="82"/>
    </row>
    <row r="119" spans="1:35" ht="51" x14ac:dyDescent="0.2">
      <c r="A119" s="52" t="s">
        <v>135</v>
      </c>
      <c r="B119" s="53">
        <v>45741</v>
      </c>
      <c r="C119" s="54"/>
      <c r="D119" s="54"/>
      <c r="E119" s="54"/>
      <c r="F119" s="54"/>
      <c r="G119" s="54"/>
      <c r="H119" s="54"/>
      <c r="I119" s="54"/>
      <c r="J119" s="55"/>
      <c r="K119" s="56"/>
      <c r="L119" s="52" t="s">
        <v>136</v>
      </c>
      <c r="M119" s="53">
        <v>45741</v>
      </c>
      <c r="N119" s="54"/>
      <c r="O119" s="54"/>
      <c r="P119" s="54"/>
      <c r="Q119" s="54"/>
      <c r="R119" s="54"/>
      <c r="S119" s="54"/>
      <c r="T119" s="54"/>
      <c r="U119" s="54"/>
      <c r="V119" s="54"/>
      <c r="W119" s="55" t="s">
        <v>141</v>
      </c>
      <c r="X119" s="57" t="s">
        <v>192</v>
      </c>
      <c r="Y119" s="58" t="s">
        <v>142</v>
      </c>
      <c r="Z119" s="59" t="s">
        <v>193</v>
      </c>
      <c r="AA119" s="60" t="s">
        <v>194</v>
      </c>
      <c r="AB119" s="57" t="s">
        <v>165</v>
      </c>
      <c r="AC119" s="55" t="s">
        <v>195</v>
      </c>
      <c r="AD119" s="55" t="s">
        <v>196</v>
      </c>
      <c r="AE119" s="57" t="s">
        <v>197</v>
      </c>
      <c r="AF119" s="55" t="s">
        <v>198</v>
      </c>
      <c r="AG119" s="61"/>
      <c r="AH119" s="77"/>
      <c r="AI119" s="61"/>
    </row>
    <row r="120" spans="1:35" ht="12.75" x14ac:dyDescent="0.2">
      <c r="A120" s="55" t="s">
        <v>199</v>
      </c>
      <c r="B120" s="62">
        <v>0.05</v>
      </c>
      <c r="C120" s="62">
        <v>0.1</v>
      </c>
      <c r="D120" s="62">
        <v>0.2</v>
      </c>
      <c r="E120" s="62">
        <v>0.5</v>
      </c>
      <c r="F120" s="62">
        <v>1</v>
      </c>
      <c r="G120" s="62">
        <v>2</v>
      </c>
      <c r="H120" s="62">
        <v>5</v>
      </c>
      <c r="I120" s="62">
        <v>10</v>
      </c>
      <c r="K120" s="56"/>
      <c r="L120" s="55" t="s">
        <v>199</v>
      </c>
      <c r="M120" s="62">
        <v>0.05</v>
      </c>
      <c r="N120" s="62">
        <v>0.1</v>
      </c>
      <c r="O120" s="62">
        <v>0.2</v>
      </c>
      <c r="P120" s="62">
        <v>0.5</v>
      </c>
      <c r="Q120" s="62">
        <v>1</v>
      </c>
      <c r="R120" s="62">
        <v>2</v>
      </c>
      <c r="S120" s="62">
        <v>5</v>
      </c>
      <c r="T120" s="62">
        <v>10</v>
      </c>
      <c r="U120" s="62">
        <v>20</v>
      </c>
      <c r="V120" s="62">
        <v>50</v>
      </c>
      <c r="W120" s="54"/>
      <c r="X120" s="54"/>
      <c r="Z120" s="63"/>
      <c r="AA120" s="64"/>
      <c r="AB120" s="54"/>
      <c r="AC120" s="54"/>
      <c r="AD120" s="54"/>
      <c r="AE120" s="54"/>
      <c r="AF120" s="54"/>
      <c r="AH120" s="41"/>
    </row>
    <row r="121" spans="1:35" ht="12.75" x14ac:dyDescent="0.2">
      <c r="A121" s="55" t="s">
        <v>200</v>
      </c>
      <c r="B121" s="38">
        <v>94</v>
      </c>
      <c r="C121" s="38">
        <v>21</v>
      </c>
      <c r="D121" s="65">
        <v>22</v>
      </c>
      <c r="E121" s="65">
        <v>10</v>
      </c>
      <c r="F121" s="65">
        <v>10</v>
      </c>
      <c r="G121" s="65">
        <v>5</v>
      </c>
      <c r="H121" s="65">
        <v>1</v>
      </c>
      <c r="I121" s="65"/>
      <c r="J121" s="54"/>
      <c r="K121" s="56"/>
      <c r="L121" s="55" t="s">
        <v>200</v>
      </c>
      <c r="M121" s="38">
        <v>95</v>
      </c>
      <c r="N121" s="38">
        <v>18</v>
      </c>
      <c r="O121" s="65">
        <v>14</v>
      </c>
      <c r="P121" s="65">
        <v>3</v>
      </c>
      <c r="Q121" s="65">
        <v>9</v>
      </c>
      <c r="R121" s="65">
        <v>7</v>
      </c>
      <c r="S121" s="65">
        <v>6</v>
      </c>
      <c r="T121" s="65">
        <v>7</v>
      </c>
      <c r="U121" s="65">
        <v>2</v>
      </c>
      <c r="V121" s="65">
        <v>1</v>
      </c>
      <c r="W121" s="65"/>
      <c r="X121" s="54"/>
      <c r="Z121" s="63"/>
      <c r="AA121" s="64"/>
      <c r="AB121" s="54"/>
      <c r="AC121" s="54"/>
      <c r="AD121" s="54"/>
      <c r="AE121" s="54"/>
      <c r="AF121" s="54"/>
      <c r="AH121" s="41"/>
    </row>
    <row r="122" spans="1:35" ht="12.75" x14ac:dyDescent="0.2">
      <c r="A122" s="55" t="s">
        <v>141</v>
      </c>
      <c r="B122" s="70">
        <f t="shared" ref="B122:I122" si="40">B121*B120</f>
        <v>4.7</v>
      </c>
      <c r="C122" s="70">
        <f t="shared" si="40"/>
        <v>2.1</v>
      </c>
      <c r="D122" s="70">
        <f t="shared" si="40"/>
        <v>4.4000000000000004</v>
      </c>
      <c r="E122" s="70">
        <f t="shared" si="40"/>
        <v>5</v>
      </c>
      <c r="F122" s="70">
        <f t="shared" si="40"/>
        <v>10</v>
      </c>
      <c r="G122" s="70">
        <f t="shared" si="40"/>
        <v>10</v>
      </c>
      <c r="H122" s="65">
        <f t="shared" si="40"/>
        <v>5</v>
      </c>
      <c r="I122" s="65">
        <f t="shared" si="40"/>
        <v>0</v>
      </c>
      <c r="J122" s="54">
        <f>SUM(B122:I122)</f>
        <v>41.2</v>
      </c>
      <c r="K122" s="56"/>
      <c r="L122" s="55" t="s">
        <v>141</v>
      </c>
      <c r="M122" s="70">
        <f t="shared" ref="M122:V122" si="41">M121*M120</f>
        <v>4.75</v>
      </c>
      <c r="N122" s="70">
        <f t="shared" si="41"/>
        <v>1.8</v>
      </c>
      <c r="O122" s="70">
        <f t="shared" si="41"/>
        <v>2.8000000000000003</v>
      </c>
      <c r="P122" s="70">
        <f t="shared" si="41"/>
        <v>1.5</v>
      </c>
      <c r="Q122" s="70">
        <f t="shared" si="41"/>
        <v>9</v>
      </c>
      <c r="R122" s="70">
        <f t="shared" si="41"/>
        <v>14</v>
      </c>
      <c r="S122" s="70">
        <f t="shared" si="41"/>
        <v>30</v>
      </c>
      <c r="T122" s="70">
        <f t="shared" si="41"/>
        <v>70</v>
      </c>
      <c r="U122" s="70">
        <f t="shared" si="41"/>
        <v>40</v>
      </c>
      <c r="V122" s="70">
        <f t="shared" si="41"/>
        <v>50</v>
      </c>
      <c r="W122" s="54">
        <f>SUM(M122:V122)</f>
        <v>223.85</v>
      </c>
      <c r="X122" s="55">
        <f>W122-J122</f>
        <v>182.64999999999998</v>
      </c>
      <c r="Y122" s="63">
        <v>106.2</v>
      </c>
      <c r="Z122" s="63">
        <v>49.3</v>
      </c>
      <c r="AA122" s="66">
        <f>X122+Z122</f>
        <v>231.95</v>
      </c>
      <c r="AB122" s="55">
        <v>56.2</v>
      </c>
      <c r="AC122" s="55">
        <f>Y122-AB122</f>
        <v>50</v>
      </c>
      <c r="AD122" s="55">
        <f>X122-Y122</f>
        <v>76.449999999999974</v>
      </c>
      <c r="AE122" s="55">
        <v>6.45</v>
      </c>
      <c r="AF122" s="55">
        <f>AD122-AE122</f>
        <v>69.999999999999972</v>
      </c>
      <c r="AG122" s="61"/>
      <c r="AH122" s="77">
        <f>(SUM(Y122:Z122)/(1+10/100))*(10/100)</f>
        <v>14.136363636363635</v>
      </c>
      <c r="AI122" s="61"/>
    </row>
    <row r="125" spans="1:35" ht="51" x14ac:dyDescent="0.2">
      <c r="A125" s="52" t="s">
        <v>135</v>
      </c>
      <c r="B125" s="53">
        <v>45742</v>
      </c>
      <c r="C125" s="54"/>
      <c r="D125" s="54"/>
      <c r="E125" s="54"/>
      <c r="F125" s="54"/>
      <c r="G125" s="54"/>
      <c r="H125" s="54"/>
      <c r="I125" s="54"/>
      <c r="J125" s="55"/>
      <c r="K125" s="56"/>
      <c r="L125" s="52" t="s">
        <v>136</v>
      </c>
      <c r="M125" s="53">
        <v>45742</v>
      </c>
      <c r="N125" s="54"/>
      <c r="O125" s="54"/>
      <c r="P125" s="54"/>
      <c r="Q125" s="54"/>
      <c r="R125" s="54"/>
      <c r="S125" s="54"/>
      <c r="T125" s="54"/>
      <c r="U125" s="54"/>
      <c r="V125" s="54"/>
      <c r="W125" s="55" t="s">
        <v>141</v>
      </c>
      <c r="X125" s="57" t="s">
        <v>192</v>
      </c>
      <c r="Y125" s="58" t="s">
        <v>142</v>
      </c>
      <c r="Z125" s="59" t="s">
        <v>193</v>
      </c>
      <c r="AA125" s="60" t="s">
        <v>194</v>
      </c>
      <c r="AB125" s="57" t="s">
        <v>165</v>
      </c>
      <c r="AC125" s="55" t="s">
        <v>195</v>
      </c>
      <c r="AD125" s="55" t="s">
        <v>196</v>
      </c>
      <c r="AE125" s="57" t="s">
        <v>197</v>
      </c>
      <c r="AF125" s="55" t="s">
        <v>198</v>
      </c>
      <c r="AG125" s="61"/>
      <c r="AH125" s="77"/>
      <c r="AI125" s="61"/>
    </row>
    <row r="126" spans="1:35" ht="12.75" x14ac:dyDescent="0.2">
      <c r="A126" s="55" t="s">
        <v>199</v>
      </c>
      <c r="B126" s="62">
        <v>0.05</v>
      </c>
      <c r="C126" s="62">
        <v>0.1</v>
      </c>
      <c r="D126" s="62">
        <v>0.2</v>
      </c>
      <c r="E126" s="62">
        <v>0.5</v>
      </c>
      <c r="F126" s="62">
        <v>1</v>
      </c>
      <c r="G126" s="62">
        <v>2</v>
      </c>
      <c r="H126" s="62">
        <v>5</v>
      </c>
      <c r="I126" s="62">
        <v>10</v>
      </c>
      <c r="K126" s="56"/>
      <c r="L126" s="55" t="s">
        <v>199</v>
      </c>
      <c r="M126" s="62">
        <v>0.05</v>
      </c>
      <c r="N126" s="62">
        <v>0.1</v>
      </c>
      <c r="O126" s="62">
        <v>0.2</v>
      </c>
      <c r="P126" s="62">
        <v>0.5</v>
      </c>
      <c r="Q126" s="62">
        <v>1</v>
      </c>
      <c r="R126" s="62">
        <v>2</v>
      </c>
      <c r="S126" s="62">
        <v>5</v>
      </c>
      <c r="T126" s="62">
        <v>10</v>
      </c>
      <c r="U126" s="62">
        <v>20</v>
      </c>
      <c r="V126" s="62">
        <v>50</v>
      </c>
      <c r="W126" s="54"/>
      <c r="X126" s="54"/>
      <c r="Z126" s="63"/>
      <c r="AA126" s="64"/>
      <c r="AB126" s="54"/>
      <c r="AC126" s="54"/>
      <c r="AD126" s="54"/>
      <c r="AE126" s="54"/>
      <c r="AF126" s="54"/>
      <c r="AH126" s="41"/>
    </row>
    <row r="127" spans="1:35" ht="12.75" x14ac:dyDescent="0.2">
      <c r="A127" s="55" t="s">
        <v>200</v>
      </c>
      <c r="B127" s="38">
        <v>95</v>
      </c>
      <c r="C127" s="38">
        <v>18</v>
      </c>
      <c r="D127" s="65">
        <v>14</v>
      </c>
      <c r="E127" s="65">
        <v>3</v>
      </c>
      <c r="F127" s="65">
        <v>9</v>
      </c>
      <c r="G127" s="65">
        <v>7</v>
      </c>
      <c r="H127" s="65">
        <v>2</v>
      </c>
      <c r="I127" s="65"/>
      <c r="J127" s="54"/>
      <c r="K127" s="56"/>
      <c r="L127" s="55" t="s">
        <v>200</v>
      </c>
      <c r="M127" s="38">
        <v>95</v>
      </c>
      <c r="N127" s="38">
        <v>10</v>
      </c>
      <c r="O127" s="65">
        <v>12</v>
      </c>
      <c r="P127" s="65">
        <v>4</v>
      </c>
      <c r="Q127" s="65">
        <v>8</v>
      </c>
      <c r="R127" s="65">
        <v>8</v>
      </c>
      <c r="S127" s="65">
        <v>3</v>
      </c>
      <c r="T127" s="65">
        <v>6</v>
      </c>
      <c r="U127" s="65">
        <v>10</v>
      </c>
      <c r="V127" s="65"/>
      <c r="W127" s="65"/>
      <c r="X127" s="54"/>
      <c r="Z127" s="63"/>
      <c r="AA127" s="64"/>
      <c r="AB127" s="54"/>
      <c r="AC127" s="54"/>
      <c r="AD127" s="54"/>
      <c r="AE127" s="54"/>
      <c r="AF127" s="54"/>
      <c r="AH127" s="41"/>
    </row>
    <row r="128" spans="1:35" ht="12.75" x14ac:dyDescent="0.2">
      <c r="A128" s="55" t="s">
        <v>141</v>
      </c>
      <c r="B128" s="70">
        <f t="shared" ref="B128:I128" si="42">B127*B126</f>
        <v>4.75</v>
      </c>
      <c r="C128" s="70">
        <f t="shared" si="42"/>
        <v>1.8</v>
      </c>
      <c r="D128" s="70">
        <f t="shared" si="42"/>
        <v>2.8000000000000003</v>
      </c>
      <c r="E128" s="70">
        <f t="shared" si="42"/>
        <v>1.5</v>
      </c>
      <c r="F128" s="70">
        <f t="shared" si="42"/>
        <v>9</v>
      </c>
      <c r="G128" s="70">
        <f t="shared" si="42"/>
        <v>14</v>
      </c>
      <c r="H128" s="65">
        <f t="shared" si="42"/>
        <v>10</v>
      </c>
      <c r="I128" s="65">
        <f t="shared" si="42"/>
        <v>0</v>
      </c>
      <c r="J128" s="54">
        <f>SUM(B128:I128)</f>
        <v>43.85</v>
      </c>
      <c r="K128" s="56"/>
      <c r="L128" s="55" t="s">
        <v>141</v>
      </c>
      <c r="M128" s="70">
        <f t="shared" ref="M128:V128" si="43">M127*M126</f>
        <v>4.75</v>
      </c>
      <c r="N128" s="70">
        <f t="shared" si="43"/>
        <v>1</v>
      </c>
      <c r="O128" s="70">
        <f t="shared" si="43"/>
        <v>2.4000000000000004</v>
      </c>
      <c r="P128" s="70">
        <f t="shared" si="43"/>
        <v>2</v>
      </c>
      <c r="Q128" s="70">
        <f t="shared" si="43"/>
        <v>8</v>
      </c>
      <c r="R128" s="70">
        <f t="shared" si="43"/>
        <v>16</v>
      </c>
      <c r="S128" s="70">
        <f t="shared" si="43"/>
        <v>15</v>
      </c>
      <c r="T128" s="70">
        <f t="shared" si="43"/>
        <v>60</v>
      </c>
      <c r="U128" s="70">
        <f t="shared" si="43"/>
        <v>200</v>
      </c>
      <c r="V128" s="70">
        <f t="shared" si="43"/>
        <v>0</v>
      </c>
      <c r="W128" s="54">
        <f>SUM(M128:V128)</f>
        <v>309.14999999999998</v>
      </c>
      <c r="X128" s="55">
        <f>W128-J128</f>
        <v>265.29999999999995</v>
      </c>
      <c r="Y128" s="63">
        <v>119.5</v>
      </c>
      <c r="Z128" s="63">
        <v>87.9</v>
      </c>
      <c r="AA128" s="66">
        <f>X128+Z128</f>
        <v>353.19999999999993</v>
      </c>
      <c r="AB128" s="55">
        <v>60</v>
      </c>
      <c r="AC128" s="55">
        <f>Y128-AB128</f>
        <v>59.5</v>
      </c>
      <c r="AD128" s="55">
        <f>X128-Y128</f>
        <v>145.79999999999995</v>
      </c>
      <c r="AE128" s="55">
        <v>45.8</v>
      </c>
      <c r="AF128" s="55">
        <f>AD128-AE128</f>
        <v>99.999999999999957</v>
      </c>
      <c r="AG128" s="61"/>
      <c r="AH128" s="77">
        <f>(SUM(Y128:Z128)/(1+10/100))*(10/100)</f>
        <v>18.854545454545455</v>
      </c>
      <c r="AI128" s="61"/>
    </row>
    <row r="131" spans="1:35" ht="51" x14ac:dyDescent="0.2">
      <c r="A131" s="83" t="s">
        <v>135</v>
      </c>
      <c r="B131" s="84">
        <v>45743</v>
      </c>
      <c r="C131" s="85"/>
      <c r="D131" s="85"/>
      <c r="E131" s="85"/>
      <c r="F131" s="85"/>
      <c r="G131" s="85"/>
      <c r="H131" s="85"/>
      <c r="I131" s="85"/>
      <c r="J131" s="85"/>
      <c r="K131" s="86"/>
      <c r="L131" s="83" t="s">
        <v>136</v>
      </c>
      <c r="M131" s="84">
        <v>45743</v>
      </c>
      <c r="N131" s="85"/>
      <c r="O131" s="85"/>
      <c r="P131" s="85"/>
      <c r="Q131" s="85"/>
      <c r="R131" s="85"/>
      <c r="S131" s="85"/>
      <c r="T131" s="85"/>
      <c r="U131" s="85"/>
      <c r="V131" s="85"/>
      <c r="W131" s="87" t="s">
        <v>141</v>
      </c>
      <c r="X131" s="88" t="s">
        <v>192</v>
      </c>
      <c r="Y131" s="89" t="s">
        <v>142</v>
      </c>
      <c r="Z131" s="90" t="s">
        <v>193</v>
      </c>
      <c r="AA131" s="91" t="s">
        <v>194</v>
      </c>
      <c r="AB131" s="88" t="s">
        <v>165</v>
      </c>
      <c r="AC131" s="87" t="s">
        <v>195</v>
      </c>
      <c r="AD131" s="87" t="s">
        <v>196</v>
      </c>
      <c r="AE131" s="88" t="s">
        <v>197</v>
      </c>
      <c r="AF131" s="87" t="s">
        <v>198</v>
      </c>
      <c r="AG131" s="49"/>
      <c r="AH131" s="92"/>
      <c r="AI131" s="49"/>
    </row>
    <row r="132" spans="1:35" ht="12.75" x14ac:dyDescent="0.2">
      <c r="A132" s="87" t="s">
        <v>199</v>
      </c>
      <c r="B132" s="93">
        <v>0.05</v>
      </c>
      <c r="C132" s="93">
        <v>0.1</v>
      </c>
      <c r="D132" s="93">
        <v>0.2</v>
      </c>
      <c r="E132" s="93">
        <v>0.5</v>
      </c>
      <c r="F132" s="93">
        <v>1</v>
      </c>
      <c r="G132" s="93">
        <v>2</v>
      </c>
      <c r="H132" s="93">
        <v>5</v>
      </c>
      <c r="I132" s="93">
        <v>10</v>
      </c>
      <c r="J132" s="49"/>
      <c r="K132" s="86"/>
      <c r="L132" s="87" t="s">
        <v>199</v>
      </c>
      <c r="M132" s="93">
        <v>0.05</v>
      </c>
      <c r="N132" s="93">
        <v>0.1</v>
      </c>
      <c r="O132" s="93">
        <v>0.2</v>
      </c>
      <c r="P132" s="93">
        <v>0.5</v>
      </c>
      <c r="Q132" s="93">
        <v>1</v>
      </c>
      <c r="R132" s="93">
        <v>2</v>
      </c>
      <c r="S132" s="93">
        <v>5</v>
      </c>
      <c r="T132" s="93">
        <v>10</v>
      </c>
      <c r="U132" s="93">
        <v>20</v>
      </c>
      <c r="V132" s="93">
        <v>50</v>
      </c>
      <c r="W132" s="85"/>
      <c r="X132" s="85"/>
      <c r="Y132" s="49"/>
      <c r="Z132" s="94"/>
      <c r="AA132" s="95"/>
      <c r="AB132" s="85"/>
      <c r="AC132" s="85"/>
      <c r="AD132" s="85"/>
      <c r="AE132" s="85"/>
      <c r="AF132" s="85"/>
      <c r="AG132" s="49"/>
      <c r="AH132" s="92"/>
      <c r="AI132" s="49"/>
    </row>
    <row r="133" spans="1:35" ht="12.75" x14ac:dyDescent="0.2">
      <c r="A133" s="87" t="s">
        <v>200</v>
      </c>
      <c r="B133" s="38">
        <v>95</v>
      </c>
      <c r="C133" s="38">
        <v>10</v>
      </c>
      <c r="D133" s="65">
        <v>12</v>
      </c>
      <c r="E133" s="65">
        <v>4</v>
      </c>
      <c r="F133" s="65">
        <v>8</v>
      </c>
      <c r="G133" s="65">
        <v>5</v>
      </c>
      <c r="H133" s="65">
        <v>2</v>
      </c>
      <c r="I133" s="85"/>
      <c r="J133" s="85"/>
      <c r="K133" s="86"/>
      <c r="L133" s="87" t="s">
        <v>200</v>
      </c>
      <c r="M133" s="49">
        <v>98</v>
      </c>
      <c r="N133" s="49">
        <v>21</v>
      </c>
      <c r="O133" s="85">
        <v>3</v>
      </c>
      <c r="P133" s="85">
        <v>4</v>
      </c>
      <c r="Q133" s="85">
        <v>19</v>
      </c>
      <c r="R133" s="85">
        <v>8</v>
      </c>
      <c r="S133" s="85">
        <v>14</v>
      </c>
      <c r="T133" s="85">
        <v>8</v>
      </c>
      <c r="U133" s="85">
        <v>6</v>
      </c>
      <c r="V133" s="85"/>
      <c r="W133" s="85"/>
      <c r="X133" s="85"/>
      <c r="Y133" s="49"/>
      <c r="Z133" s="94"/>
      <c r="AA133" s="95"/>
      <c r="AB133" s="85"/>
      <c r="AC133" s="85"/>
      <c r="AD133" s="85"/>
      <c r="AE133" s="85"/>
      <c r="AF133" s="85"/>
      <c r="AG133" s="49"/>
      <c r="AH133" s="92"/>
      <c r="AI133" s="49"/>
    </row>
    <row r="134" spans="1:35" ht="12.75" x14ac:dyDescent="0.2">
      <c r="A134" s="87" t="s">
        <v>141</v>
      </c>
      <c r="B134" s="70">
        <f t="shared" ref="B134:I134" si="44">B133*B132</f>
        <v>4.75</v>
      </c>
      <c r="C134" s="70">
        <f t="shared" si="44"/>
        <v>1</v>
      </c>
      <c r="D134" s="70">
        <f t="shared" si="44"/>
        <v>2.4000000000000004</v>
      </c>
      <c r="E134" s="70">
        <f t="shared" si="44"/>
        <v>2</v>
      </c>
      <c r="F134" s="70">
        <f t="shared" si="44"/>
        <v>8</v>
      </c>
      <c r="G134" s="70">
        <f t="shared" si="44"/>
        <v>10</v>
      </c>
      <c r="H134" s="70">
        <f t="shared" si="44"/>
        <v>10</v>
      </c>
      <c r="I134" s="70">
        <f t="shared" si="44"/>
        <v>0</v>
      </c>
      <c r="J134" s="70">
        <f>SUM(B134:I134)</f>
        <v>38.15</v>
      </c>
      <c r="K134" s="86"/>
      <c r="L134" s="87" t="s">
        <v>141</v>
      </c>
      <c r="M134" s="70">
        <f t="shared" ref="M134:V134" si="45">M133*M132</f>
        <v>4.9000000000000004</v>
      </c>
      <c r="N134" s="70">
        <f t="shared" si="45"/>
        <v>2.1</v>
      </c>
      <c r="O134" s="70">
        <f t="shared" si="45"/>
        <v>0.60000000000000009</v>
      </c>
      <c r="P134" s="70">
        <f t="shared" si="45"/>
        <v>2</v>
      </c>
      <c r="Q134" s="70">
        <f t="shared" si="45"/>
        <v>19</v>
      </c>
      <c r="R134" s="70">
        <f t="shared" si="45"/>
        <v>16</v>
      </c>
      <c r="S134" s="70">
        <f t="shared" si="45"/>
        <v>70</v>
      </c>
      <c r="T134" s="70">
        <f t="shared" si="45"/>
        <v>80</v>
      </c>
      <c r="U134" s="70">
        <f t="shared" si="45"/>
        <v>120</v>
      </c>
      <c r="V134" s="70">
        <f t="shared" si="45"/>
        <v>0</v>
      </c>
      <c r="W134" s="70">
        <f>SUM(M134:V134)</f>
        <v>314.60000000000002</v>
      </c>
      <c r="X134" s="96">
        <f>W134-J134</f>
        <v>276.45000000000005</v>
      </c>
      <c r="Y134" s="94">
        <v>127.2</v>
      </c>
      <c r="Z134" s="94">
        <v>71.400000000000006</v>
      </c>
      <c r="AA134" s="97">
        <f>X134+Z134</f>
        <v>347.85</v>
      </c>
      <c r="AB134" s="85">
        <v>50</v>
      </c>
      <c r="AC134" s="96">
        <f>Y134-AB134</f>
        <v>77.2</v>
      </c>
      <c r="AD134" s="96">
        <f>X134-Y134</f>
        <v>149.25000000000006</v>
      </c>
      <c r="AE134" s="85">
        <v>40</v>
      </c>
      <c r="AF134" s="96">
        <f>AD134-AE134</f>
        <v>109.25000000000006</v>
      </c>
      <c r="AG134" s="49"/>
      <c r="AH134" s="98">
        <f>(SUM(Y134:Z134)/(1+10/100))*(10/100)</f>
        <v>18.054545454545458</v>
      </c>
      <c r="AI134" s="49"/>
    </row>
    <row r="135" spans="1:35" ht="12.75" x14ac:dyDescent="0.2">
      <c r="AF135" s="38">
        <v>-2.25</v>
      </c>
    </row>
    <row r="137" spans="1:35" ht="51" x14ac:dyDescent="0.2">
      <c r="A137" s="83" t="s">
        <v>135</v>
      </c>
      <c r="B137" s="84">
        <v>45744</v>
      </c>
      <c r="C137" s="85"/>
      <c r="D137" s="85"/>
      <c r="E137" s="85"/>
      <c r="F137" s="85"/>
      <c r="G137" s="85"/>
      <c r="H137" s="85"/>
      <c r="I137" s="85"/>
      <c r="J137" s="85"/>
      <c r="K137" s="86"/>
      <c r="L137" s="83" t="s">
        <v>136</v>
      </c>
      <c r="M137" s="84">
        <v>45744</v>
      </c>
      <c r="N137" s="85"/>
      <c r="O137" s="85"/>
      <c r="P137" s="85"/>
      <c r="Q137" s="85"/>
      <c r="R137" s="85"/>
      <c r="S137" s="85"/>
      <c r="T137" s="85"/>
      <c r="U137" s="85"/>
      <c r="V137" s="85"/>
      <c r="W137" s="87" t="s">
        <v>141</v>
      </c>
      <c r="X137" s="88" t="s">
        <v>192</v>
      </c>
      <c r="Y137" s="89" t="s">
        <v>142</v>
      </c>
      <c r="Z137" s="90" t="s">
        <v>193</v>
      </c>
      <c r="AA137" s="91" t="s">
        <v>194</v>
      </c>
      <c r="AB137" s="88" t="s">
        <v>165</v>
      </c>
      <c r="AC137" s="87" t="s">
        <v>195</v>
      </c>
      <c r="AD137" s="87" t="s">
        <v>196</v>
      </c>
      <c r="AE137" s="88" t="s">
        <v>197</v>
      </c>
      <c r="AF137" s="87" t="s">
        <v>198</v>
      </c>
      <c r="AG137" s="49"/>
      <c r="AH137" s="92"/>
      <c r="AI137" s="49"/>
    </row>
    <row r="138" spans="1:35" ht="12.75" x14ac:dyDescent="0.2">
      <c r="A138" s="87" t="s">
        <v>199</v>
      </c>
      <c r="B138" s="93">
        <v>0.05</v>
      </c>
      <c r="C138" s="93">
        <v>0.1</v>
      </c>
      <c r="D138" s="93">
        <v>0.2</v>
      </c>
      <c r="E138" s="93">
        <v>0.5</v>
      </c>
      <c r="F138" s="93">
        <v>1</v>
      </c>
      <c r="G138" s="93">
        <v>2</v>
      </c>
      <c r="H138" s="93">
        <v>5</v>
      </c>
      <c r="I138" s="93">
        <v>10</v>
      </c>
      <c r="J138" s="49"/>
      <c r="K138" s="86"/>
      <c r="L138" s="87" t="s">
        <v>199</v>
      </c>
      <c r="M138" s="93">
        <v>0.05</v>
      </c>
      <c r="N138" s="93">
        <v>0.1</v>
      </c>
      <c r="O138" s="93">
        <v>0.2</v>
      </c>
      <c r="P138" s="93">
        <v>0.5</v>
      </c>
      <c r="Q138" s="93">
        <v>1</v>
      </c>
      <c r="R138" s="93">
        <v>2</v>
      </c>
      <c r="S138" s="93">
        <v>5</v>
      </c>
      <c r="T138" s="93">
        <v>10</v>
      </c>
      <c r="U138" s="93">
        <v>20</v>
      </c>
      <c r="V138" s="93">
        <v>50</v>
      </c>
      <c r="W138" s="85"/>
      <c r="X138" s="85"/>
      <c r="Y138" s="49"/>
      <c r="Z138" s="94"/>
      <c r="AA138" s="95"/>
      <c r="AB138" s="85"/>
      <c r="AC138" s="85"/>
      <c r="AD138" s="85"/>
      <c r="AE138" s="85"/>
      <c r="AF138" s="85"/>
      <c r="AG138" s="49"/>
      <c r="AH138" s="92"/>
      <c r="AI138" s="49"/>
    </row>
    <row r="139" spans="1:35" ht="12.75" x14ac:dyDescent="0.2">
      <c r="A139" s="87" t="s">
        <v>200</v>
      </c>
      <c r="B139" s="49">
        <v>98</v>
      </c>
      <c r="C139" s="49">
        <v>21</v>
      </c>
      <c r="D139" s="85">
        <v>3</v>
      </c>
      <c r="E139" s="85">
        <v>4</v>
      </c>
      <c r="F139" s="85">
        <v>10</v>
      </c>
      <c r="G139" s="85">
        <v>5</v>
      </c>
      <c r="H139" s="85">
        <v>2</v>
      </c>
      <c r="I139" s="85"/>
      <c r="J139" s="85"/>
      <c r="K139" s="86"/>
      <c r="L139" s="87" t="s">
        <v>200</v>
      </c>
      <c r="M139" s="49">
        <v>93</v>
      </c>
      <c r="N139" s="49">
        <v>28</v>
      </c>
      <c r="O139" s="85">
        <v>18</v>
      </c>
      <c r="P139" s="85">
        <v>7</v>
      </c>
      <c r="Q139" s="85">
        <v>11</v>
      </c>
      <c r="R139" s="85">
        <v>7</v>
      </c>
      <c r="S139" s="85">
        <v>1</v>
      </c>
      <c r="T139" s="85">
        <v>6</v>
      </c>
      <c r="U139" s="85">
        <v>11</v>
      </c>
      <c r="V139" s="85">
        <v>1</v>
      </c>
      <c r="W139" s="85"/>
      <c r="X139" s="85"/>
      <c r="Y139" s="49"/>
      <c r="Z139" s="94"/>
      <c r="AA139" s="95"/>
      <c r="AB139" s="85"/>
      <c r="AC139" s="85"/>
      <c r="AD139" s="85"/>
      <c r="AE139" s="85"/>
      <c r="AF139" s="85"/>
      <c r="AG139" s="49"/>
      <c r="AH139" s="92"/>
      <c r="AI139" s="49"/>
    </row>
    <row r="140" spans="1:35" ht="12.75" x14ac:dyDescent="0.2">
      <c r="A140" s="87" t="s">
        <v>141</v>
      </c>
      <c r="B140" s="70">
        <f t="shared" ref="B140:I140" si="46">B139*B138</f>
        <v>4.9000000000000004</v>
      </c>
      <c r="C140" s="70">
        <f t="shared" si="46"/>
        <v>2.1</v>
      </c>
      <c r="D140" s="70">
        <f t="shared" si="46"/>
        <v>0.60000000000000009</v>
      </c>
      <c r="E140" s="70">
        <f t="shared" si="46"/>
        <v>2</v>
      </c>
      <c r="F140" s="70">
        <f t="shared" si="46"/>
        <v>10</v>
      </c>
      <c r="G140" s="70">
        <f t="shared" si="46"/>
        <v>10</v>
      </c>
      <c r="H140" s="70">
        <f t="shared" si="46"/>
        <v>10</v>
      </c>
      <c r="I140" s="70">
        <f t="shared" si="46"/>
        <v>0</v>
      </c>
      <c r="J140" s="70">
        <f>SUM(B140:I140)</f>
        <v>39.6</v>
      </c>
      <c r="K140" s="86"/>
      <c r="L140" s="87" t="s">
        <v>141</v>
      </c>
      <c r="M140" s="70">
        <f t="shared" ref="M140:V140" si="47">M139*M138</f>
        <v>4.6500000000000004</v>
      </c>
      <c r="N140" s="70">
        <f t="shared" si="47"/>
        <v>2.8000000000000003</v>
      </c>
      <c r="O140" s="70">
        <f t="shared" si="47"/>
        <v>3.6</v>
      </c>
      <c r="P140" s="70">
        <f t="shared" si="47"/>
        <v>3.5</v>
      </c>
      <c r="Q140" s="70">
        <f t="shared" si="47"/>
        <v>11</v>
      </c>
      <c r="R140" s="70">
        <f t="shared" si="47"/>
        <v>14</v>
      </c>
      <c r="S140" s="70">
        <f t="shared" si="47"/>
        <v>5</v>
      </c>
      <c r="T140" s="70">
        <f t="shared" si="47"/>
        <v>60</v>
      </c>
      <c r="U140" s="70">
        <f t="shared" si="47"/>
        <v>220</v>
      </c>
      <c r="V140" s="70">
        <f t="shared" si="47"/>
        <v>50</v>
      </c>
      <c r="W140" s="70">
        <f>SUM(M140:V140)</f>
        <v>374.55</v>
      </c>
      <c r="X140" s="96">
        <f>W140-J140</f>
        <v>334.95</v>
      </c>
      <c r="Y140" s="94">
        <v>136.9</v>
      </c>
      <c r="Z140" s="94">
        <v>123.2</v>
      </c>
      <c r="AA140" s="97">
        <f>X140+Z140</f>
        <v>458.15</v>
      </c>
      <c r="AB140" s="85">
        <v>60</v>
      </c>
      <c r="AC140" s="96">
        <f>Y140-AB140</f>
        <v>76.900000000000006</v>
      </c>
      <c r="AD140" s="96">
        <f>X140-Y140</f>
        <v>198.04999999999998</v>
      </c>
      <c r="AE140" s="85">
        <v>29</v>
      </c>
      <c r="AF140" s="96">
        <f>AD140-AE140</f>
        <v>169.04999999999998</v>
      </c>
      <c r="AG140" s="49"/>
      <c r="AH140" s="98">
        <f>(SUM(Y140:Z140)/(1+10/100))*(10/100)</f>
        <v>23.645454545454548</v>
      </c>
      <c r="AI140" s="49"/>
    </row>
    <row r="143" spans="1:35" ht="51" x14ac:dyDescent="0.2">
      <c r="A143" s="83" t="s">
        <v>135</v>
      </c>
      <c r="B143" s="84">
        <v>45745</v>
      </c>
      <c r="C143" s="85"/>
      <c r="D143" s="85"/>
      <c r="E143" s="85"/>
      <c r="F143" s="85"/>
      <c r="G143" s="85"/>
      <c r="H143" s="85"/>
      <c r="I143" s="85"/>
      <c r="J143" s="85"/>
      <c r="K143" s="86"/>
      <c r="L143" s="83" t="s">
        <v>136</v>
      </c>
      <c r="M143" s="84">
        <v>45745</v>
      </c>
      <c r="N143" s="85"/>
      <c r="O143" s="85"/>
      <c r="P143" s="85"/>
      <c r="Q143" s="85"/>
      <c r="R143" s="85"/>
      <c r="S143" s="85"/>
      <c r="T143" s="85"/>
      <c r="U143" s="85"/>
      <c r="V143" s="85"/>
      <c r="W143" s="87" t="s">
        <v>141</v>
      </c>
      <c r="X143" s="88" t="s">
        <v>192</v>
      </c>
      <c r="Y143" s="89" t="s">
        <v>142</v>
      </c>
      <c r="Z143" s="90" t="s">
        <v>193</v>
      </c>
      <c r="AA143" s="91" t="s">
        <v>194</v>
      </c>
      <c r="AB143" s="88" t="s">
        <v>165</v>
      </c>
      <c r="AC143" s="87" t="s">
        <v>195</v>
      </c>
      <c r="AD143" s="87" t="s">
        <v>196</v>
      </c>
      <c r="AE143" s="88" t="s">
        <v>197</v>
      </c>
      <c r="AF143" s="87" t="s">
        <v>198</v>
      </c>
      <c r="AG143" s="49"/>
      <c r="AH143" s="92"/>
      <c r="AI143" s="49"/>
    </row>
    <row r="144" spans="1:35" ht="12.75" x14ac:dyDescent="0.2">
      <c r="A144" s="87" t="s">
        <v>199</v>
      </c>
      <c r="B144" s="93">
        <v>0.05</v>
      </c>
      <c r="C144" s="93">
        <v>0.1</v>
      </c>
      <c r="D144" s="93">
        <v>0.2</v>
      </c>
      <c r="E144" s="93">
        <v>0.5</v>
      </c>
      <c r="F144" s="93">
        <v>1</v>
      </c>
      <c r="G144" s="93">
        <v>2</v>
      </c>
      <c r="H144" s="93">
        <v>5</v>
      </c>
      <c r="I144" s="93">
        <v>10</v>
      </c>
      <c r="J144" s="49"/>
      <c r="K144" s="86"/>
      <c r="L144" s="87" t="s">
        <v>199</v>
      </c>
      <c r="M144" s="93">
        <v>0.05</v>
      </c>
      <c r="N144" s="93">
        <v>0.1</v>
      </c>
      <c r="O144" s="93">
        <v>0.2</v>
      </c>
      <c r="P144" s="93">
        <v>0.5</v>
      </c>
      <c r="Q144" s="93">
        <v>1</v>
      </c>
      <c r="R144" s="93">
        <v>2</v>
      </c>
      <c r="S144" s="93">
        <v>5</v>
      </c>
      <c r="T144" s="93">
        <v>10</v>
      </c>
      <c r="U144" s="93">
        <v>20</v>
      </c>
      <c r="V144" s="93">
        <v>50</v>
      </c>
      <c r="W144" s="85"/>
      <c r="X144" s="85"/>
      <c r="Y144" s="49"/>
      <c r="Z144" s="94"/>
      <c r="AA144" s="95"/>
      <c r="AB144" s="85"/>
      <c r="AC144" s="85"/>
      <c r="AD144" s="85"/>
      <c r="AE144" s="85"/>
      <c r="AF144" s="85"/>
      <c r="AG144" s="49"/>
      <c r="AH144" s="92"/>
      <c r="AI144" s="49"/>
    </row>
    <row r="145" spans="1:35" ht="12.75" x14ac:dyDescent="0.2">
      <c r="A145" s="87" t="s">
        <v>200</v>
      </c>
      <c r="B145" s="49">
        <v>93</v>
      </c>
      <c r="C145" s="49">
        <v>28</v>
      </c>
      <c r="D145" s="85">
        <v>18</v>
      </c>
      <c r="E145" s="85">
        <v>7</v>
      </c>
      <c r="F145" s="85">
        <v>11</v>
      </c>
      <c r="G145" s="85">
        <v>5</v>
      </c>
      <c r="H145" s="85">
        <v>2</v>
      </c>
      <c r="I145" s="85"/>
      <c r="J145" s="85"/>
      <c r="K145" s="86"/>
      <c r="L145" s="87" t="s">
        <v>200</v>
      </c>
      <c r="M145" s="49">
        <v>99</v>
      </c>
      <c r="N145" s="49">
        <v>16</v>
      </c>
      <c r="O145" s="85">
        <v>31</v>
      </c>
      <c r="P145" s="85">
        <v>17</v>
      </c>
      <c r="Q145" s="85">
        <v>10</v>
      </c>
      <c r="R145" s="85">
        <v>12</v>
      </c>
      <c r="S145" s="85">
        <v>13</v>
      </c>
      <c r="T145" s="85">
        <v>2</v>
      </c>
      <c r="U145" s="85"/>
      <c r="V145" s="85">
        <v>2</v>
      </c>
      <c r="W145" s="85"/>
      <c r="X145" s="85"/>
      <c r="Y145" s="49"/>
      <c r="Z145" s="94"/>
      <c r="AA145" s="95"/>
      <c r="AB145" s="85"/>
      <c r="AC145" s="85"/>
      <c r="AD145" s="85"/>
      <c r="AE145" s="85"/>
      <c r="AF145" s="85"/>
      <c r="AG145" s="49"/>
      <c r="AH145" s="92"/>
      <c r="AI145" s="49"/>
    </row>
    <row r="146" spans="1:35" ht="12.75" x14ac:dyDescent="0.2">
      <c r="A146" s="87" t="s">
        <v>141</v>
      </c>
      <c r="B146" s="70">
        <f t="shared" ref="B146:I146" si="48">B145*B144</f>
        <v>4.6500000000000004</v>
      </c>
      <c r="C146" s="70">
        <f t="shared" si="48"/>
        <v>2.8000000000000003</v>
      </c>
      <c r="D146" s="70">
        <f t="shared" si="48"/>
        <v>3.6</v>
      </c>
      <c r="E146" s="70">
        <f t="shared" si="48"/>
        <v>3.5</v>
      </c>
      <c r="F146" s="70">
        <f t="shared" si="48"/>
        <v>11</v>
      </c>
      <c r="G146" s="70">
        <f t="shared" si="48"/>
        <v>10</v>
      </c>
      <c r="H146" s="70">
        <f t="shared" si="48"/>
        <v>10</v>
      </c>
      <c r="I146" s="70">
        <f t="shared" si="48"/>
        <v>0</v>
      </c>
      <c r="J146" s="70">
        <f>SUM(B146:I146)</f>
        <v>45.55</v>
      </c>
      <c r="K146" s="86"/>
      <c r="L146" s="87" t="s">
        <v>141</v>
      </c>
      <c r="M146" s="70">
        <f t="shared" ref="M146:V146" si="49">M145*M144</f>
        <v>4.95</v>
      </c>
      <c r="N146" s="70">
        <f t="shared" si="49"/>
        <v>1.6</v>
      </c>
      <c r="O146" s="70">
        <f t="shared" si="49"/>
        <v>6.2</v>
      </c>
      <c r="P146" s="70">
        <f t="shared" si="49"/>
        <v>8.5</v>
      </c>
      <c r="Q146" s="70">
        <f t="shared" si="49"/>
        <v>10</v>
      </c>
      <c r="R146" s="70">
        <f t="shared" si="49"/>
        <v>24</v>
      </c>
      <c r="S146" s="70">
        <f t="shared" si="49"/>
        <v>65</v>
      </c>
      <c r="T146" s="70">
        <f t="shared" si="49"/>
        <v>20</v>
      </c>
      <c r="U146" s="70">
        <f t="shared" si="49"/>
        <v>0</v>
      </c>
      <c r="V146" s="70">
        <f t="shared" si="49"/>
        <v>100</v>
      </c>
      <c r="W146" s="70">
        <f>SUM(M146:V146)</f>
        <v>240.25</v>
      </c>
      <c r="X146" s="96">
        <f>W146-J146</f>
        <v>194.7</v>
      </c>
      <c r="Y146" s="94">
        <v>95</v>
      </c>
      <c r="Z146" s="94">
        <v>18.899999999999999</v>
      </c>
      <c r="AA146" s="97">
        <f>X146+Z146</f>
        <v>213.6</v>
      </c>
      <c r="AB146" s="85">
        <v>95</v>
      </c>
      <c r="AC146" s="96">
        <f>Y146-AB146</f>
        <v>0</v>
      </c>
      <c r="AD146" s="96">
        <f>X146-Y146</f>
        <v>99.699999999999989</v>
      </c>
      <c r="AE146" s="85">
        <v>61</v>
      </c>
      <c r="AF146" s="96">
        <f>AD146-AE146</f>
        <v>38.699999999999989</v>
      </c>
      <c r="AG146" s="49"/>
      <c r="AH146" s="98">
        <f>(SUM(Y146:Z146)/(1+10/100))*(10/100)</f>
        <v>10.354545454545455</v>
      </c>
      <c r="AI146" s="49"/>
    </row>
    <row r="149" spans="1:35" ht="51" x14ac:dyDescent="0.2">
      <c r="A149" s="83" t="s">
        <v>135</v>
      </c>
      <c r="B149" s="84">
        <v>45747</v>
      </c>
      <c r="C149" s="85"/>
      <c r="D149" s="85"/>
      <c r="E149" s="85"/>
      <c r="F149" s="85"/>
      <c r="G149" s="85"/>
      <c r="H149" s="85"/>
      <c r="I149" s="85"/>
      <c r="J149" s="85"/>
      <c r="K149" s="86"/>
      <c r="L149" s="83" t="s">
        <v>136</v>
      </c>
      <c r="M149" s="84">
        <v>45747</v>
      </c>
      <c r="N149" s="85"/>
      <c r="O149" s="85"/>
      <c r="P149" s="85"/>
      <c r="Q149" s="85"/>
      <c r="R149" s="85"/>
      <c r="S149" s="85"/>
      <c r="T149" s="85"/>
      <c r="U149" s="85"/>
      <c r="V149" s="85"/>
      <c r="W149" s="87" t="s">
        <v>141</v>
      </c>
      <c r="X149" s="88" t="s">
        <v>192</v>
      </c>
      <c r="Y149" s="89" t="s">
        <v>142</v>
      </c>
      <c r="Z149" s="90" t="s">
        <v>193</v>
      </c>
      <c r="AA149" s="91" t="s">
        <v>194</v>
      </c>
      <c r="AB149" s="88" t="s">
        <v>165</v>
      </c>
      <c r="AC149" s="87" t="s">
        <v>195</v>
      </c>
      <c r="AD149" s="87" t="s">
        <v>196</v>
      </c>
      <c r="AE149" s="88" t="s">
        <v>197</v>
      </c>
      <c r="AF149" s="87" t="s">
        <v>198</v>
      </c>
      <c r="AG149" s="49"/>
      <c r="AH149" s="92"/>
      <c r="AI149" s="49"/>
    </row>
    <row r="150" spans="1:35" ht="12.75" x14ac:dyDescent="0.2">
      <c r="A150" s="87" t="s">
        <v>199</v>
      </c>
      <c r="B150" s="93">
        <v>0.05</v>
      </c>
      <c r="C150" s="93">
        <v>0.1</v>
      </c>
      <c r="D150" s="93">
        <v>0.2</v>
      </c>
      <c r="E150" s="93">
        <v>0.5</v>
      </c>
      <c r="F150" s="93">
        <v>1</v>
      </c>
      <c r="G150" s="93">
        <v>2</v>
      </c>
      <c r="H150" s="93">
        <v>5</v>
      </c>
      <c r="I150" s="93">
        <v>10</v>
      </c>
      <c r="J150" s="49"/>
      <c r="K150" s="86"/>
      <c r="L150" s="87" t="s">
        <v>199</v>
      </c>
      <c r="M150" s="93">
        <v>0.05</v>
      </c>
      <c r="N150" s="93">
        <v>0.1</v>
      </c>
      <c r="O150" s="93">
        <v>0.2</v>
      </c>
      <c r="P150" s="93">
        <v>0.5</v>
      </c>
      <c r="Q150" s="93">
        <v>1</v>
      </c>
      <c r="R150" s="93">
        <v>2</v>
      </c>
      <c r="S150" s="93">
        <v>5</v>
      </c>
      <c r="T150" s="93">
        <v>10</v>
      </c>
      <c r="U150" s="93">
        <v>20</v>
      </c>
      <c r="V150" s="93">
        <v>50</v>
      </c>
      <c r="W150" s="85"/>
      <c r="X150" s="85"/>
      <c r="Y150" s="49"/>
      <c r="Z150" s="94"/>
      <c r="AA150" s="95"/>
      <c r="AB150" s="85"/>
      <c r="AC150" s="85"/>
      <c r="AD150" s="85"/>
      <c r="AE150" s="85"/>
      <c r="AF150" s="85"/>
      <c r="AG150" s="49"/>
      <c r="AH150" s="92"/>
      <c r="AI150" s="49"/>
    </row>
    <row r="151" spans="1:35" ht="12.75" x14ac:dyDescent="0.2">
      <c r="A151" s="87" t="s">
        <v>200</v>
      </c>
      <c r="B151" s="49">
        <v>99</v>
      </c>
      <c r="C151" s="49">
        <v>16</v>
      </c>
      <c r="D151" s="85">
        <v>31</v>
      </c>
      <c r="E151" s="85">
        <v>10</v>
      </c>
      <c r="F151" s="85">
        <v>10</v>
      </c>
      <c r="G151" s="85">
        <v>5</v>
      </c>
      <c r="H151" s="85"/>
      <c r="I151" s="85"/>
      <c r="J151" s="85"/>
      <c r="K151" s="86"/>
      <c r="L151" s="87" t="s">
        <v>200</v>
      </c>
      <c r="M151" s="49">
        <v>109</v>
      </c>
      <c r="N151" s="49">
        <v>17</v>
      </c>
      <c r="O151" s="85">
        <v>23</v>
      </c>
      <c r="P151" s="85">
        <v>9</v>
      </c>
      <c r="Q151" s="85">
        <v>14</v>
      </c>
      <c r="R151" s="85">
        <v>11</v>
      </c>
      <c r="S151" s="85">
        <v>8</v>
      </c>
      <c r="T151" s="85">
        <v>11</v>
      </c>
      <c r="U151" s="85">
        <v>2</v>
      </c>
      <c r="V151" s="85">
        <v>1</v>
      </c>
      <c r="W151" s="85"/>
      <c r="X151" s="85"/>
      <c r="Y151" s="49"/>
      <c r="Z151" s="94"/>
      <c r="AA151" s="95"/>
      <c r="AB151" s="85"/>
      <c r="AC151" s="85"/>
      <c r="AD151" s="85"/>
      <c r="AE151" s="85"/>
      <c r="AF151" s="85"/>
      <c r="AG151" s="49"/>
      <c r="AH151" s="92"/>
      <c r="AI151" s="49"/>
    </row>
    <row r="152" spans="1:35" ht="12.75" x14ac:dyDescent="0.2">
      <c r="A152" s="87" t="s">
        <v>141</v>
      </c>
      <c r="B152" s="70">
        <f t="shared" ref="B152:I152" si="50">B151*B150</f>
        <v>4.95</v>
      </c>
      <c r="C152" s="70">
        <f t="shared" si="50"/>
        <v>1.6</v>
      </c>
      <c r="D152" s="70">
        <f t="shared" si="50"/>
        <v>6.2</v>
      </c>
      <c r="E152" s="70">
        <f t="shared" si="50"/>
        <v>5</v>
      </c>
      <c r="F152" s="70">
        <f t="shared" si="50"/>
        <v>10</v>
      </c>
      <c r="G152" s="70">
        <f t="shared" si="50"/>
        <v>10</v>
      </c>
      <c r="H152" s="70">
        <f t="shared" si="50"/>
        <v>0</v>
      </c>
      <c r="I152" s="70">
        <f t="shared" si="50"/>
        <v>0</v>
      </c>
      <c r="J152" s="70">
        <f>SUM(B152:I152)</f>
        <v>37.75</v>
      </c>
      <c r="K152" s="86"/>
      <c r="L152" s="87" t="s">
        <v>141</v>
      </c>
      <c r="M152" s="70">
        <f t="shared" ref="M152:V152" si="51">M151*M150</f>
        <v>5.45</v>
      </c>
      <c r="N152" s="70">
        <f t="shared" si="51"/>
        <v>1.7000000000000002</v>
      </c>
      <c r="O152" s="70">
        <f t="shared" si="51"/>
        <v>4.6000000000000005</v>
      </c>
      <c r="P152" s="70">
        <f t="shared" si="51"/>
        <v>4.5</v>
      </c>
      <c r="Q152" s="70">
        <f t="shared" si="51"/>
        <v>14</v>
      </c>
      <c r="R152" s="70">
        <f t="shared" si="51"/>
        <v>22</v>
      </c>
      <c r="S152" s="70">
        <f t="shared" si="51"/>
        <v>40</v>
      </c>
      <c r="T152" s="70">
        <f t="shared" si="51"/>
        <v>110</v>
      </c>
      <c r="U152" s="70">
        <f t="shared" si="51"/>
        <v>40</v>
      </c>
      <c r="V152" s="70">
        <f t="shared" si="51"/>
        <v>50</v>
      </c>
      <c r="W152" s="70">
        <f>SUM(M152:V152)</f>
        <v>292.25</v>
      </c>
      <c r="X152" s="96">
        <f>W152-J152</f>
        <v>254.5</v>
      </c>
      <c r="Y152" s="94">
        <v>91.7</v>
      </c>
      <c r="Z152" s="94">
        <v>109</v>
      </c>
      <c r="AA152" s="97">
        <f>X152+Z152</f>
        <v>363.5</v>
      </c>
      <c r="AB152" s="85">
        <v>91.7</v>
      </c>
      <c r="AC152" s="96">
        <f>Y152-AB152</f>
        <v>0</v>
      </c>
      <c r="AD152" s="96">
        <f>X152-Y152</f>
        <v>162.80000000000001</v>
      </c>
      <c r="AE152" s="85">
        <v>20</v>
      </c>
      <c r="AF152" s="96">
        <f>AD152-AE152</f>
        <v>142.80000000000001</v>
      </c>
      <c r="AG152" s="49"/>
      <c r="AH152" s="98">
        <f>(SUM(Y152:Z152)/(1+10/100))*(10/100)</f>
        <v>18.245454545454546</v>
      </c>
      <c r="AI152" s="49"/>
    </row>
    <row r="155" spans="1:35" ht="51" x14ac:dyDescent="0.2">
      <c r="A155" s="83" t="s">
        <v>135</v>
      </c>
      <c r="B155" s="84">
        <v>45748</v>
      </c>
      <c r="C155" s="85"/>
      <c r="D155" s="85"/>
      <c r="E155" s="85"/>
      <c r="F155" s="85"/>
      <c r="G155" s="85"/>
      <c r="H155" s="85"/>
      <c r="I155" s="85"/>
      <c r="J155" s="85"/>
      <c r="K155" s="86"/>
      <c r="L155" s="83" t="s">
        <v>136</v>
      </c>
      <c r="M155" s="84">
        <v>45748</v>
      </c>
      <c r="N155" s="85"/>
      <c r="O155" s="85"/>
      <c r="P155" s="85"/>
      <c r="Q155" s="85"/>
      <c r="R155" s="85"/>
      <c r="S155" s="85"/>
      <c r="T155" s="85"/>
      <c r="U155" s="85"/>
      <c r="V155" s="85"/>
      <c r="W155" s="87" t="s">
        <v>141</v>
      </c>
      <c r="X155" s="88" t="s">
        <v>192</v>
      </c>
      <c r="Y155" s="89" t="s">
        <v>142</v>
      </c>
      <c r="Z155" s="90" t="s">
        <v>193</v>
      </c>
      <c r="AA155" s="91" t="s">
        <v>194</v>
      </c>
      <c r="AB155" s="88" t="s">
        <v>165</v>
      </c>
      <c r="AC155" s="87" t="s">
        <v>195</v>
      </c>
      <c r="AD155" s="87" t="s">
        <v>196</v>
      </c>
      <c r="AE155" s="88" t="s">
        <v>197</v>
      </c>
      <c r="AF155" s="87" t="s">
        <v>198</v>
      </c>
      <c r="AG155" s="49"/>
      <c r="AH155" s="92"/>
      <c r="AI155" s="49"/>
    </row>
    <row r="156" spans="1:35" ht="12.75" x14ac:dyDescent="0.2">
      <c r="A156" s="87" t="s">
        <v>199</v>
      </c>
      <c r="B156" s="93">
        <v>0.05</v>
      </c>
      <c r="C156" s="93">
        <v>0.1</v>
      </c>
      <c r="D156" s="93">
        <v>0.2</v>
      </c>
      <c r="E156" s="93">
        <v>0.5</v>
      </c>
      <c r="F156" s="93">
        <v>1</v>
      </c>
      <c r="G156" s="93">
        <v>2</v>
      </c>
      <c r="H156" s="93">
        <v>5</v>
      </c>
      <c r="I156" s="93">
        <v>10</v>
      </c>
      <c r="J156" s="49"/>
      <c r="K156" s="86"/>
      <c r="L156" s="87" t="s">
        <v>199</v>
      </c>
      <c r="M156" s="93">
        <v>0.05</v>
      </c>
      <c r="N156" s="93">
        <v>0.1</v>
      </c>
      <c r="O156" s="93">
        <v>0.2</v>
      </c>
      <c r="P156" s="93">
        <v>0.5</v>
      </c>
      <c r="Q156" s="93">
        <v>1</v>
      </c>
      <c r="R156" s="93">
        <v>2</v>
      </c>
      <c r="S156" s="93">
        <v>5</v>
      </c>
      <c r="T156" s="93">
        <v>10</v>
      </c>
      <c r="U156" s="93">
        <v>20</v>
      </c>
      <c r="V156" s="93">
        <v>50</v>
      </c>
      <c r="W156" s="85"/>
      <c r="X156" s="85"/>
      <c r="Y156" s="49"/>
      <c r="Z156" s="94"/>
      <c r="AA156" s="95"/>
      <c r="AB156" s="85"/>
      <c r="AC156" s="85"/>
      <c r="AD156" s="85"/>
      <c r="AE156" s="85"/>
      <c r="AF156" s="85"/>
      <c r="AG156" s="49"/>
      <c r="AH156" s="92"/>
      <c r="AI156" s="49"/>
    </row>
    <row r="157" spans="1:35" ht="12.75" x14ac:dyDescent="0.2">
      <c r="A157" s="87" t="s">
        <v>200</v>
      </c>
      <c r="B157" s="49">
        <v>109</v>
      </c>
      <c r="C157" s="49">
        <v>17</v>
      </c>
      <c r="D157" s="85">
        <v>23</v>
      </c>
      <c r="E157" s="85">
        <v>9</v>
      </c>
      <c r="F157" s="85">
        <v>6</v>
      </c>
      <c r="G157" s="85">
        <v>3</v>
      </c>
      <c r="H157" s="85">
        <v>2</v>
      </c>
      <c r="I157" s="85"/>
      <c r="J157" s="85"/>
      <c r="K157" s="86"/>
      <c r="L157" s="87" t="s">
        <v>200</v>
      </c>
      <c r="M157" s="49">
        <v>110</v>
      </c>
      <c r="N157" s="49">
        <v>15</v>
      </c>
      <c r="O157" s="85">
        <v>10</v>
      </c>
      <c r="P157" s="85">
        <v>11</v>
      </c>
      <c r="Q157" s="85">
        <v>8</v>
      </c>
      <c r="R157" s="85">
        <v>9</v>
      </c>
      <c r="S157" s="85">
        <v>6</v>
      </c>
      <c r="T157" s="85">
        <v>5</v>
      </c>
      <c r="U157" s="85">
        <v>5</v>
      </c>
      <c r="V157" s="85">
        <v>1</v>
      </c>
      <c r="W157" s="85"/>
      <c r="X157" s="85"/>
      <c r="Y157" s="49"/>
      <c r="Z157" s="94"/>
      <c r="AA157" s="95"/>
      <c r="AB157" s="85"/>
      <c r="AC157" s="85"/>
      <c r="AD157" s="85"/>
      <c r="AE157" s="85"/>
      <c r="AF157" s="85"/>
      <c r="AG157" s="49"/>
      <c r="AH157" s="92"/>
      <c r="AI157" s="49"/>
    </row>
    <row r="158" spans="1:35" ht="12.75" x14ac:dyDescent="0.2">
      <c r="A158" s="87" t="s">
        <v>141</v>
      </c>
      <c r="B158" s="70">
        <f t="shared" ref="B158:I158" si="52">B157*B156</f>
        <v>5.45</v>
      </c>
      <c r="C158" s="70">
        <f t="shared" si="52"/>
        <v>1.7000000000000002</v>
      </c>
      <c r="D158" s="70">
        <f t="shared" si="52"/>
        <v>4.6000000000000005</v>
      </c>
      <c r="E158" s="70">
        <f t="shared" si="52"/>
        <v>4.5</v>
      </c>
      <c r="F158" s="70">
        <f t="shared" si="52"/>
        <v>6</v>
      </c>
      <c r="G158" s="70">
        <f t="shared" si="52"/>
        <v>6</v>
      </c>
      <c r="H158" s="70">
        <f t="shared" si="52"/>
        <v>10</v>
      </c>
      <c r="I158" s="70">
        <f t="shared" si="52"/>
        <v>0</v>
      </c>
      <c r="J158" s="70">
        <f>SUM(B158:I158)</f>
        <v>38.25</v>
      </c>
      <c r="K158" s="86"/>
      <c r="L158" s="87" t="s">
        <v>141</v>
      </c>
      <c r="M158" s="70">
        <f t="shared" ref="M158:V158" si="53">M157*M156</f>
        <v>5.5</v>
      </c>
      <c r="N158" s="70">
        <f t="shared" si="53"/>
        <v>1.5</v>
      </c>
      <c r="O158" s="70">
        <f t="shared" si="53"/>
        <v>2</v>
      </c>
      <c r="P158" s="70">
        <f t="shared" si="53"/>
        <v>5.5</v>
      </c>
      <c r="Q158" s="70">
        <f t="shared" si="53"/>
        <v>8</v>
      </c>
      <c r="R158" s="70">
        <f t="shared" si="53"/>
        <v>18</v>
      </c>
      <c r="S158" s="70">
        <f t="shared" si="53"/>
        <v>30</v>
      </c>
      <c r="T158" s="70">
        <f t="shared" si="53"/>
        <v>50</v>
      </c>
      <c r="U158" s="70">
        <f t="shared" si="53"/>
        <v>100</v>
      </c>
      <c r="V158" s="70">
        <f t="shared" si="53"/>
        <v>50</v>
      </c>
      <c r="W158" s="70">
        <f>SUM(M158:V158)</f>
        <v>270.5</v>
      </c>
      <c r="X158" s="96">
        <f>W158-J158</f>
        <v>232.25</v>
      </c>
      <c r="Y158" s="94">
        <v>86.1</v>
      </c>
      <c r="Z158" s="94">
        <v>57.8</v>
      </c>
      <c r="AA158" s="97">
        <f>X158+Z158</f>
        <v>290.05</v>
      </c>
      <c r="AB158" s="85">
        <v>40</v>
      </c>
      <c r="AC158" s="96">
        <f>Y158-AB158</f>
        <v>46.099999999999994</v>
      </c>
      <c r="AD158" s="96">
        <f>X158-Y158</f>
        <v>146.15</v>
      </c>
      <c r="AE158" s="85">
        <v>30</v>
      </c>
      <c r="AF158" s="96">
        <f>AD158-AE158</f>
        <v>116.15</v>
      </c>
      <c r="AG158" s="49"/>
      <c r="AH158" s="98">
        <f>(SUM(Y158:Z158)/(1+10/100))*(10/100)</f>
        <v>13.081818181818178</v>
      </c>
      <c r="AI158" s="49"/>
    </row>
    <row r="168" spans="24:34" ht="15.75" customHeight="1" x14ac:dyDescent="0.25">
      <c r="X168" s="68" t="s">
        <v>208</v>
      </c>
      <c r="Y168" s="69">
        <f t="shared" ref="Y168:AD168" si="54">SUM(Y1:Y154)</f>
        <v>3332.28</v>
      </c>
      <c r="Z168" s="69">
        <f t="shared" si="54"/>
        <v>1343.3999999999999</v>
      </c>
      <c r="AA168" s="69">
        <f t="shared" si="54"/>
        <v>8032.7999999999993</v>
      </c>
      <c r="AB168" s="69">
        <f t="shared" si="54"/>
        <v>1770.9</v>
      </c>
      <c r="AC168" s="69">
        <f t="shared" si="54"/>
        <v>1399.2800000000002</v>
      </c>
      <c r="AD168" s="69">
        <f t="shared" si="54"/>
        <v>3357.1200000000008</v>
      </c>
      <c r="AE168" s="69">
        <f>SUM(AE1:AE164)</f>
        <v>648.9</v>
      </c>
      <c r="AF168" s="69">
        <f>SUM(AF1:AF154)</f>
        <v>2735.9700000000003</v>
      </c>
    </row>
    <row r="169" spans="24:34" ht="12.75" x14ac:dyDescent="0.2">
      <c r="AE169" s="38" t="s">
        <v>261</v>
      </c>
      <c r="AF169" s="38">
        <v>-950</v>
      </c>
      <c r="AG169" s="38">
        <v>-200</v>
      </c>
    </row>
    <row r="170" spans="24:34" ht="12.75" x14ac:dyDescent="0.2">
      <c r="AE170" s="38" t="s">
        <v>261</v>
      </c>
      <c r="AF170" s="38">
        <v>-950</v>
      </c>
      <c r="AG170" s="38">
        <v>-200</v>
      </c>
    </row>
    <row r="171" spans="24:34" ht="12.75" x14ac:dyDescent="0.2">
      <c r="AE171" s="38" t="s">
        <v>262</v>
      </c>
      <c r="AF171" s="38">
        <v>-200</v>
      </c>
    </row>
    <row r="173" spans="24:34" ht="12.75" x14ac:dyDescent="0.2">
      <c r="AE173" s="38" t="s">
        <v>263</v>
      </c>
      <c r="AG173" s="45">
        <v>-317.2</v>
      </c>
      <c r="AH173" s="49">
        <f>AG173/2</f>
        <v>-158.6</v>
      </c>
    </row>
    <row r="174" spans="24:34" ht="12.75" x14ac:dyDescent="0.2">
      <c r="AE174" s="38" t="s">
        <v>229</v>
      </c>
      <c r="AF174" s="38">
        <v>-300</v>
      </c>
    </row>
    <row r="175" spans="24:34" ht="12.75" x14ac:dyDescent="0.2">
      <c r="AE175" s="38" t="s">
        <v>264</v>
      </c>
      <c r="AF175" s="38">
        <v>-200</v>
      </c>
    </row>
    <row r="176" spans="24:34" ht="12.75" x14ac:dyDescent="0.2">
      <c r="AE176" s="38" t="s">
        <v>265</v>
      </c>
      <c r="AF176" s="38">
        <v>-70</v>
      </c>
    </row>
    <row r="177" spans="31:32" ht="12.75" x14ac:dyDescent="0.2">
      <c r="AE177" s="61" t="s">
        <v>266</v>
      </c>
      <c r="AF177" s="61">
        <v>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I153"/>
  <sheetViews>
    <sheetView workbookViewId="0"/>
  </sheetViews>
  <sheetFormatPr defaultColWidth="12.5703125" defaultRowHeight="15.75" customHeight="1" x14ac:dyDescent="0.2"/>
  <cols>
    <col min="2" max="2" width="8.28515625" customWidth="1"/>
    <col min="3" max="3" width="6.42578125" customWidth="1"/>
    <col min="4" max="4" width="4.42578125" customWidth="1"/>
    <col min="5" max="5" width="4.7109375" customWidth="1"/>
    <col min="6" max="6" width="5.140625" customWidth="1"/>
    <col min="7" max="7" width="5" customWidth="1"/>
    <col min="8" max="8" width="5.42578125" customWidth="1"/>
    <col min="9" max="9" width="6.140625" customWidth="1"/>
    <col min="10" max="10" width="7" customWidth="1"/>
    <col min="11" max="11" width="5.5703125" customWidth="1"/>
    <col min="12" max="12" width="8.42578125" customWidth="1"/>
    <col min="13" max="13" width="9.5703125" customWidth="1"/>
    <col min="14" max="14" width="5.42578125" customWidth="1"/>
    <col min="15" max="15" width="6.140625" customWidth="1"/>
    <col min="16" max="16" width="4.85546875" customWidth="1"/>
    <col min="17" max="17" width="5.28515625" customWidth="1"/>
    <col min="18" max="19" width="4.5703125" customWidth="1"/>
    <col min="20" max="20" width="6" customWidth="1"/>
    <col min="21" max="21" width="6.7109375" customWidth="1"/>
    <col min="22" max="22" width="6.5703125" customWidth="1"/>
    <col min="23" max="23" width="7.7109375" customWidth="1"/>
    <col min="24" max="24" width="9.42578125" customWidth="1"/>
    <col min="25" max="25" width="10" customWidth="1"/>
    <col min="26" max="26" width="7.140625" customWidth="1"/>
    <col min="27" max="27" width="7.85546875" customWidth="1"/>
    <col min="28" max="28" width="9.140625" customWidth="1"/>
    <col min="29" max="29" width="7.42578125" customWidth="1"/>
    <col min="30" max="30" width="7" customWidth="1"/>
    <col min="31" max="31" width="8.42578125" customWidth="1"/>
    <col min="32" max="32" width="8.140625" customWidth="1"/>
  </cols>
  <sheetData>
    <row r="1" spans="1:35" ht="38.25" x14ac:dyDescent="0.2">
      <c r="A1" s="83" t="s">
        <v>135</v>
      </c>
      <c r="B1" s="84">
        <v>45748</v>
      </c>
      <c r="C1" s="85"/>
      <c r="D1" s="85"/>
      <c r="E1" s="85"/>
      <c r="F1" s="85"/>
      <c r="G1" s="85"/>
      <c r="H1" s="85"/>
      <c r="I1" s="85"/>
      <c r="J1" s="85"/>
      <c r="K1" s="86"/>
      <c r="L1" s="83" t="s">
        <v>136</v>
      </c>
      <c r="M1" s="84">
        <v>45748</v>
      </c>
      <c r="N1" s="85"/>
      <c r="O1" s="85"/>
      <c r="P1" s="85"/>
      <c r="Q1" s="85"/>
      <c r="R1" s="85"/>
      <c r="S1" s="85"/>
      <c r="T1" s="85"/>
      <c r="U1" s="85"/>
      <c r="V1" s="85"/>
      <c r="W1" s="87" t="s">
        <v>141</v>
      </c>
      <c r="X1" s="88" t="s">
        <v>192</v>
      </c>
      <c r="Y1" s="89" t="s">
        <v>142</v>
      </c>
      <c r="Z1" s="90" t="s">
        <v>193</v>
      </c>
      <c r="AA1" s="91" t="s">
        <v>194</v>
      </c>
      <c r="AB1" s="88" t="s">
        <v>165</v>
      </c>
      <c r="AC1" s="87" t="s">
        <v>195</v>
      </c>
      <c r="AD1" s="87" t="s">
        <v>196</v>
      </c>
      <c r="AE1" s="88" t="s">
        <v>197</v>
      </c>
      <c r="AF1" s="87" t="s">
        <v>198</v>
      </c>
      <c r="AG1" s="49"/>
      <c r="AH1" s="92"/>
      <c r="AI1" s="49"/>
    </row>
    <row r="2" spans="1:35" ht="12.75" x14ac:dyDescent="0.2">
      <c r="A2" s="87" t="s">
        <v>199</v>
      </c>
      <c r="B2" s="93">
        <v>0.05</v>
      </c>
      <c r="C2" s="93">
        <v>0.1</v>
      </c>
      <c r="D2" s="93">
        <v>0.2</v>
      </c>
      <c r="E2" s="93">
        <v>0.5</v>
      </c>
      <c r="F2" s="93">
        <v>1</v>
      </c>
      <c r="G2" s="93">
        <v>2</v>
      </c>
      <c r="H2" s="93">
        <v>5</v>
      </c>
      <c r="I2" s="93">
        <v>10</v>
      </c>
      <c r="J2" s="49"/>
      <c r="K2" s="86"/>
      <c r="L2" s="87" t="s">
        <v>199</v>
      </c>
      <c r="M2" s="93">
        <v>0.05</v>
      </c>
      <c r="N2" s="93">
        <v>0.1</v>
      </c>
      <c r="O2" s="93">
        <v>0.2</v>
      </c>
      <c r="P2" s="93">
        <v>0.5</v>
      </c>
      <c r="Q2" s="93">
        <v>1</v>
      </c>
      <c r="R2" s="93">
        <v>2</v>
      </c>
      <c r="S2" s="93">
        <v>5</v>
      </c>
      <c r="T2" s="93">
        <v>10</v>
      </c>
      <c r="U2" s="93">
        <v>20</v>
      </c>
      <c r="V2" s="93">
        <v>50</v>
      </c>
      <c r="W2" s="85"/>
      <c r="X2" s="85"/>
      <c r="Y2" s="49"/>
      <c r="Z2" s="94"/>
      <c r="AA2" s="95"/>
      <c r="AB2" s="85"/>
      <c r="AC2" s="85"/>
      <c r="AD2" s="85"/>
      <c r="AE2" s="85"/>
      <c r="AF2" s="85"/>
      <c r="AG2" s="49"/>
      <c r="AH2" s="92"/>
      <c r="AI2" s="49"/>
    </row>
    <row r="3" spans="1:35" ht="12.75" x14ac:dyDescent="0.2">
      <c r="A3" s="87" t="s">
        <v>200</v>
      </c>
      <c r="B3" s="49">
        <v>109</v>
      </c>
      <c r="C3" s="49">
        <v>17</v>
      </c>
      <c r="D3" s="85">
        <v>23</v>
      </c>
      <c r="E3" s="85">
        <v>9</v>
      </c>
      <c r="F3" s="85">
        <v>6</v>
      </c>
      <c r="G3" s="85">
        <v>3</v>
      </c>
      <c r="H3" s="85">
        <v>2</v>
      </c>
      <c r="I3" s="85"/>
      <c r="J3" s="85"/>
      <c r="K3" s="86"/>
      <c r="L3" s="87" t="s">
        <v>200</v>
      </c>
      <c r="M3" s="49">
        <v>110</v>
      </c>
      <c r="N3" s="49">
        <v>15</v>
      </c>
      <c r="O3" s="85">
        <v>10</v>
      </c>
      <c r="P3" s="85">
        <v>11</v>
      </c>
      <c r="Q3" s="85">
        <v>8</v>
      </c>
      <c r="R3" s="85">
        <v>9</v>
      </c>
      <c r="S3" s="85">
        <v>6</v>
      </c>
      <c r="T3" s="85">
        <v>5</v>
      </c>
      <c r="U3" s="85">
        <v>5</v>
      </c>
      <c r="V3" s="85">
        <v>1</v>
      </c>
      <c r="W3" s="85"/>
      <c r="X3" s="85"/>
      <c r="Y3" s="49"/>
      <c r="Z3" s="94"/>
      <c r="AA3" s="95"/>
      <c r="AB3" s="85"/>
      <c r="AC3" s="85"/>
      <c r="AD3" s="85"/>
      <c r="AE3" s="85"/>
      <c r="AF3" s="85"/>
      <c r="AG3" s="49"/>
      <c r="AH3" s="92"/>
      <c r="AI3" s="49"/>
    </row>
    <row r="4" spans="1:35" ht="12.75" x14ac:dyDescent="0.2">
      <c r="A4" s="87" t="s">
        <v>141</v>
      </c>
      <c r="B4" s="70">
        <f t="shared" ref="B4:I4" si="0">B3*B2</f>
        <v>5.45</v>
      </c>
      <c r="C4" s="70">
        <f t="shared" si="0"/>
        <v>1.7000000000000002</v>
      </c>
      <c r="D4" s="70">
        <f t="shared" si="0"/>
        <v>4.6000000000000005</v>
      </c>
      <c r="E4" s="70">
        <f t="shared" si="0"/>
        <v>4.5</v>
      </c>
      <c r="F4" s="70">
        <f t="shared" si="0"/>
        <v>6</v>
      </c>
      <c r="G4" s="70">
        <f t="shared" si="0"/>
        <v>6</v>
      </c>
      <c r="H4" s="70">
        <f t="shared" si="0"/>
        <v>10</v>
      </c>
      <c r="I4" s="70">
        <f t="shared" si="0"/>
        <v>0</v>
      </c>
      <c r="J4" s="70">
        <f>SUM(B4:I4)</f>
        <v>38.25</v>
      </c>
      <c r="K4" s="86"/>
      <c r="L4" s="87" t="s">
        <v>141</v>
      </c>
      <c r="M4" s="70">
        <f t="shared" ref="M4:V4" si="1">M3*M2</f>
        <v>5.5</v>
      </c>
      <c r="N4" s="70">
        <f t="shared" si="1"/>
        <v>1.5</v>
      </c>
      <c r="O4" s="70">
        <f t="shared" si="1"/>
        <v>2</v>
      </c>
      <c r="P4" s="70">
        <f t="shared" si="1"/>
        <v>5.5</v>
      </c>
      <c r="Q4" s="70">
        <f t="shared" si="1"/>
        <v>8</v>
      </c>
      <c r="R4" s="70">
        <f t="shared" si="1"/>
        <v>18</v>
      </c>
      <c r="S4" s="70">
        <f t="shared" si="1"/>
        <v>30</v>
      </c>
      <c r="T4" s="70">
        <f t="shared" si="1"/>
        <v>50</v>
      </c>
      <c r="U4" s="70">
        <f t="shared" si="1"/>
        <v>100</v>
      </c>
      <c r="V4" s="70">
        <f t="shared" si="1"/>
        <v>50</v>
      </c>
      <c r="W4" s="70">
        <f>SUM(M4:V4)</f>
        <v>270.5</v>
      </c>
      <c r="X4" s="96">
        <f>W4-J4</f>
        <v>232.25</v>
      </c>
      <c r="Y4" s="94">
        <v>86.1</v>
      </c>
      <c r="Z4" s="94">
        <v>57.8</v>
      </c>
      <c r="AA4" s="97">
        <f>X4+Z4</f>
        <v>290.05</v>
      </c>
      <c r="AB4" s="85">
        <v>40</v>
      </c>
      <c r="AC4" s="96">
        <f>Y4-AB4</f>
        <v>46.099999999999994</v>
      </c>
      <c r="AD4" s="96">
        <f>X4-Y4</f>
        <v>146.15</v>
      </c>
      <c r="AE4" s="85">
        <v>20</v>
      </c>
      <c r="AF4" s="96">
        <f>AD4-AE4</f>
        <v>126.15</v>
      </c>
      <c r="AG4" s="49"/>
      <c r="AH4" s="98">
        <f>(SUM(Y4:Z4)/(1+10/100))*(10/100)</f>
        <v>13.081818181818178</v>
      </c>
      <c r="AI4" s="49"/>
    </row>
    <row r="7" spans="1:35" ht="38.25" x14ac:dyDescent="0.2">
      <c r="A7" s="83" t="s">
        <v>135</v>
      </c>
      <c r="B7" s="84">
        <v>45749</v>
      </c>
      <c r="C7" s="85"/>
      <c r="D7" s="85"/>
      <c r="E7" s="85"/>
      <c r="F7" s="85"/>
      <c r="G7" s="85"/>
      <c r="H7" s="85"/>
      <c r="I7" s="85"/>
      <c r="J7" s="85"/>
      <c r="K7" s="86"/>
      <c r="L7" s="83" t="s">
        <v>136</v>
      </c>
      <c r="M7" s="84">
        <v>45749</v>
      </c>
      <c r="N7" s="85"/>
      <c r="O7" s="85"/>
      <c r="P7" s="85"/>
      <c r="Q7" s="85"/>
      <c r="R7" s="85"/>
      <c r="S7" s="85"/>
      <c r="T7" s="85"/>
      <c r="U7" s="85"/>
      <c r="V7" s="85"/>
      <c r="W7" s="87" t="s">
        <v>141</v>
      </c>
      <c r="X7" s="88" t="s">
        <v>192</v>
      </c>
      <c r="Y7" s="89" t="s">
        <v>142</v>
      </c>
      <c r="Z7" s="90" t="s">
        <v>193</v>
      </c>
      <c r="AA7" s="91" t="s">
        <v>194</v>
      </c>
      <c r="AB7" s="88" t="s">
        <v>165</v>
      </c>
      <c r="AC7" s="87" t="s">
        <v>195</v>
      </c>
      <c r="AD7" s="87" t="s">
        <v>196</v>
      </c>
      <c r="AE7" s="88" t="s">
        <v>197</v>
      </c>
      <c r="AF7" s="87" t="s">
        <v>198</v>
      </c>
      <c r="AG7" s="49"/>
      <c r="AH7" s="92"/>
      <c r="AI7" s="49"/>
    </row>
    <row r="8" spans="1:35" ht="12.75" x14ac:dyDescent="0.2">
      <c r="A8" s="87" t="s">
        <v>199</v>
      </c>
      <c r="B8" s="93">
        <v>0.05</v>
      </c>
      <c r="C8" s="93">
        <v>0.1</v>
      </c>
      <c r="D8" s="93">
        <v>0.2</v>
      </c>
      <c r="E8" s="93">
        <v>0.5</v>
      </c>
      <c r="F8" s="93">
        <v>1</v>
      </c>
      <c r="G8" s="93">
        <v>2</v>
      </c>
      <c r="H8" s="93">
        <v>5</v>
      </c>
      <c r="I8" s="93">
        <v>10</v>
      </c>
      <c r="J8" s="49"/>
      <c r="K8" s="86"/>
      <c r="L8" s="87" t="s">
        <v>199</v>
      </c>
      <c r="M8" s="93">
        <v>0.05</v>
      </c>
      <c r="N8" s="93">
        <v>0.1</v>
      </c>
      <c r="O8" s="93">
        <v>0.2</v>
      </c>
      <c r="P8" s="93">
        <v>0.5</v>
      </c>
      <c r="Q8" s="93">
        <v>1</v>
      </c>
      <c r="R8" s="93">
        <v>2</v>
      </c>
      <c r="S8" s="93">
        <v>5</v>
      </c>
      <c r="T8" s="93">
        <v>10</v>
      </c>
      <c r="U8" s="93">
        <v>20</v>
      </c>
      <c r="V8" s="93">
        <v>50</v>
      </c>
      <c r="W8" s="85"/>
      <c r="X8" s="85"/>
      <c r="Y8" s="49"/>
      <c r="Z8" s="94"/>
      <c r="AA8" s="95"/>
      <c r="AB8" s="85"/>
      <c r="AC8" s="85"/>
      <c r="AD8" s="85"/>
      <c r="AE8" s="85"/>
      <c r="AF8" s="85"/>
      <c r="AG8" s="49"/>
      <c r="AH8" s="92"/>
      <c r="AI8" s="49"/>
    </row>
    <row r="9" spans="1:35" ht="12.75" x14ac:dyDescent="0.2">
      <c r="A9" s="87" t="s">
        <v>200</v>
      </c>
      <c r="B9" s="49">
        <v>110</v>
      </c>
      <c r="C9" s="49">
        <v>15</v>
      </c>
      <c r="D9" s="85">
        <v>10</v>
      </c>
      <c r="E9" s="85">
        <v>11</v>
      </c>
      <c r="F9" s="85">
        <v>8</v>
      </c>
      <c r="G9" s="85">
        <v>9</v>
      </c>
      <c r="H9" s="85">
        <v>2</v>
      </c>
      <c r="I9" s="85"/>
      <c r="J9" s="85"/>
      <c r="K9" s="86"/>
      <c r="L9" s="87" t="s">
        <v>200</v>
      </c>
      <c r="M9" s="49">
        <v>106</v>
      </c>
      <c r="N9" s="49">
        <v>25</v>
      </c>
      <c r="O9" s="85">
        <v>18</v>
      </c>
      <c r="P9" s="85">
        <v>11</v>
      </c>
      <c r="Q9" s="85">
        <v>18</v>
      </c>
      <c r="R9" s="85">
        <v>9</v>
      </c>
      <c r="S9" s="85">
        <v>6</v>
      </c>
      <c r="T9" s="85">
        <v>3</v>
      </c>
      <c r="U9" s="85">
        <v>4</v>
      </c>
      <c r="V9" s="85">
        <v>2</v>
      </c>
      <c r="W9" s="85"/>
      <c r="X9" s="85"/>
      <c r="Y9" s="49"/>
      <c r="Z9" s="94"/>
      <c r="AA9" s="95"/>
      <c r="AB9" s="85"/>
      <c r="AC9" s="85"/>
      <c r="AD9" s="85"/>
      <c r="AE9" s="85"/>
      <c r="AF9" s="85"/>
      <c r="AG9" s="49"/>
      <c r="AH9" s="92"/>
      <c r="AI9" s="49"/>
    </row>
    <row r="10" spans="1:35" ht="12.75" x14ac:dyDescent="0.2">
      <c r="A10" s="87" t="s">
        <v>141</v>
      </c>
      <c r="B10" s="70">
        <f t="shared" ref="B10:I10" si="2">B9*B8</f>
        <v>5.5</v>
      </c>
      <c r="C10" s="70">
        <f t="shared" si="2"/>
        <v>1.5</v>
      </c>
      <c r="D10" s="70">
        <f t="shared" si="2"/>
        <v>2</v>
      </c>
      <c r="E10" s="70">
        <f t="shared" si="2"/>
        <v>5.5</v>
      </c>
      <c r="F10" s="70">
        <f t="shared" si="2"/>
        <v>8</v>
      </c>
      <c r="G10" s="70">
        <f t="shared" si="2"/>
        <v>18</v>
      </c>
      <c r="H10" s="70">
        <f t="shared" si="2"/>
        <v>10</v>
      </c>
      <c r="I10" s="70">
        <f t="shared" si="2"/>
        <v>0</v>
      </c>
      <c r="J10" s="70">
        <f>SUM(B10:I10)</f>
        <v>50.5</v>
      </c>
      <c r="K10" s="86"/>
      <c r="L10" s="87" t="s">
        <v>141</v>
      </c>
      <c r="M10" s="70">
        <f t="shared" ref="M10:V10" si="3">M9*M8</f>
        <v>5.3000000000000007</v>
      </c>
      <c r="N10" s="70">
        <f t="shared" si="3"/>
        <v>2.5</v>
      </c>
      <c r="O10" s="70">
        <f t="shared" si="3"/>
        <v>3.6</v>
      </c>
      <c r="P10" s="70">
        <f t="shared" si="3"/>
        <v>5.5</v>
      </c>
      <c r="Q10" s="70">
        <f t="shared" si="3"/>
        <v>18</v>
      </c>
      <c r="R10" s="70">
        <f t="shared" si="3"/>
        <v>18</v>
      </c>
      <c r="S10" s="70">
        <f t="shared" si="3"/>
        <v>30</v>
      </c>
      <c r="T10" s="70">
        <f t="shared" si="3"/>
        <v>30</v>
      </c>
      <c r="U10" s="70">
        <f t="shared" si="3"/>
        <v>80</v>
      </c>
      <c r="V10" s="70">
        <f t="shared" si="3"/>
        <v>100</v>
      </c>
      <c r="W10" s="70">
        <f>SUM(M10:V10)</f>
        <v>292.89999999999998</v>
      </c>
      <c r="X10" s="96">
        <f>W10-J10</f>
        <v>242.39999999999998</v>
      </c>
      <c r="Y10" s="94">
        <v>109</v>
      </c>
      <c r="Z10" s="94">
        <v>65.2</v>
      </c>
      <c r="AA10" s="97">
        <f>X10+Z10</f>
        <v>307.59999999999997</v>
      </c>
      <c r="AB10" s="85">
        <v>51</v>
      </c>
      <c r="AC10" s="96">
        <f>Y10-AB10</f>
        <v>58</v>
      </c>
      <c r="AD10" s="96">
        <f>X10-Y10</f>
        <v>133.39999999999998</v>
      </c>
      <c r="AE10" s="85">
        <v>40</v>
      </c>
      <c r="AF10" s="96">
        <f>AD10-AE10</f>
        <v>93.399999999999977</v>
      </c>
      <c r="AG10" s="49"/>
      <c r="AH10" s="98">
        <f>(SUM(Y10:Z10)/(1+10/100))*(10/100)</f>
        <v>15.836363636363636</v>
      </c>
      <c r="AI10" s="49"/>
    </row>
    <row r="13" spans="1:35" ht="38.25" x14ac:dyDescent="0.2">
      <c r="A13" s="83" t="s">
        <v>135</v>
      </c>
      <c r="B13" s="84">
        <v>45750</v>
      </c>
      <c r="C13" s="85"/>
      <c r="D13" s="85"/>
      <c r="E13" s="85"/>
      <c r="F13" s="85"/>
      <c r="G13" s="85"/>
      <c r="H13" s="85"/>
      <c r="I13" s="85"/>
      <c r="J13" s="85"/>
      <c r="K13" s="86"/>
      <c r="L13" s="83" t="s">
        <v>136</v>
      </c>
      <c r="M13" s="84">
        <v>45750</v>
      </c>
      <c r="N13" s="85"/>
      <c r="O13" s="85"/>
      <c r="P13" s="85"/>
      <c r="Q13" s="85"/>
      <c r="R13" s="85"/>
      <c r="S13" s="85"/>
      <c r="T13" s="85"/>
      <c r="U13" s="85"/>
      <c r="V13" s="85"/>
      <c r="W13" s="87" t="s">
        <v>141</v>
      </c>
      <c r="X13" s="88" t="s">
        <v>192</v>
      </c>
      <c r="Y13" s="89" t="s">
        <v>142</v>
      </c>
      <c r="Z13" s="90" t="s">
        <v>193</v>
      </c>
      <c r="AA13" s="91" t="s">
        <v>194</v>
      </c>
      <c r="AB13" s="88" t="s">
        <v>165</v>
      </c>
      <c r="AC13" s="87" t="s">
        <v>195</v>
      </c>
      <c r="AD13" s="87" t="s">
        <v>196</v>
      </c>
      <c r="AE13" s="88" t="s">
        <v>197</v>
      </c>
      <c r="AF13" s="87" t="s">
        <v>198</v>
      </c>
      <c r="AG13" s="49"/>
      <c r="AH13" s="92"/>
      <c r="AI13" s="49"/>
    </row>
    <row r="14" spans="1:35" ht="12.75" x14ac:dyDescent="0.2">
      <c r="A14" s="87" t="s">
        <v>199</v>
      </c>
      <c r="B14" s="93">
        <v>0.05</v>
      </c>
      <c r="C14" s="93">
        <v>0.1</v>
      </c>
      <c r="D14" s="93">
        <v>0.2</v>
      </c>
      <c r="E14" s="93">
        <v>0.5</v>
      </c>
      <c r="F14" s="93">
        <v>1</v>
      </c>
      <c r="G14" s="93">
        <v>2</v>
      </c>
      <c r="H14" s="93">
        <v>5</v>
      </c>
      <c r="I14" s="93">
        <v>10</v>
      </c>
      <c r="J14" s="49"/>
      <c r="K14" s="86"/>
      <c r="L14" s="87" t="s">
        <v>199</v>
      </c>
      <c r="M14" s="93">
        <v>0.05</v>
      </c>
      <c r="N14" s="93">
        <v>0.1</v>
      </c>
      <c r="O14" s="93">
        <v>0.2</v>
      </c>
      <c r="P14" s="93">
        <v>0.5</v>
      </c>
      <c r="Q14" s="93">
        <v>1</v>
      </c>
      <c r="R14" s="93">
        <v>2</v>
      </c>
      <c r="S14" s="93">
        <v>5</v>
      </c>
      <c r="T14" s="93">
        <v>10</v>
      </c>
      <c r="U14" s="93">
        <v>20</v>
      </c>
      <c r="V14" s="93">
        <v>50</v>
      </c>
      <c r="W14" s="85"/>
      <c r="X14" s="85"/>
      <c r="Y14" s="49"/>
      <c r="Z14" s="94"/>
      <c r="AA14" s="95"/>
      <c r="AB14" s="85"/>
      <c r="AC14" s="85"/>
      <c r="AD14" s="85"/>
      <c r="AE14" s="85"/>
      <c r="AF14" s="85"/>
      <c r="AG14" s="49"/>
      <c r="AH14" s="92"/>
      <c r="AI14" s="49"/>
    </row>
    <row r="15" spans="1:35" ht="12.75" x14ac:dyDescent="0.2">
      <c r="A15" s="87" t="s">
        <v>200</v>
      </c>
      <c r="B15" s="49">
        <v>106</v>
      </c>
      <c r="C15" s="49">
        <v>25</v>
      </c>
      <c r="D15" s="85">
        <v>18</v>
      </c>
      <c r="E15" s="85">
        <v>11</v>
      </c>
      <c r="F15" s="85">
        <v>9</v>
      </c>
      <c r="G15" s="85">
        <v>5</v>
      </c>
      <c r="H15" s="85">
        <v>2</v>
      </c>
      <c r="I15" s="85"/>
      <c r="J15" s="85"/>
      <c r="K15" s="86"/>
      <c r="L15" s="87" t="s">
        <v>200</v>
      </c>
      <c r="M15" s="49">
        <v>109</v>
      </c>
      <c r="N15" s="49">
        <v>26</v>
      </c>
      <c r="O15" s="85">
        <v>14</v>
      </c>
      <c r="P15" s="85">
        <v>10</v>
      </c>
      <c r="Q15" s="85">
        <v>9</v>
      </c>
      <c r="R15" s="85">
        <v>13</v>
      </c>
      <c r="S15" s="85">
        <v>9</v>
      </c>
      <c r="T15" s="85">
        <v>6</v>
      </c>
      <c r="U15" s="85">
        <v>3</v>
      </c>
      <c r="V15" s="85">
        <v>1</v>
      </c>
      <c r="W15" s="85"/>
      <c r="X15" s="85"/>
      <c r="Y15" s="49"/>
      <c r="Z15" s="94"/>
      <c r="AA15" s="95"/>
      <c r="AB15" s="85"/>
      <c r="AC15" s="85"/>
      <c r="AD15" s="85"/>
      <c r="AE15" s="85"/>
      <c r="AF15" s="85"/>
      <c r="AG15" s="49"/>
      <c r="AH15" s="92"/>
      <c r="AI15" s="49"/>
    </row>
    <row r="16" spans="1:35" ht="12.75" x14ac:dyDescent="0.2">
      <c r="A16" s="87" t="s">
        <v>141</v>
      </c>
      <c r="B16" s="70">
        <f t="shared" ref="B16:I16" si="4">B15*B14</f>
        <v>5.3000000000000007</v>
      </c>
      <c r="C16" s="70">
        <f t="shared" si="4"/>
        <v>2.5</v>
      </c>
      <c r="D16" s="70">
        <f t="shared" si="4"/>
        <v>3.6</v>
      </c>
      <c r="E16" s="70">
        <f t="shared" si="4"/>
        <v>5.5</v>
      </c>
      <c r="F16" s="70">
        <f t="shared" si="4"/>
        <v>9</v>
      </c>
      <c r="G16" s="70">
        <f t="shared" si="4"/>
        <v>10</v>
      </c>
      <c r="H16" s="70">
        <f t="shared" si="4"/>
        <v>10</v>
      </c>
      <c r="I16" s="70">
        <f t="shared" si="4"/>
        <v>0</v>
      </c>
      <c r="J16" s="70">
        <f>SUM(B16:I16)</f>
        <v>45.9</v>
      </c>
      <c r="K16" s="86"/>
      <c r="L16" s="87" t="s">
        <v>141</v>
      </c>
      <c r="M16" s="70">
        <f t="shared" ref="M16:V16" si="5">M15*M14</f>
        <v>5.45</v>
      </c>
      <c r="N16" s="70">
        <f t="shared" si="5"/>
        <v>2.6</v>
      </c>
      <c r="O16" s="70">
        <f t="shared" si="5"/>
        <v>2.8000000000000003</v>
      </c>
      <c r="P16" s="70">
        <f t="shared" si="5"/>
        <v>5</v>
      </c>
      <c r="Q16" s="70">
        <f t="shared" si="5"/>
        <v>9</v>
      </c>
      <c r="R16" s="70">
        <f t="shared" si="5"/>
        <v>26</v>
      </c>
      <c r="S16" s="70">
        <f t="shared" si="5"/>
        <v>45</v>
      </c>
      <c r="T16" s="70">
        <f t="shared" si="5"/>
        <v>60</v>
      </c>
      <c r="U16" s="70">
        <f t="shared" si="5"/>
        <v>60</v>
      </c>
      <c r="V16" s="70">
        <f t="shared" si="5"/>
        <v>50</v>
      </c>
      <c r="W16" s="70">
        <f>SUM(M16:V16)</f>
        <v>265.85000000000002</v>
      </c>
      <c r="X16" s="96">
        <f>W16-J16</f>
        <v>219.95000000000002</v>
      </c>
      <c r="Y16" s="94">
        <v>76.3</v>
      </c>
      <c r="Z16" s="94">
        <v>56.4</v>
      </c>
      <c r="AA16" s="97">
        <f>X16+Z16</f>
        <v>276.35000000000002</v>
      </c>
      <c r="AB16" s="85">
        <v>64</v>
      </c>
      <c r="AC16" s="96">
        <f>Y16-AB16</f>
        <v>12.299999999999997</v>
      </c>
      <c r="AD16" s="96">
        <f>X16-Y16</f>
        <v>143.65000000000003</v>
      </c>
      <c r="AE16" s="85">
        <v>23.65</v>
      </c>
      <c r="AF16" s="96">
        <f>AD16-AE16</f>
        <v>120.00000000000003</v>
      </c>
      <c r="AG16" s="49"/>
      <c r="AH16" s="98">
        <f>(SUM(Y16:Z16)/(1+10/100))*(10/100)</f>
        <v>12.063636363636363</v>
      </c>
      <c r="AI16" s="49"/>
    </row>
    <row r="18" spans="1:35" ht="38.25" x14ac:dyDescent="0.2">
      <c r="A18" s="83" t="s">
        <v>135</v>
      </c>
      <c r="B18" s="84">
        <v>45751</v>
      </c>
      <c r="C18" s="85"/>
      <c r="D18" s="85"/>
      <c r="E18" s="85"/>
      <c r="F18" s="85"/>
      <c r="G18" s="85"/>
      <c r="H18" s="85"/>
      <c r="I18" s="85"/>
      <c r="J18" s="85"/>
      <c r="K18" s="86"/>
      <c r="L18" s="83" t="s">
        <v>136</v>
      </c>
      <c r="M18" s="84">
        <v>45751</v>
      </c>
      <c r="N18" s="85"/>
      <c r="O18" s="85"/>
      <c r="P18" s="85"/>
      <c r="Q18" s="85"/>
      <c r="R18" s="85"/>
      <c r="S18" s="85"/>
      <c r="T18" s="85"/>
      <c r="U18" s="85"/>
      <c r="V18" s="85"/>
      <c r="W18" s="87" t="s">
        <v>141</v>
      </c>
      <c r="X18" s="88" t="s">
        <v>192</v>
      </c>
      <c r="Y18" s="89" t="s">
        <v>142</v>
      </c>
      <c r="Z18" s="90" t="s">
        <v>193</v>
      </c>
      <c r="AA18" s="91" t="s">
        <v>194</v>
      </c>
      <c r="AB18" s="88" t="s">
        <v>165</v>
      </c>
      <c r="AC18" s="87" t="s">
        <v>195</v>
      </c>
      <c r="AD18" s="87" t="s">
        <v>196</v>
      </c>
      <c r="AE18" s="88" t="s">
        <v>197</v>
      </c>
      <c r="AF18" s="87" t="s">
        <v>198</v>
      </c>
      <c r="AG18" s="49"/>
      <c r="AH18" s="92"/>
      <c r="AI18" s="49"/>
    </row>
    <row r="19" spans="1:35" ht="12.75" x14ac:dyDescent="0.2">
      <c r="A19" s="87" t="s">
        <v>199</v>
      </c>
      <c r="B19" s="93">
        <v>0.05</v>
      </c>
      <c r="C19" s="93">
        <v>0.1</v>
      </c>
      <c r="D19" s="93">
        <v>0.2</v>
      </c>
      <c r="E19" s="93">
        <v>0.5</v>
      </c>
      <c r="F19" s="93">
        <v>1</v>
      </c>
      <c r="G19" s="93">
        <v>2</v>
      </c>
      <c r="H19" s="93">
        <v>5</v>
      </c>
      <c r="I19" s="93">
        <v>10</v>
      </c>
      <c r="J19" s="49"/>
      <c r="K19" s="86"/>
      <c r="L19" s="87" t="s">
        <v>199</v>
      </c>
      <c r="M19" s="93">
        <v>0.05</v>
      </c>
      <c r="N19" s="93">
        <v>0.1</v>
      </c>
      <c r="O19" s="93">
        <v>0.2</v>
      </c>
      <c r="P19" s="93">
        <v>0.5</v>
      </c>
      <c r="Q19" s="93">
        <v>1</v>
      </c>
      <c r="R19" s="93">
        <v>2</v>
      </c>
      <c r="S19" s="93">
        <v>5</v>
      </c>
      <c r="T19" s="93">
        <v>10</v>
      </c>
      <c r="U19" s="93">
        <v>20</v>
      </c>
      <c r="V19" s="93">
        <v>50</v>
      </c>
      <c r="W19" s="85"/>
      <c r="X19" s="85"/>
      <c r="Y19" s="49"/>
      <c r="Z19" s="94"/>
      <c r="AA19" s="95"/>
      <c r="AB19" s="85"/>
      <c r="AC19" s="85"/>
      <c r="AD19" s="85"/>
      <c r="AE19" s="85"/>
      <c r="AF19" s="85"/>
      <c r="AG19" s="49"/>
      <c r="AH19" s="92"/>
      <c r="AI19" s="49"/>
    </row>
    <row r="20" spans="1:35" ht="12.75" x14ac:dyDescent="0.2">
      <c r="A20" s="87" t="s">
        <v>200</v>
      </c>
      <c r="B20" s="49">
        <v>109</v>
      </c>
      <c r="C20" s="49">
        <v>26</v>
      </c>
      <c r="D20" s="85">
        <v>14</v>
      </c>
      <c r="E20" s="85">
        <v>10</v>
      </c>
      <c r="F20" s="85">
        <v>9</v>
      </c>
      <c r="G20" s="85">
        <v>5</v>
      </c>
      <c r="H20" s="85">
        <v>2</v>
      </c>
      <c r="I20" s="85"/>
      <c r="J20" s="85"/>
      <c r="K20" s="86"/>
      <c r="L20" s="87" t="s">
        <v>200</v>
      </c>
      <c r="M20" s="49">
        <v>109</v>
      </c>
      <c r="N20" s="49">
        <v>17</v>
      </c>
      <c r="O20" s="85">
        <v>12</v>
      </c>
      <c r="P20" s="85">
        <v>9</v>
      </c>
      <c r="Q20" s="85">
        <v>14</v>
      </c>
      <c r="R20" s="85">
        <v>8</v>
      </c>
      <c r="S20" s="85">
        <v>7</v>
      </c>
      <c r="T20" s="85">
        <v>6</v>
      </c>
      <c r="U20" s="85">
        <v>5</v>
      </c>
      <c r="V20" s="85">
        <v>5</v>
      </c>
      <c r="W20" s="85"/>
      <c r="X20" s="85"/>
      <c r="Y20" s="49"/>
      <c r="Z20" s="94"/>
      <c r="AA20" s="95"/>
      <c r="AB20" s="85"/>
      <c r="AC20" s="85"/>
      <c r="AD20" s="85"/>
      <c r="AE20" s="85"/>
      <c r="AF20" s="85"/>
      <c r="AG20" s="49"/>
      <c r="AH20" s="92"/>
      <c r="AI20" s="49"/>
    </row>
    <row r="21" spans="1:35" ht="12.75" x14ac:dyDescent="0.2">
      <c r="A21" s="87" t="s">
        <v>141</v>
      </c>
      <c r="B21" s="70">
        <f t="shared" ref="B21:I21" si="6">B20*B19</f>
        <v>5.45</v>
      </c>
      <c r="C21" s="70">
        <f t="shared" si="6"/>
        <v>2.6</v>
      </c>
      <c r="D21" s="70">
        <f t="shared" si="6"/>
        <v>2.8000000000000003</v>
      </c>
      <c r="E21" s="70">
        <f t="shared" si="6"/>
        <v>5</v>
      </c>
      <c r="F21" s="70">
        <f t="shared" si="6"/>
        <v>9</v>
      </c>
      <c r="G21" s="70">
        <f t="shared" si="6"/>
        <v>10</v>
      </c>
      <c r="H21" s="70">
        <f t="shared" si="6"/>
        <v>10</v>
      </c>
      <c r="I21" s="70">
        <f t="shared" si="6"/>
        <v>0</v>
      </c>
      <c r="J21" s="70">
        <f>SUM(B21:I21)</f>
        <v>44.85</v>
      </c>
      <c r="K21" s="86"/>
      <c r="L21" s="87" t="s">
        <v>141</v>
      </c>
      <c r="M21" s="70">
        <f t="shared" ref="M21:V21" si="7">M20*M19</f>
        <v>5.45</v>
      </c>
      <c r="N21" s="70">
        <f t="shared" si="7"/>
        <v>1.7000000000000002</v>
      </c>
      <c r="O21" s="70">
        <f t="shared" si="7"/>
        <v>2.4000000000000004</v>
      </c>
      <c r="P21" s="70">
        <f t="shared" si="7"/>
        <v>4.5</v>
      </c>
      <c r="Q21" s="70">
        <f t="shared" si="7"/>
        <v>14</v>
      </c>
      <c r="R21" s="70">
        <f t="shared" si="7"/>
        <v>16</v>
      </c>
      <c r="S21" s="70">
        <f t="shared" si="7"/>
        <v>35</v>
      </c>
      <c r="T21" s="70">
        <f t="shared" si="7"/>
        <v>60</v>
      </c>
      <c r="U21" s="70">
        <f t="shared" si="7"/>
        <v>100</v>
      </c>
      <c r="V21" s="70">
        <f t="shared" si="7"/>
        <v>250</v>
      </c>
      <c r="W21" s="70">
        <f>SUM(M21:V21)</f>
        <v>489.05</v>
      </c>
      <c r="X21" s="96">
        <f>W21-J21</f>
        <v>444.2</v>
      </c>
      <c r="Y21" s="94">
        <v>139.80000000000001</v>
      </c>
      <c r="Z21" s="94">
        <v>57.7</v>
      </c>
      <c r="AA21" s="97">
        <f>X21+Z21</f>
        <v>501.9</v>
      </c>
      <c r="AB21" s="85">
        <v>80</v>
      </c>
      <c r="AC21" s="96">
        <f>Y21-AB21</f>
        <v>59.800000000000011</v>
      </c>
      <c r="AD21" s="96">
        <f>X21-Y21</f>
        <v>304.39999999999998</v>
      </c>
      <c r="AE21" s="85">
        <v>50</v>
      </c>
      <c r="AF21" s="96">
        <f>AD21-AE21</f>
        <v>254.39999999999998</v>
      </c>
      <c r="AG21" s="49"/>
      <c r="AH21" s="98">
        <f>(SUM(Y21:Z21)/(1+10/100))*(10/100)</f>
        <v>17.954545454545453</v>
      </c>
      <c r="AI21" s="49"/>
    </row>
    <row r="23" spans="1:35" ht="38.25" x14ac:dyDescent="0.2">
      <c r="A23" s="83" t="s">
        <v>135</v>
      </c>
      <c r="B23" s="84">
        <v>45752</v>
      </c>
      <c r="C23" s="85"/>
      <c r="D23" s="85"/>
      <c r="E23" s="85"/>
      <c r="F23" s="85"/>
      <c r="G23" s="85"/>
      <c r="H23" s="85"/>
      <c r="I23" s="85"/>
      <c r="J23" s="85"/>
      <c r="K23" s="86"/>
      <c r="L23" s="83" t="s">
        <v>136</v>
      </c>
      <c r="M23" s="84">
        <v>45752</v>
      </c>
      <c r="N23" s="85"/>
      <c r="O23" s="85"/>
      <c r="P23" s="85"/>
      <c r="Q23" s="85"/>
      <c r="R23" s="85"/>
      <c r="S23" s="85"/>
      <c r="T23" s="85"/>
      <c r="U23" s="85"/>
      <c r="V23" s="85"/>
      <c r="W23" s="87" t="s">
        <v>141</v>
      </c>
      <c r="X23" s="88" t="s">
        <v>192</v>
      </c>
      <c r="Y23" s="89" t="s">
        <v>142</v>
      </c>
      <c r="Z23" s="90" t="s">
        <v>193</v>
      </c>
      <c r="AA23" s="91" t="s">
        <v>194</v>
      </c>
      <c r="AB23" s="88" t="s">
        <v>165</v>
      </c>
      <c r="AC23" s="87" t="s">
        <v>195</v>
      </c>
      <c r="AD23" s="87" t="s">
        <v>196</v>
      </c>
      <c r="AE23" s="88" t="s">
        <v>197</v>
      </c>
      <c r="AF23" s="87" t="s">
        <v>198</v>
      </c>
      <c r="AG23" s="49"/>
      <c r="AH23" s="92"/>
      <c r="AI23" s="49"/>
    </row>
    <row r="24" spans="1:35" ht="12.75" x14ac:dyDescent="0.2">
      <c r="A24" s="87" t="s">
        <v>199</v>
      </c>
      <c r="B24" s="93">
        <v>0.05</v>
      </c>
      <c r="C24" s="93">
        <v>0.1</v>
      </c>
      <c r="D24" s="93">
        <v>0.2</v>
      </c>
      <c r="E24" s="93">
        <v>0.5</v>
      </c>
      <c r="F24" s="93">
        <v>1</v>
      </c>
      <c r="G24" s="93">
        <v>2</v>
      </c>
      <c r="H24" s="93">
        <v>5</v>
      </c>
      <c r="I24" s="93">
        <v>10</v>
      </c>
      <c r="J24" s="49"/>
      <c r="K24" s="86"/>
      <c r="L24" s="87" t="s">
        <v>199</v>
      </c>
      <c r="M24" s="93">
        <v>0.05</v>
      </c>
      <c r="N24" s="93">
        <v>0.1</v>
      </c>
      <c r="O24" s="93">
        <v>0.2</v>
      </c>
      <c r="P24" s="93">
        <v>0.5</v>
      </c>
      <c r="Q24" s="93">
        <v>1</v>
      </c>
      <c r="R24" s="93">
        <v>2</v>
      </c>
      <c r="S24" s="93">
        <v>5</v>
      </c>
      <c r="T24" s="93">
        <v>10</v>
      </c>
      <c r="U24" s="93">
        <v>20</v>
      </c>
      <c r="V24" s="93">
        <v>50</v>
      </c>
      <c r="W24" s="85"/>
      <c r="X24" s="85"/>
      <c r="Y24" s="49"/>
      <c r="Z24" s="94"/>
      <c r="AA24" s="95"/>
      <c r="AB24" s="85"/>
      <c r="AC24" s="85"/>
      <c r="AD24" s="85"/>
      <c r="AE24" s="85"/>
      <c r="AF24" s="85"/>
      <c r="AG24" s="49"/>
      <c r="AH24" s="92"/>
      <c r="AI24" s="49"/>
    </row>
    <row r="25" spans="1:35" ht="12.75" x14ac:dyDescent="0.2">
      <c r="A25" s="87" t="s">
        <v>200</v>
      </c>
      <c r="B25" s="49">
        <v>109</v>
      </c>
      <c r="C25" s="49">
        <v>17</v>
      </c>
      <c r="D25" s="85">
        <v>12</v>
      </c>
      <c r="E25" s="85">
        <v>9</v>
      </c>
      <c r="F25" s="85">
        <v>10</v>
      </c>
      <c r="G25" s="85">
        <v>5</v>
      </c>
      <c r="H25" s="85">
        <v>2</v>
      </c>
      <c r="I25" s="85"/>
      <c r="J25" s="85"/>
      <c r="K25" s="86"/>
      <c r="L25" s="87" t="s">
        <v>200</v>
      </c>
      <c r="M25" s="49">
        <v>110</v>
      </c>
      <c r="N25" s="49">
        <v>27</v>
      </c>
      <c r="O25" s="85">
        <v>10</v>
      </c>
      <c r="P25" s="85">
        <v>18</v>
      </c>
      <c r="Q25" s="85">
        <v>4</v>
      </c>
      <c r="R25" s="85">
        <v>7</v>
      </c>
      <c r="S25" s="85">
        <v>12</v>
      </c>
      <c r="T25" s="85">
        <v>10</v>
      </c>
      <c r="U25" s="85">
        <v>4</v>
      </c>
      <c r="V25" s="85">
        <v>1</v>
      </c>
      <c r="W25" s="85"/>
      <c r="X25" s="85"/>
      <c r="Y25" s="49"/>
      <c r="Z25" s="94"/>
      <c r="AA25" s="95"/>
      <c r="AB25" s="85"/>
      <c r="AC25" s="85"/>
      <c r="AD25" s="85"/>
      <c r="AE25" s="85"/>
      <c r="AF25" s="85"/>
      <c r="AG25" s="49"/>
      <c r="AH25" s="92"/>
      <c r="AI25" s="49"/>
    </row>
    <row r="26" spans="1:35" ht="12.75" x14ac:dyDescent="0.2">
      <c r="A26" s="87" t="s">
        <v>141</v>
      </c>
      <c r="B26" s="70">
        <f t="shared" ref="B26:I26" si="8">B25*B24</f>
        <v>5.45</v>
      </c>
      <c r="C26" s="70">
        <f t="shared" si="8"/>
        <v>1.7000000000000002</v>
      </c>
      <c r="D26" s="70">
        <f t="shared" si="8"/>
        <v>2.4000000000000004</v>
      </c>
      <c r="E26" s="70">
        <f t="shared" si="8"/>
        <v>4.5</v>
      </c>
      <c r="F26" s="70">
        <f t="shared" si="8"/>
        <v>10</v>
      </c>
      <c r="G26" s="70">
        <f t="shared" si="8"/>
        <v>10</v>
      </c>
      <c r="H26" s="70">
        <f t="shared" si="8"/>
        <v>10</v>
      </c>
      <c r="I26" s="70">
        <f t="shared" si="8"/>
        <v>0</v>
      </c>
      <c r="J26" s="70">
        <f>SUM(B26:I26)</f>
        <v>44.05</v>
      </c>
      <c r="K26" s="86"/>
      <c r="L26" s="87" t="s">
        <v>141</v>
      </c>
      <c r="M26" s="70">
        <f t="shared" ref="M26:V26" si="9">M25*M24</f>
        <v>5.5</v>
      </c>
      <c r="N26" s="70">
        <f t="shared" si="9"/>
        <v>2.7</v>
      </c>
      <c r="O26" s="70">
        <f t="shared" si="9"/>
        <v>2</v>
      </c>
      <c r="P26" s="70">
        <f t="shared" si="9"/>
        <v>9</v>
      </c>
      <c r="Q26" s="70">
        <f t="shared" si="9"/>
        <v>4</v>
      </c>
      <c r="R26" s="70">
        <f t="shared" si="9"/>
        <v>14</v>
      </c>
      <c r="S26" s="70">
        <f t="shared" si="9"/>
        <v>60</v>
      </c>
      <c r="T26" s="70">
        <f t="shared" si="9"/>
        <v>100</v>
      </c>
      <c r="U26" s="70">
        <f t="shared" si="9"/>
        <v>80</v>
      </c>
      <c r="V26" s="70">
        <f t="shared" si="9"/>
        <v>50</v>
      </c>
      <c r="W26" s="70">
        <f>SUM(M26:V26)</f>
        <v>327.2</v>
      </c>
      <c r="X26" s="96">
        <f>W26-J26</f>
        <v>283.14999999999998</v>
      </c>
      <c r="Y26" s="94">
        <v>128.1</v>
      </c>
      <c r="Z26" s="94">
        <v>31.9</v>
      </c>
      <c r="AA26" s="97">
        <f>X26+Z26</f>
        <v>315.04999999999995</v>
      </c>
      <c r="AB26" s="85">
        <v>70</v>
      </c>
      <c r="AC26" s="96">
        <f>Y26-AB26</f>
        <v>58.099999999999994</v>
      </c>
      <c r="AD26" s="96">
        <f>X26-Y26</f>
        <v>155.04999999999998</v>
      </c>
      <c r="AE26" s="85">
        <v>20</v>
      </c>
      <c r="AF26" s="96">
        <f>AD26-AE26</f>
        <v>135.04999999999998</v>
      </c>
      <c r="AG26" s="49"/>
      <c r="AH26" s="98">
        <f>(SUM(Y26:Z26)/(1+10/100))*(10/100)</f>
        <v>14.545454545454545</v>
      </c>
      <c r="AI26" s="49"/>
    </row>
    <row r="28" spans="1:35" ht="38.25" x14ac:dyDescent="0.2">
      <c r="A28" s="83" t="s">
        <v>135</v>
      </c>
      <c r="B28" s="84">
        <v>45754</v>
      </c>
      <c r="C28" s="85"/>
      <c r="D28" s="85"/>
      <c r="E28" s="85"/>
      <c r="F28" s="85"/>
      <c r="G28" s="85"/>
      <c r="H28" s="85"/>
      <c r="I28" s="85"/>
      <c r="J28" s="85"/>
      <c r="K28" s="86"/>
      <c r="L28" s="83" t="s">
        <v>136</v>
      </c>
      <c r="M28" s="84">
        <v>45754</v>
      </c>
      <c r="N28" s="85"/>
      <c r="O28" s="85"/>
      <c r="P28" s="85"/>
      <c r="Q28" s="85"/>
      <c r="R28" s="85"/>
      <c r="S28" s="85"/>
      <c r="T28" s="85"/>
      <c r="U28" s="85"/>
      <c r="V28" s="85"/>
      <c r="W28" s="87" t="s">
        <v>141</v>
      </c>
      <c r="X28" s="88" t="s">
        <v>192</v>
      </c>
      <c r="Y28" s="89" t="s">
        <v>142</v>
      </c>
      <c r="Z28" s="90" t="s">
        <v>193</v>
      </c>
      <c r="AA28" s="91" t="s">
        <v>194</v>
      </c>
      <c r="AB28" s="88" t="s">
        <v>165</v>
      </c>
      <c r="AC28" s="87" t="s">
        <v>195</v>
      </c>
      <c r="AD28" s="87" t="s">
        <v>196</v>
      </c>
      <c r="AE28" s="88" t="s">
        <v>197</v>
      </c>
      <c r="AF28" s="87" t="s">
        <v>198</v>
      </c>
      <c r="AG28" s="49"/>
      <c r="AH28" s="92"/>
      <c r="AI28" s="49"/>
    </row>
    <row r="29" spans="1:35" ht="12.75" x14ac:dyDescent="0.2">
      <c r="A29" s="87" t="s">
        <v>199</v>
      </c>
      <c r="B29" s="93">
        <v>0.05</v>
      </c>
      <c r="C29" s="93">
        <v>0.1</v>
      </c>
      <c r="D29" s="93">
        <v>0.2</v>
      </c>
      <c r="E29" s="93">
        <v>0.5</v>
      </c>
      <c r="F29" s="93">
        <v>1</v>
      </c>
      <c r="G29" s="93">
        <v>2</v>
      </c>
      <c r="H29" s="93">
        <v>5</v>
      </c>
      <c r="I29" s="93">
        <v>10</v>
      </c>
      <c r="J29" s="49"/>
      <c r="K29" s="86"/>
      <c r="L29" s="87" t="s">
        <v>199</v>
      </c>
      <c r="M29" s="93">
        <v>0.05</v>
      </c>
      <c r="N29" s="93">
        <v>0.1</v>
      </c>
      <c r="O29" s="93">
        <v>0.2</v>
      </c>
      <c r="P29" s="93">
        <v>0.5</v>
      </c>
      <c r="Q29" s="93">
        <v>1</v>
      </c>
      <c r="R29" s="93">
        <v>2</v>
      </c>
      <c r="S29" s="93">
        <v>5</v>
      </c>
      <c r="T29" s="93">
        <v>10</v>
      </c>
      <c r="U29" s="93">
        <v>20</v>
      </c>
      <c r="V29" s="93">
        <v>50</v>
      </c>
      <c r="W29" s="85"/>
      <c r="X29" s="85"/>
      <c r="Y29" s="49"/>
      <c r="Z29" s="94"/>
      <c r="AA29" s="95"/>
      <c r="AB29" s="85"/>
      <c r="AC29" s="85"/>
      <c r="AD29" s="85"/>
      <c r="AE29" s="85"/>
      <c r="AF29" s="85"/>
      <c r="AG29" s="49"/>
      <c r="AH29" s="92"/>
      <c r="AI29" s="49"/>
    </row>
    <row r="30" spans="1:35" ht="12.75" x14ac:dyDescent="0.2">
      <c r="A30" s="87" t="s">
        <v>200</v>
      </c>
      <c r="B30" s="49">
        <v>110</v>
      </c>
      <c r="C30" s="49">
        <v>27</v>
      </c>
      <c r="D30" s="85">
        <v>10</v>
      </c>
      <c r="E30" s="85">
        <v>18</v>
      </c>
      <c r="F30" s="85">
        <v>4</v>
      </c>
      <c r="G30" s="85">
        <v>7</v>
      </c>
      <c r="H30" s="85">
        <v>2</v>
      </c>
      <c r="I30" s="85"/>
      <c r="J30" s="85"/>
      <c r="K30" s="86"/>
      <c r="L30" s="87" t="s">
        <v>200</v>
      </c>
      <c r="M30" s="49">
        <v>30</v>
      </c>
      <c r="N30" s="49">
        <v>23</v>
      </c>
      <c r="O30" s="85">
        <v>10</v>
      </c>
      <c r="P30" s="85">
        <v>18</v>
      </c>
      <c r="Q30" s="85">
        <v>10</v>
      </c>
      <c r="R30" s="85">
        <v>5</v>
      </c>
      <c r="S30" s="85">
        <v>9</v>
      </c>
      <c r="T30" s="85">
        <v>2</v>
      </c>
      <c r="U30" s="85">
        <v>5</v>
      </c>
      <c r="V30" s="85">
        <v>3</v>
      </c>
      <c r="W30" s="85"/>
      <c r="X30" s="85"/>
      <c r="Y30" s="49"/>
      <c r="Z30" s="94"/>
      <c r="AA30" s="95"/>
      <c r="AB30" s="85"/>
      <c r="AC30" s="85"/>
      <c r="AD30" s="85"/>
      <c r="AE30" s="85"/>
      <c r="AF30" s="85"/>
      <c r="AG30" s="49"/>
      <c r="AH30" s="92"/>
      <c r="AI30" s="49"/>
    </row>
    <row r="31" spans="1:35" ht="12.75" x14ac:dyDescent="0.2">
      <c r="A31" s="87" t="s">
        <v>141</v>
      </c>
      <c r="B31" s="70">
        <f t="shared" ref="B31:I31" si="10">B30*B29</f>
        <v>5.5</v>
      </c>
      <c r="C31" s="70">
        <f t="shared" si="10"/>
        <v>2.7</v>
      </c>
      <c r="D31" s="70">
        <f t="shared" si="10"/>
        <v>2</v>
      </c>
      <c r="E31" s="70">
        <f t="shared" si="10"/>
        <v>9</v>
      </c>
      <c r="F31" s="70">
        <f t="shared" si="10"/>
        <v>4</v>
      </c>
      <c r="G31" s="70">
        <f t="shared" si="10"/>
        <v>14</v>
      </c>
      <c r="H31" s="70">
        <f t="shared" si="10"/>
        <v>10</v>
      </c>
      <c r="I31" s="70">
        <f t="shared" si="10"/>
        <v>0</v>
      </c>
      <c r="J31" s="70">
        <f>SUM(B31:I31)</f>
        <v>47.2</v>
      </c>
      <c r="K31" s="86"/>
      <c r="L31" s="87" t="s">
        <v>141</v>
      </c>
      <c r="M31" s="70">
        <f t="shared" ref="M31:V31" si="11">M30*M29</f>
        <v>1.5</v>
      </c>
      <c r="N31" s="70">
        <f t="shared" si="11"/>
        <v>2.3000000000000003</v>
      </c>
      <c r="O31" s="70">
        <f t="shared" si="11"/>
        <v>2</v>
      </c>
      <c r="P31" s="70">
        <f t="shared" si="11"/>
        <v>9</v>
      </c>
      <c r="Q31" s="70">
        <f t="shared" si="11"/>
        <v>10</v>
      </c>
      <c r="R31" s="70">
        <f t="shared" si="11"/>
        <v>10</v>
      </c>
      <c r="S31" s="70">
        <f t="shared" si="11"/>
        <v>45</v>
      </c>
      <c r="T31" s="70">
        <f t="shared" si="11"/>
        <v>20</v>
      </c>
      <c r="U31" s="70">
        <f t="shared" si="11"/>
        <v>100</v>
      </c>
      <c r="V31" s="70">
        <f t="shared" si="11"/>
        <v>150</v>
      </c>
      <c r="W31" s="70">
        <f>SUM(M31:V31)</f>
        <v>349.8</v>
      </c>
      <c r="X31" s="96">
        <f>W31-J31</f>
        <v>302.60000000000002</v>
      </c>
      <c r="Y31" s="94">
        <v>117.6</v>
      </c>
      <c r="Z31" s="94">
        <v>92.1</v>
      </c>
      <c r="AA31" s="97">
        <f>X31+Z31</f>
        <v>394.70000000000005</v>
      </c>
      <c r="AB31" s="85">
        <v>90</v>
      </c>
      <c r="AC31" s="96">
        <f>Y31-AB31</f>
        <v>27.599999999999994</v>
      </c>
      <c r="AD31" s="96">
        <f>X31-Y31</f>
        <v>185.00000000000003</v>
      </c>
      <c r="AE31" s="85">
        <v>20</v>
      </c>
      <c r="AF31" s="96">
        <f>AD31-AE31</f>
        <v>165.00000000000003</v>
      </c>
      <c r="AG31" s="49"/>
      <c r="AH31" s="98">
        <f>(SUM(Y31:Z31)/(1+10/100))*(10/100)</f>
        <v>19.063636363636359</v>
      </c>
      <c r="AI31" s="49"/>
    </row>
    <row r="33" spans="1:35" ht="38.25" x14ac:dyDescent="0.2">
      <c r="A33" s="83" t="s">
        <v>135</v>
      </c>
      <c r="B33" s="84">
        <v>45755</v>
      </c>
      <c r="C33" s="85"/>
      <c r="D33" s="85"/>
      <c r="E33" s="85"/>
      <c r="F33" s="85"/>
      <c r="G33" s="85"/>
      <c r="H33" s="85"/>
      <c r="I33" s="85"/>
      <c r="J33" s="85"/>
      <c r="K33" s="86"/>
      <c r="L33" s="83" t="s">
        <v>136</v>
      </c>
      <c r="M33" s="84">
        <v>45755</v>
      </c>
      <c r="N33" s="85"/>
      <c r="O33" s="85"/>
      <c r="P33" s="85"/>
      <c r="Q33" s="85"/>
      <c r="R33" s="85"/>
      <c r="S33" s="85"/>
      <c r="T33" s="85"/>
      <c r="U33" s="85"/>
      <c r="V33" s="85"/>
      <c r="W33" s="87" t="s">
        <v>141</v>
      </c>
      <c r="X33" s="88" t="s">
        <v>192</v>
      </c>
      <c r="Y33" s="89" t="s">
        <v>142</v>
      </c>
      <c r="Z33" s="90" t="s">
        <v>193</v>
      </c>
      <c r="AA33" s="91" t="s">
        <v>194</v>
      </c>
      <c r="AB33" s="88" t="s">
        <v>165</v>
      </c>
      <c r="AC33" s="87" t="s">
        <v>195</v>
      </c>
      <c r="AD33" s="87" t="s">
        <v>196</v>
      </c>
      <c r="AE33" s="88" t="s">
        <v>197</v>
      </c>
      <c r="AF33" s="87" t="s">
        <v>198</v>
      </c>
      <c r="AG33" s="49"/>
      <c r="AH33" s="92"/>
      <c r="AI33" s="49"/>
    </row>
    <row r="34" spans="1:35" ht="12.75" x14ac:dyDescent="0.2">
      <c r="A34" s="87" t="s">
        <v>199</v>
      </c>
      <c r="B34" s="93">
        <v>0.05</v>
      </c>
      <c r="C34" s="93">
        <v>0.1</v>
      </c>
      <c r="D34" s="93">
        <v>0.2</v>
      </c>
      <c r="E34" s="93">
        <v>0.5</v>
      </c>
      <c r="F34" s="93">
        <v>1</v>
      </c>
      <c r="G34" s="93">
        <v>2</v>
      </c>
      <c r="H34" s="93">
        <v>5</v>
      </c>
      <c r="I34" s="93">
        <v>10</v>
      </c>
      <c r="J34" s="49"/>
      <c r="K34" s="86"/>
      <c r="L34" s="87" t="s">
        <v>199</v>
      </c>
      <c r="M34" s="93">
        <v>0.05</v>
      </c>
      <c r="N34" s="93">
        <v>0.1</v>
      </c>
      <c r="O34" s="93">
        <v>0.2</v>
      </c>
      <c r="P34" s="93">
        <v>0.5</v>
      </c>
      <c r="Q34" s="93">
        <v>1</v>
      </c>
      <c r="R34" s="93">
        <v>2</v>
      </c>
      <c r="S34" s="93">
        <v>5</v>
      </c>
      <c r="T34" s="93">
        <v>10</v>
      </c>
      <c r="U34" s="93">
        <v>20</v>
      </c>
      <c r="V34" s="93">
        <v>50</v>
      </c>
      <c r="W34" s="85"/>
      <c r="X34" s="85"/>
      <c r="Y34" s="49"/>
      <c r="Z34" s="94"/>
      <c r="AA34" s="95"/>
      <c r="AB34" s="85"/>
      <c r="AC34" s="85"/>
      <c r="AD34" s="85"/>
      <c r="AE34" s="85"/>
      <c r="AF34" s="85"/>
      <c r="AG34" s="49"/>
      <c r="AH34" s="92"/>
      <c r="AI34" s="49"/>
    </row>
    <row r="35" spans="1:35" ht="12.75" x14ac:dyDescent="0.2">
      <c r="A35" s="87" t="s">
        <v>200</v>
      </c>
      <c r="B35" s="49">
        <v>30</v>
      </c>
      <c r="C35" s="49">
        <v>23</v>
      </c>
      <c r="D35" s="85">
        <v>10</v>
      </c>
      <c r="E35" s="85">
        <v>18</v>
      </c>
      <c r="F35" s="85">
        <v>10</v>
      </c>
      <c r="G35" s="85">
        <v>5</v>
      </c>
      <c r="H35" s="85">
        <v>2</v>
      </c>
      <c r="I35" s="85"/>
      <c r="J35" s="85"/>
      <c r="K35" s="86"/>
      <c r="L35" s="87" t="s">
        <v>200</v>
      </c>
      <c r="M35" s="49">
        <v>31</v>
      </c>
      <c r="N35" s="49">
        <v>22</v>
      </c>
      <c r="O35" s="85">
        <v>9</v>
      </c>
      <c r="P35" s="85">
        <v>17</v>
      </c>
      <c r="Q35" s="85">
        <v>9</v>
      </c>
      <c r="R35" s="85">
        <v>7</v>
      </c>
      <c r="S35" s="85">
        <v>11</v>
      </c>
      <c r="T35" s="85">
        <v>7</v>
      </c>
      <c r="U35" s="85">
        <v>5</v>
      </c>
      <c r="V35" s="85">
        <v>4</v>
      </c>
      <c r="W35" s="85"/>
      <c r="X35" s="85"/>
      <c r="Y35" s="49"/>
      <c r="Z35" s="94"/>
      <c r="AA35" s="95"/>
      <c r="AB35" s="85"/>
      <c r="AC35" s="85"/>
      <c r="AD35" s="85"/>
      <c r="AE35" s="85"/>
      <c r="AF35" s="85"/>
      <c r="AG35" s="49"/>
      <c r="AH35" s="92"/>
      <c r="AI35" s="49"/>
    </row>
    <row r="36" spans="1:35" ht="12.75" x14ac:dyDescent="0.2">
      <c r="A36" s="87" t="s">
        <v>141</v>
      </c>
      <c r="B36" s="70">
        <f t="shared" ref="B36:I36" si="12">B35*B34</f>
        <v>1.5</v>
      </c>
      <c r="C36" s="70">
        <f t="shared" si="12"/>
        <v>2.3000000000000003</v>
      </c>
      <c r="D36" s="70">
        <f t="shared" si="12"/>
        <v>2</v>
      </c>
      <c r="E36" s="70">
        <f t="shared" si="12"/>
        <v>9</v>
      </c>
      <c r="F36" s="70">
        <f t="shared" si="12"/>
        <v>10</v>
      </c>
      <c r="G36" s="70">
        <f t="shared" si="12"/>
        <v>10</v>
      </c>
      <c r="H36" s="70">
        <f t="shared" si="12"/>
        <v>10</v>
      </c>
      <c r="I36" s="70">
        <f t="shared" si="12"/>
        <v>0</v>
      </c>
      <c r="J36" s="70">
        <f>SUM(B36:I36)</f>
        <v>44.8</v>
      </c>
      <c r="K36" s="86"/>
      <c r="L36" s="87" t="s">
        <v>141</v>
      </c>
      <c r="M36" s="70">
        <f t="shared" ref="M36:V36" si="13">M35*M34</f>
        <v>1.55</v>
      </c>
      <c r="N36" s="70">
        <f t="shared" si="13"/>
        <v>2.2000000000000002</v>
      </c>
      <c r="O36" s="70">
        <f t="shared" si="13"/>
        <v>1.8</v>
      </c>
      <c r="P36" s="70">
        <f t="shared" si="13"/>
        <v>8.5</v>
      </c>
      <c r="Q36" s="70">
        <f t="shared" si="13"/>
        <v>9</v>
      </c>
      <c r="R36" s="70">
        <f t="shared" si="13"/>
        <v>14</v>
      </c>
      <c r="S36" s="70">
        <f t="shared" si="13"/>
        <v>55</v>
      </c>
      <c r="T36" s="70">
        <f t="shared" si="13"/>
        <v>70</v>
      </c>
      <c r="U36" s="70">
        <f t="shared" si="13"/>
        <v>100</v>
      </c>
      <c r="V36" s="70">
        <f t="shared" si="13"/>
        <v>200</v>
      </c>
      <c r="W36" s="70">
        <f>SUM(M36:V36)</f>
        <v>462.05</v>
      </c>
      <c r="X36" s="96">
        <f>W36-J36</f>
        <v>417.25</v>
      </c>
      <c r="Y36" s="94">
        <v>157.4</v>
      </c>
      <c r="Z36" s="94">
        <v>93.8</v>
      </c>
      <c r="AA36" s="97">
        <f>X36+Z36</f>
        <v>511.05</v>
      </c>
      <c r="AB36" s="85">
        <v>77</v>
      </c>
      <c r="AC36" s="96">
        <f>Y36-AB36</f>
        <v>80.400000000000006</v>
      </c>
      <c r="AD36" s="96">
        <f>X36-Y36</f>
        <v>259.85000000000002</v>
      </c>
      <c r="AE36" s="85">
        <v>59.85</v>
      </c>
      <c r="AF36" s="96">
        <f>AD36-AE36</f>
        <v>200.00000000000003</v>
      </c>
      <c r="AG36" s="49"/>
      <c r="AH36" s="98">
        <f>(SUM(Y36:Z36)/(1+10/100))*(10/100)</f>
        <v>22.836363636363636</v>
      </c>
      <c r="AI36" s="49"/>
    </row>
    <row r="38" spans="1:35" ht="38.25" x14ac:dyDescent="0.2">
      <c r="A38" s="83" t="s">
        <v>135</v>
      </c>
      <c r="B38" s="84">
        <v>45756</v>
      </c>
      <c r="C38" s="85"/>
      <c r="D38" s="85"/>
      <c r="E38" s="85"/>
      <c r="F38" s="85"/>
      <c r="G38" s="85"/>
      <c r="H38" s="85"/>
      <c r="I38" s="85"/>
      <c r="J38" s="85"/>
      <c r="K38" s="86"/>
      <c r="L38" s="83" t="s">
        <v>136</v>
      </c>
      <c r="M38" s="84">
        <v>45756</v>
      </c>
      <c r="N38" s="85"/>
      <c r="O38" s="85"/>
      <c r="P38" s="85"/>
      <c r="Q38" s="85"/>
      <c r="R38" s="85"/>
      <c r="S38" s="85"/>
      <c r="T38" s="85"/>
      <c r="U38" s="85"/>
      <c r="V38" s="85"/>
      <c r="W38" s="87" t="s">
        <v>141</v>
      </c>
      <c r="X38" s="88" t="s">
        <v>192</v>
      </c>
      <c r="Y38" s="89" t="s">
        <v>142</v>
      </c>
      <c r="Z38" s="90" t="s">
        <v>193</v>
      </c>
      <c r="AA38" s="91" t="s">
        <v>194</v>
      </c>
      <c r="AB38" s="88" t="s">
        <v>165</v>
      </c>
      <c r="AC38" s="87" t="s">
        <v>195</v>
      </c>
      <c r="AD38" s="87" t="s">
        <v>196</v>
      </c>
      <c r="AE38" s="88" t="s">
        <v>197</v>
      </c>
      <c r="AF38" s="87" t="s">
        <v>198</v>
      </c>
      <c r="AG38" s="49"/>
      <c r="AH38" s="92"/>
      <c r="AI38" s="49"/>
    </row>
    <row r="39" spans="1:35" ht="12.75" x14ac:dyDescent="0.2">
      <c r="A39" s="87" t="s">
        <v>199</v>
      </c>
      <c r="B39" s="93">
        <v>0.05</v>
      </c>
      <c r="C39" s="93">
        <v>0.1</v>
      </c>
      <c r="D39" s="93">
        <v>0.2</v>
      </c>
      <c r="E39" s="93">
        <v>0.5</v>
      </c>
      <c r="F39" s="93">
        <v>1</v>
      </c>
      <c r="G39" s="93">
        <v>2</v>
      </c>
      <c r="H39" s="93">
        <v>5</v>
      </c>
      <c r="I39" s="93">
        <v>10</v>
      </c>
      <c r="J39" s="49"/>
      <c r="K39" s="86"/>
      <c r="L39" s="87" t="s">
        <v>199</v>
      </c>
      <c r="M39" s="93">
        <v>0.05</v>
      </c>
      <c r="N39" s="93">
        <v>0.1</v>
      </c>
      <c r="O39" s="93">
        <v>0.2</v>
      </c>
      <c r="P39" s="93">
        <v>0.5</v>
      </c>
      <c r="Q39" s="93">
        <v>1</v>
      </c>
      <c r="R39" s="93">
        <v>2</v>
      </c>
      <c r="S39" s="93">
        <v>5</v>
      </c>
      <c r="T39" s="93">
        <v>10</v>
      </c>
      <c r="U39" s="93">
        <v>20</v>
      </c>
      <c r="V39" s="93">
        <v>50</v>
      </c>
      <c r="W39" s="85"/>
      <c r="X39" s="85"/>
      <c r="Y39" s="49"/>
      <c r="Z39" s="94"/>
      <c r="AA39" s="95"/>
      <c r="AB39" s="85"/>
      <c r="AC39" s="85"/>
      <c r="AD39" s="85"/>
      <c r="AE39" s="85"/>
      <c r="AF39" s="85"/>
      <c r="AG39" s="49"/>
      <c r="AH39" s="92"/>
      <c r="AI39" s="49"/>
    </row>
    <row r="40" spans="1:35" ht="12.75" x14ac:dyDescent="0.2">
      <c r="A40" s="87" t="s">
        <v>200</v>
      </c>
      <c r="B40" s="49">
        <v>31</v>
      </c>
      <c r="C40" s="49">
        <v>22</v>
      </c>
      <c r="D40" s="85">
        <v>9</v>
      </c>
      <c r="E40" s="85">
        <v>17</v>
      </c>
      <c r="F40" s="85">
        <v>9</v>
      </c>
      <c r="G40" s="85">
        <v>7</v>
      </c>
      <c r="H40" s="85">
        <v>2</v>
      </c>
      <c r="I40" s="85"/>
      <c r="J40" s="85"/>
      <c r="K40" s="86"/>
      <c r="L40" s="87" t="s">
        <v>200</v>
      </c>
      <c r="M40" s="49">
        <v>30</v>
      </c>
      <c r="N40" s="49">
        <v>19</v>
      </c>
      <c r="O40" s="85">
        <v>5</v>
      </c>
      <c r="P40" s="85">
        <v>9</v>
      </c>
      <c r="Q40" s="85">
        <v>8</v>
      </c>
      <c r="R40" s="85">
        <v>5</v>
      </c>
      <c r="S40" s="85">
        <v>4</v>
      </c>
      <c r="T40" s="85">
        <v>12</v>
      </c>
      <c r="U40" s="85">
        <v>2</v>
      </c>
      <c r="V40" s="85">
        <v>3</v>
      </c>
      <c r="W40" s="85"/>
      <c r="X40" s="85"/>
      <c r="Y40" s="49"/>
      <c r="Z40" s="94"/>
      <c r="AA40" s="95"/>
      <c r="AB40" s="85"/>
      <c r="AC40" s="85"/>
      <c r="AD40" s="85"/>
      <c r="AE40" s="85"/>
      <c r="AF40" s="85"/>
      <c r="AG40" s="49"/>
      <c r="AH40" s="92"/>
      <c r="AI40" s="49"/>
    </row>
    <row r="41" spans="1:35" ht="12.75" x14ac:dyDescent="0.2">
      <c r="A41" s="87" t="s">
        <v>141</v>
      </c>
      <c r="B41" s="70">
        <f t="shared" ref="B41:I41" si="14">B40*B39</f>
        <v>1.55</v>
      </c>
      <c r="C41" s="70">
        <f t="shared" si="14"/>
        <v>2.2000000000000002</v>
      </c>
      <c r="D41" s="70">
        <f t="shared" si="14"/>
        <v>1.8</v>
      </c>
      <c r="E41" s="70">
        <f t="shared" si="14"/>
        <v>8.5</v>
      </c>
      <c r="F41" s="70">
        <f t="shared" si="14"/>
        <v>9</v>
      </c>
      <c r="G41" s="70">
        <f t="shared" si="14"/>
        <v>14</v>
      </c>
      <c r="H41" s="70">
        <f t="shared" si="14"/>
        <v>10</v>
      </c>
      <c r="I41" s="70">
        <f t="shared" si="14"/>
        <v>0</v>
      </c>
      <c r="J41" s="70">
        <f>SUM(B41:I41)</f>
        <v>47.05</v>
      </c>
      <c r="K41" s="86"/>
      <c r="L41" s="87" t="s">
        <v>141</v>
      </c>
      <c r="M41" s="70">
        <f t="shared" ref="M41:V41" si="15">M40*M39</f>
        <v>1.5</v>
      </c>
      <c r="N41" s="70">
        <f t="shared" si="15"/>
        <v>1.9000000000000001</v>
      </c>
      <c r="O41" s="70">
        <f t="shared" si="15"/>
        <v>1</v>
      </c>
      <c r="P41" s="70">
        <f t="shared" si="15"/>
        <v>4.5</v>
      </c>
      <c r="Q41" s="70">
        <f t="shared" si="15"/>
        <v>8</v>
      </c>
      <c r="R41" s="70">
        <f t="shared" si="15"/>
        <v>10</v>
      </c>
      <c r="S41" s="70">
        <f t="shared" si="15"/>
        <v>20</v>
      </c>
      <c r="T41" s="70">
        <f t="shared" si="15"/>
        <v>120</v>
      </c>
      <c r="U41" s="70">
        <f t="shared" si="15"/>
        <v>40</v>
      </c>
      <c r="V41" s="70">
        <f t="shared" si="15"/>
        <v>150</v>
      </c>
      <c r="W41" s="70">
        <f>SUM(M41:V41)</f>
        <v>356.9</v>
      </c>
      <c r="X41" s="96">
        <f>W41-J41</f>
        <v>309.84999999999997</v>
      </c>
      <c r="Y41" s="94">
        <v>148.9</v>
      </c>
      <c r="Z41" s="94">
        <v>62.7</v>
      </c>
      <c r="AA41" s="97">
        <f>X41+Z41</f>
        <v>372.54999999999995</v>
      </c>
      <c r="AB41" s="85">
        <v>100</v>
      </c>
      <c r="AC41" s="96">
        <f>Y41-AB41</f>
        <v>48.900000000000006</v>
      </c>
      <c r="AD41" s="96">
        <f>X41-Y41</f>
        <v>160.94999999999996</v>
      </c>
      <c r="AE41" s="85"/>
      <c r="AF41" s="96">
        <f>AD41-AE41</f>
        <v>160.94999999999996</v>
      </c>
      <c r="AG41" s="49"/>
      <c r="AH41" s="98">
        <f>(SUM(Y41:Z41)/(1+10/100))*(10/100)</f>
        <v>19.236363636363638</v>
      </c>
      <c r="AI41" s="49"/>
    </row>
    <row r="43" spans="1:35" ht="38.25" x14ac:dyDescent="0.2">
      <c r="A43" s="83" t="s">
        <v>135</v>
      </c>
      <c r="B43" s="84">
        <v>45757</v>
      </c>
      <c r="C43" s="85"/>
      <c r="D43" s="85"/>
      <c r="E43" s="85"/>
      <c r="F43" s="85"/>
      <c r="G43" s="85"/>
      <c r="H43" s="85"/>
      <c r="I43" s="85"/>
      <c r="J43" s="85"/>
      <c r="K43" s="86"/>
      <c r="L43" s="83" t="s">
        <v>136</v>
      </c>
      <c r="M43" s="84">
        <v>45757</v>
      </c>
      <c r="N43" s="85"/>
      <c r="O43" s="85"/>
      <c r="P43" s="85"/>
      <c r="Q43" s="85"/>
      <c r="R43" s="85"/>
      <c r="S43" s="85"/>
      <c r="T43" s="85"/>
      <c r="U43" s="85"/>
      <c r="V43" s="85"/>
      <c r="W43" s="87" t="s">
        <v>141</v>
      </c>
      <c r="X43" s="88" t="s">
        <v>192</v>
      </c>
      <c r="Y43" s="89" t="s">
        <v>142</v>
      </c>
      <c r="Z43" s="90" t="s">
        <v>193</v>
      </c>
      <c r="AA43" s="91" t="s">
        <v>194</v>
      </c>
      <c r="AB43" s="88" t="s">
        <v>165</v>
      </c>
      <c r="AC43" s="87" t="s">
        <v>195</v>
      </c>
      <c r="AD43" s="87" t="s">
        <v>196</v>
      </c>
      <c r="AE43" s="88" t="s">
        <v>197</v>
      </c>
      <c r="AF43" s="87" t="s">
        <v>198</v>
      </c>
      <c r="AG43" s="49"/>
      <c r="AH43" s="92"/>
      <c r="AI43" s="49"/>
    </row>
    <row r="44" spans="1:35" ht="12.75" x14ac:dyDescent="0.2">
      <c r="A44" s="87" t="s">
        <v>199</v>
      </c>
      <c r="B44" s="93">
        <v>0.05</v>
      </c>
      <c r="C44" s="93">
        <v>0.1</v>
      </c>
      <c r="D44" s="93">
        <v>0.2</v>
      </c>
      <c r="E44" s="93">
        <v>0.5</v>
      </c>
      <c r="F44" s="93">
        <v>1</v>
      </c>
      <c r="G44" s="93">
        <v>2</v>
      </c>
      <c r="H44" s="93">
        <v>5</v>
      </c>
      <c r="I44" s="93">
        <v>10</v>
      </c>
      <c r="J44" s="49"/>
      <c r="K44" s="86"/>
      <c r="L44" s="87" t="s">
        <v>199</v>
      </c>
      <c r="M44" s="93">
        <v>0.05</v>
      </c>
      <c r="N44" s="93">
        <v>0.1</v>
      </c>
      <c r="O44" s="93">
        <v>0.2</v>
      </c>
      <c r="P44" s="93">
        <v>0.5</v>
      </c>
      <c r="Q44" s="93">
        <v>1</v>
      </c>
      <c r="R44" s="93">
        <v>2</v>
      </c>
      <c r="S44" s="93">
        <v>5</v>
      </c>
      <c r="T44" s="93">
        <v>10</v>
      </c>
      <c r="U44" s="93">
        <v>20</v>
      </c>
      <c r="V44" s="93">
        <v>50</v>
      </c>
      <c r="W44" s="85"/>
      <c r="X44" s="85"/>
      <c r="Y44" s="49"/>
      <c r="Z44" s="94"/>
      <c r="AA44" s="95"/>
      <c r="AB44" s="85"/>
      <c r="AC44" s="85"/>
      <c r="AD44" s="85"/>
      <c r="AE44" s="85"/>
      <c r="AF44" s="85"/>
      <c r="AG44" s="49"/>
      <c r="AH44" s="92"/>
      <c r="AI44" s="49"/>
    </row>
    <row r="45" spans="1:35" ht="12.75" x14ac:dyDescent="0.2">
      <c r="A45" s="87" t="s">
        <v>200</v>
      </c>
      <c r="B45" s="49">
        <v>30</v>
      </c>
      <c r="C45" s="49">
        <v>19</v>
      </c>
      <c r="D45" s="85">
        <v>5</v>
      </c>
      <c r="E45" s="85">
        <v>9</v>
      </c>
      <c r="F45" s="85">
        <v>8</v>
      </c>
      <c r="G45" s="85">
        <v>5</v>
      </c>
      <c r="H45" s="85">
        <v>2</v>
      </c>
      <c r="I45" s="85"/>
      <c r="J45" s="85"/>
      <c r="K45" s="86"/>
      <c r="L45" s="87" t="s">
        <v>200</v>
      </c>
      <c r="M45" s="49">
        <v>32</v>
      </c>
      <c r="N45" s="49">
        <v>11</v>
      </c>
      <c r="O45" s="85">
        <v>9</v>
      </c>
      <c r="P45" s="85">
        <v>9</v>
      </c>
      <c r="Q45" s="85">
        <v>22</v>
      </c>
      <c r="R45" s="85">
        <v>12</v>
      </c>
      <c r="S45" s="85">
        <v>8</v>
      </c>
      <c r="T45" s="85">
        <v>4</v>
      </c>
      <c r="U45" s="85">
        <v>3</v>
      </c>
      <c r="V45" s="85">
        <v>2</v>
      </c>
      <c r="W45" s="85"/>
      <c r="X45" s="85"/>
      <c r="Y45" s="49"/>
      <c r="Z45" s="94"/>
      <c r="AA45" s="95"/>
      <c r="AB45" s="85"/>
      <c r="AC45" s="85"/>
      <c r="AD45" s="85"/>
      <c r="AE45" s="85"/>
      <c r="AF45" s="85"/>
      <c r="AG45" s="49"/>
      <c r="AH45" s="92"/>
      <c r="AI45" s="49"/>
    </row>
    <row r="46" spans="1:35" ht="12.75" x14ac:dyDescent="0.2">
      <c r="A46" s="87" t="s">
        <v>141</v>
      </c>
      <c r="B46" s="70">
        <f t="shared" ref="B46:I46" si="16">B45*B44</f>
        <v>1.5</v>
      </c>
      <c r="C46" s="70">
        <f t="shared" si="16"/>
        <v>1.9000000000000001</v>
      </c>
      <c r="D46" s="70">
        <f t="shared" si="16"/>
        <v>1</v>
      </c>
      <c r="E46" s="70">
        <f t="shared" si="16"/>
        <v>4.5</v>
      </c>
      <c r="F46" s="70">
        <f t="shared" si="16"/>
        <v>8</v>
      </c>
      <c r="G46" s="70">
        <f t="shared" si="16"/>
        <v>10</v>
      </c>
      <c r="H46" s="70">
        <f t="shared" si="16"/>
        <v>10</v>
      </c>
      <c r="I46" s="70">
        <f t="shared" si="16"/>
        <v>0</v>
      </c>
      <c r="J46" s="70">
        <f>SUM(B46:I46)</f>
        <v>36.9</v>
      </c>
      <c r="K46" s="86"/>
      <c r="L46" s="87" t="s">
        <v>141</v>
      </c>
      <c r="M46" s="70">
        <f t="shared" ref="M46:V46" si="17">M45*M44</f>
        <v>1.6</v>
      </c>
      <c r="N46" s="70">
        <f t="shared" si="17"/>
        <v>1.1000000000000001</v>
      </c>
      <c r="O46" s="70">
        <f t="shared" si="17"/>
        <v>1.8</v>
      </c>
      <c r="P46" s="70">
        <f t="shared" si="17"/>
        <v>4.5</v>
      </c>
      <c r="Q46" s="70">
        <f t="shared" si="17"/>
        <v>22</v>
      </c>
      <c r="R46" s="70">
        <f t="shared" si="17"/>
        <v>24</v>
      </c>
      <c r="S46" s="70">
        <f t="shared" si="17"/>
        <v>40</v>
      </c>
      <c r="T46" s="70">
        <f t="shared" si="17"/>
        <v>40</v>
      </c>
      <c r="U46" s="70">
        <f t="shared" si="17"/>
        <v>60</v>
      </c>
      <c r="V46" s="70">
        <f t="shared" si="17"/>
        <v>100</v>
      </c>
      <c r="W46" s="70">
        <f>SUM(M46:V46)</f>
        <v>295</v>
      </c>
      <c r="X46" s="96">
        <f>W46-J46</f>
        <v>258.10000000000002</v>
      </c>
      <c r="Y46" s="94">
        <v>78.3</v>
      </c>
      <c r="Z46" s="94">
        <v>11.5</v>
      </c>
      <c r="AA46" s="97">
        <f>X46+Z46</f>
        <v>269.60000000000002</v>
      </c>
      <c r="AB46" s="85">
        <v>50</v>
      </c>
      <c r="AC46" s="96">
        <f>Y46-AB46</f>
        <v>28.299999999999997</v>
      </c>
      <c r="AD46" s="96">
        <f>X46-Y46</f>
        <v>179.8</v>
      </c>
      <c r="AE46" s="85">
        <v>23.8</v>
      </c>
      <c r="AF46" s="96">
        <f>AD46-AE46</f>
        <v>156</v>
      </c>
      <c r="AG46" s="49"/>
      <c r="AH46" s="98">
        <f>(SUM(Y46:Z46)/(1+10/100))*(10/100)</f>
        <v>8.1636363636363622</v>
      </c>
      <c r="AI46" s="49"/>
    </row>
    <row r="48" spans="1:35" ht="38.25" x14ac:dyDescent="0.2">
      <c r="A48" s="83" t="s">
        <v>135</v>
      </c>
      <c r="B48" s="84">
        <v>45758</v>
      </c>
      <c r="C48" s="85"/>
      <c r="D48" s="85"/>
      <c r="E48" s="85"/>
      <c r="F48" s="85"/>
      <c r="G48" s="85"/>
      <c r="H48" s="85"/>
      <c r="I48" s="85"/>
      <c r="J48" s="85"/>
      <c r="K48" s="86"/>
      <c r="L48" s="83" t="s">
        <v>136</v>
      </c>
      <c r="M48" s="84">
        <v>45758</v>
      </c>
      <c r="N48" s="85"/>
      <c r="O48" s="85"/>
      <c r="P48" s="85"/>
      <c r="Q48" s="85"/>
      <c r="R48" s="85"/>
      <c r="S48" s="85"/>
      <c r="T48" s="85"/>
      <c r="U48" s="85"/>
      <c r="V48" s="85"/>
      <c r="W48" s="87" t="s">
        <v>141</v>
      </c>
      <c r="X48" s="88" t="s">
        <v>192</v>
      </c>
      <c r="Y48" s="89" t="s">
        <v>142</v>
      </c>
      <c r="Z48" s="90" t="s">
        <v>193</v>
      </c>
      <c r="AA48" s="91" t="s">
        <v>194</v>
      </c>
      <c r="AB48" s="88" t="s">
        <v>165</v>
      </c>
      <c r="AC48" s="87" t="s">
        <v>195</v>
      </c>
      <c r="AD48" s="87" t="s">
        <v>196</v>
      </c>
      <c r="AE48" s="88" t="s">
        <v>197</v>
      </c>
      <c r="AF48" s="87" t="s">
        <v>198</v>
      </c>
      <c r="AG48" s="49"/>
      <c r="AH48" s="92"/>
      <c r="AI48" s="49"/>
    </row>
    <row r="49" spans="1:35" ht="12.75" x14ac:dyDescent="0.2">
      <c r="A49" s="87" t="s">
        <v>199</v>
      </c>
      <c r="B49" s="93">
        <v>0.05</v>
      </c>
      <c r="C49" s="93">
        <v>0.1</v>
      </c>
      <c r="D49" s="93">
        <v>0.2</v>
      </c>
      <c r="E49" s="93">
        <v>0.5</v>
      </c>
      <c r="F49" s="93">
        <v>1</v>
      </c>
      <c r="G49" s="93">
        <v>2</v>
      </c>
      <c r="H49" s="93">
        <v>5</v>
      </c>
      <c r="I49" s="93">
        <v>10</v>
      </c>
      <c r="J49" s="49"/>
      <c r="K49" s="86"/>
      <c r="L49" s="87" t="s">
        <v>199</v>
      </c>
      <c r="M49" s="93">
        <v>0.05</v>
      </c>
      <c r="N49" s="93">
        <v>0.1</v>
      </c>
      <c r="O49" s="93">
        <v>0.2</v>
      </c>
      <c r="P49" s="93">
        <v>0.5</v>
      </c>
      <c r="Q49" s="93">
        <v>1</v>
      </c>
      <c r="R49" s="93">
        <v>2</v>
      </c>
      <c r="S49" s="93">
        <v>5</v>
      </c>
      <c r="T49" s="93">
        <v>10</v>
      </c>
      <c r="U49" s="93">
        <v>20</v>
      </c>
      <c r="V49" s="93">
        <v>50</v>
      </c>
      <c r="W49" s="85"/>
      <c r="X49" s="85"/>
      <c r="Y49" s="49"/>
      <c r="Z49" s="94"/>
      <c r="AA49" s="95"/>
      <c r="AB49" s="85"/>
      <c r="AC49" s="85"/>
      <c r="AD49" s="85"/>
      <c r="AE49" s="85"/>
      <c r="AF49" s="85"/>
      <c r="AG49" s="49"/>
      <c r="AH49" s="92"/>
      <c r="AI49" s="49"/>
    </row>
    <row r="50" spans="1:35" ht="12.75" x14ac:dyDescent="0.2">
      <c r="A50" s="87" t="s">
        <v>200</v>
      </c>
      <c r="B50" s="49">
        <v>32</v>
      </c>
      <c r="C50" s="49">
        <v>11</v>
      </c>
      <c r="D50" s="85">
        <v>9</v>
      </c>
      <c r="E50" s="85">
        <v>9</v>
      </c>
      <c r="F50" s="85">
        <v>10</v>
      </c>
      <c r="G50" s="85">
        <v>5</v>
      </c>
      <c r="H50" s="85">
        <v>2</v>
      </c>
      <c r="I50" s="85"/>
      <c r="J50" s="85"/>
      <c r="K50" s="86"/>
      <c r="L50" s="87" t="s">
        <v>200</v>
      </c>
      <c r="M50" s="49">
        <v>29</v>
      </c>
      <c r="N50" s="49">
        <v>18</v>
      </c>
      <c r="O50" s="85">
        <v>1</v>
      </c>
      <c r="P50" s="85">
        <v>7</v>
      </c>
      <c r="Q50" s="85">
        <v>17</v>
      </c>
      <c r="R50" s="85">
        <v>3</v>
      </c>
      <c r="S50" s="85">
        <v>10</v>
      </c>
      <c r="T50" s="85">
        <v>17</v>
      </c>
      <c r="U50" s="85">
        <v>3</v>
      </c>
      <c r="V50" s="85">
        <v>3</v>
      </c>
      <c r="W50" s="85"/>
      <c r="X50" s="85"/>
      <c r="Y50" s="49"/>
      <c r="Z50" s="94"/>
      <c r="AA50" s="95"/>
      <c r="AB50" s="85"/>
      <c r="AC50" s="85"/>
      <c r="AD50" s="85"/>
      <c r="AE50" s="85"/>
      <c r="AF50" s="85"/>
      <c r="AG50" s="49"/>
      <c r="AH50" s="92"/>
      <c r="AI50" s="49"/>
    </row>
    <row r="51" spans="1:35" ht="12.75" x14ac:dyDescent="0.2">
      <c r="A51" s="87" t="s">
        <v>141</v>
      </c>
      <c r="B51" s="70">
        <f t="shared" ref="B51:I51" si="18">B50*B49</f>
        <v>1.6</v>
      </c>
      <c r="C51" s="70">
        <f t="shared" si="18"/>
        <v>1.1000000000000001</v>
      </c>
      <c r="D51" s="70">
        <f t="shared" si="18"/>
        <v>1.8</v>
      </c>
      <c r="E51" s="70">
        <f t="shared" si="18"/>
        <v>4.5</v>
      </c>
      <c r="F51" s="70">
        <f t="shared" si="18"/>
        <v>10</v>
      </c>
      <c r="G51" s="70">
        <f t="shared" si="18"/>
        <v>10</v>
      </c>
      <c r="H51" s="70">
        <f t="shared" si="18"/>
        <v>10</v>
      </c>
      <c r="I51" s="70">
        <f t="shared" si="18"/>
        <v>0</v>
      </c>
      <c r="J51" s="70">
        <f>SUM(B51:I51)</f>
        <v>39</v>
      </c>
      <c r="K51" s="86"/>
      <c r="L51" s="87" t="s">
        <v>141</v>
      </c>
      <c r="M51" s="70">
        <f t="shared" ref="M51:V51" si="19">M50*M49</f>
        <v>1.4500000000000002</v>
      </c>
      <c r="N51" s="70">
        <f t="shared" si="19"/>
        <v>1.8</v>
      </c>
      <c r="O51" s="70">
        <f t="shared" si="19"/>
        <v>0.2</v>
      </c>
      <c r="P51" s="70">
        <f t="shared" si="19"/>
        <v>3.5</v>
      </c>
      <c r="Q51" s="70">
        <f t="shared" si="19"/>
        <v>17</v>
      </c>
      <c r="R51" s="70">
        <f t="shared" si="19"/>
        <v>6</v>
      </c>
      <c r="S51" s="70">
        <f t="shared" si="19"/>
        <v>50</v>
      </c>
      <c r="T51" s="70">
        <f t="shared" si="19"/>
        <v>170</v>
      </c>
      <c r="U51" s="70">
        <f t="shared" si="19"/>
        <v>60</v>
      </c>
      <c r="V51" s="70">
        <f t="shared" si="19"/>
        <v>150</v>
      </c>
      <c r="W51" s="70">
        <f>SUM(M51:V51)</f>
        <v>459.95</v>
      </c>
      <c r="X51" s="96">
        <f>W51-J51</f>
        <v>420.95</v>
      </c>
      <c r="Y51" s="94">
        <v>80.2</v>
      </c>
      <c r="Z51" s="94">
        <v>58</v>
      </c>
      <c r="AA51" s="97">
        <f>X51+Z51</f>
        <v>478.95</v>
      </c>
      <c r="AB51" s="85">
        <v>40</v>
      </c>
      <c r="AC51" s="96">
        <f>Y51-AB51</f>
        <v>40.200000000000003</v>
      </c>
      <c r="AD51" s="96">
        <f>X51-Y51</f>
        <v>340.75</v>
      </c>
      <c r="AE51" s="85">
        <v>70</v>
      </c>
      <c r="AF51" s="96">
        <f>AD51-AE51</f>
        <v>270.75</v>
      </c>
      <c r="AG51" s="49"/>
      <c r="AH51" s="98">
        <f>(SUM(Y51:Z51)/(1+10/100))*(10/100)</f>
        <v>12.563636363636363</v>
      </c>
      <c r="AI51" s="49"/>
    </row>
    <row r="53" spans="1:35" ht="38.25" x14ac:dyDescent="0.2">
      <c r="A53" s="83" t="s">
        <v>135</v>
      </c>
      <c r="B53" s="84">
        <v>45759</v>
      </c>
      <c r="C53" s="85"/>
      <c r="D53" s="85"/>
      <c r="E53" s="85"/>
      <c r="F53" s="85"/>
      <c r="G53" s="85"/>
      <c r="H53" s="85"/>
      <c r="I53" s="85"/>
      <c r="J53" s="85"/>
      <c r="K53" s="86"/>
      <c r="L53" s="83" t="s">
        <v>136</v>
      </c>
      <c r="M53" s="84">
        <v>45759</v>
      </c>
      <c r="N53" s="85"/>
      <c r="O53" s="85"/>
      <c r="P53" s="85"/>
      <c r="Q53" s="85"/>
      <c r="R53" s="85"/>
      <c r="S53" s="85"/>
      <c r="T53" s="85"/>
      <c r="U53" s="85"/>
      <c r="V53" s="85"/>
      <c r="W53" s="87" t="s">
        <v>141</v>
      </c>
      <c r="X53" s="88" t="s">
        <v>192</v>
      </c>
      <c r="Y53" s="89" t="s">
        <v>142</v>
      </c>
      <c r="Z53" s="90" t="s">
        <v>193</v>
      </c>
      <c r="AA53" s="91" t="s">
        <v>194</v>
      </c>
      <c r="AB53" s="88" t="s">
        <v>165</v>
      </c>
      <c r="AC53" s="87" t="s">
        <v>195</v>
      </c>
      <c r="AD53" s="87" t="s">
        <v>196</v>
      </c>
      <c r="AE53" s="88" t="s">
        <v>197</v>
      </c>
      <c r="AF53" s="87" t="s">
        <v>198</v>
      </c>
      <c r="AG53" s="49"/>
      <c r="AH53" s="92"/>
      <c r="AI53" s="49"/>
    </row>
    <row r="54" spans="1:35" ht="12.75" x14ac:dyDescent="0.2">
      <c r="A54" s="87" t="s">
        <v>199</v>
      </c>
      <c r="B54" s="93">
        <v>0.05</v>
      </c>
      <c r="C54" s="93">
        <v>0.1</v>
      </c>
      <c r="D54" s="93">
        <v>0.2</v>
      </c>
      <c r="E54" s="93">
        <v>0.5</v>
      </c>
      <c r="F54" s="93">
        <v>1</v>
      </c>
      <c r="G54" s="93">
        <v>2</v>
      </c>
      <c r="H54" s="93">
        <v>5</v>
      </c>
      <c r="I54" s="93">
        <v>10</v>
      </c>
      <c r="J54" s="49"/>
      <c r="K54" s="86"/>
      <c r="L54" s="87" t="s">
        <v>199</v>
      </c>
      <c r="M54" s="93">
        <v>0.05</v>
      </c>
      <c r="N54" s="93">
        <v>0.1</v>
      </c>
      <c r="O54" s="93">
        <v>0.2</v>
      </c>
      <c r="P54" s="93">
        <v>0.5</v>
      </c>
      <c r="Q54" s="93">
        <v>1</v>
      </c>
      <c r="R54" s="93">
        <v>2</v>
      </c>
      <c r="S54" s="93">
        <v>5</v>
      </c>
      <c r="T54" s="93">
        <v>10</v>
      </c>
      <c r="U54" s="93">
        <v>20</v>
      </c>
      <c r="V54" s="93">
        <v>50</v>
      </c>
      <c r="W54" s="85"/>
      <c r="X54" s="85"/>
      <c r="Y54" s="49"/>
      <c r="Z54" s="94"/>
      <c r="AA54" s="95"/>
      <c r="AB54" s="85"/>
      <c r="AC54" s="85"/>
      <c r="AD54" s="85"/>
      <c r="AE54" s="85"/>
      <c r="AF54" s="85"/>
      <c r="AG54" s="49"/>
      <c r="AH54" s="92"/>
      <c r="AI54" s="49"/>
    </row>
    <row r="55" spans="1:35" ht="12.75" x14ac:dyDescent="0.2">
      <c r="A55" s="87" t="s">
        <v>200</v>
      </c>
      <c r="B55" s="49">
        <v>29</v>
      </c>
      <c r="C55" s="49">
        <v>18</v>
      </c>
      <c r="D55" s="85">
        <v>1</v>
      </c>
      <c r="E55" s="85">
        <v>7</v>
      </c>
      <c r="F55" s="85">
        <v>17</v>
      </c>
      <c r="G55" s="85">
        <v>3</v>
      </c>
      <c r="H55" s="85">
        <v>2</v>
      </c>
      <c r="I55" s="85"/>
      <c r="J55" s="85"/>
      <c r="K55" s="86"/>
      <c r="L55" s="87" t="s">
        <v>200</v>
      </c>
      <c r="M55" s="49">
        <v>24</v>
      </c>
      <c r="N55" s="49">
        <v>29</v>
      </c>
      <c r="O55" s="85">
        <v>0</v>
      </c>
      <c r="P55" s="85">
        <v>12</v>
      </c>
      <c r="Q55" s="85">
        <v>11</v>
      </c>
      <c r="R55" s="85">
        <v>4</v>
      </c>
      <c r="S55" s="85">
        <v>16</v>
      </c>
      <c r="T55" s="85">
        <v>5</v>
      </c>
      <c r="U55" s="85">
        <v>1</v>
      </c>
      <c r="V55" s="85">
        <v>1</v>
      </c>
      <c r="W55" s="85"/>
      <c r="X55" s="85"/>
      <c r="Y55" s="49"/>
      <c r="Z55" s="94"/>
      <c r="AA55" s="95"/>
      <c r="AB55" s="85"/>
      <c r="AC55" s="85"/>
      <c r="AD55" s="85"/>
      <c r="AE55" s="85"/>
      <c r="AF55" s="85"/>
      <c r="AG55" s="49"/>
      <c r="AH55" s="92"/>
      <c r="AI55" s="49"/>
    </row>
    <row r="56" spans="1:35" ht="12.75" x14ac:dyDescent="0.2">
      <c r="A56" s="87" t="s">
        <v>141</v>
      </c>
      <c r="B56" s="70">
        <f t="shared" ref="B56:I56" si="20">B55*B54</f>
        <v>1.4500000000000002</v>
      </c>
      <c r="C56" s="70">
        <f t="shared" si="20"/>
        <v>1.8</v>
      </c>
      <c r="D56" s="70">
        <f t="shared" si="20"/>
        <v>0.2</v>
      </c>
      <c r="E56" s="70">
        <f t="shared" si="20"/>
        <v>3.5</v>
      </c>
      <c r="F56" s="70">
        <f t="shared" si="20"/>
        <v>17</v>
      </c>
      <c r="G56" s="70">
        <f t="shared" si="20"/>
        <v>6</v>
      </c>
      <c r="H56" s="70">
        <f t="shared" si="20"/>
        <v>10</v>
      </c>
      <c r="I56" s="70">
        <f t="shared" si="20"/>
        <v>0</v>
      </c>
      <c r="J56" s="70">
        <f>SUM(B56:I56)</f>
        <v>39.950000000000003</v>
      </c>
      <c r="K56" s="86"/>
      <c r="L56" s="87" t="s">
        <v>141</v>
      </c>
      <c r="M56" s="70">
        <f t="shared" ref="M56:V56" si="21">M55*M54</f>
        <v>1.2000000000000002</v>
      </c>
      <c r="N56" s="70">
        <f t="shared" si="21"/>
        <v>2.9000000000000004</v>
      </c>
      <c r="O56" s="70">
        <f t="shared" si="21"/>
        <v>0</v>
      </c>
      <c r="P56" s="70">
        <f t="shared" si="21"/>
        <v>6</v>
      </c>
      <c r="Q56" s="70">
        <f t="shared" si="21"/>
        <v>11</v>
      </c>
      <c r="R56" s="70">
        <f t="shared" si="21"/>
        <v>8</v>
      </c>
      <c r="S56" s="70">
        <f t="shared" si="21"/>
        <v>80</v>
      </c>
      <c r="T56" s="70">
        <f t="shared" si="21"/>
        <v>50</v>
      </c>
      <c r="U56" s="70">
        <f t="shared" si="21"/>
        <v>20</v>
      </c>
      <c r="V56" s="70">
        <f t="shared" si="21"/>
        <v>50</v>
      </c>
      <c r="W56" s="70">
        <f>SUM(M56:V56)</f>
        <v>229.1</v>
      </c>
      <c r="X56" s="96">
        <f>W56-J56</f>
        <v>189.14999999999998</v>
      </c>
      <c r="Y56" s="94">
        <v>104.6</v>
      </c>
      <c r="Z56" s="94">
        <v>41.8</v>
      </c>
      <c r="AA56" s="97">
        <f>X56+Z56</f>
        <v>230.95</v>
      </c>
      <c r="AB56" s="85">
        <v>50</v>
      </c>
      <c r="AC56" s="96">
        <f>Y56-AB56</f>
        <v>54.599999999999994</v>
      </c>
      <c r="AD56" s="96">
        <f>X56-Y56</f>
        <v>84.549999999999983</v>
      </c>
      <c r="AE56" s="85">
        <v>20</v>
      </c>
      <c r="AF56" s="96">
        <f>AD56-AE56</f>
        <v>64.549999999999983</v>
      </c>
      <c r="AG56" s="49"/>
      <c r="AH56" s="98">
        <f>(SUM(Y56:Z56)/(1+10/100))*(10/100)</f>
        <v>13.309090909090907</v>
      </c>
      <c r="AI56" s="49"/>
    </row>
    <row r="58" spans="1:35" ht="38.25" x14ac:dyDescent="0.2">
      <c r="A58" s="83" t="s">
        <v>135</v>
      </c>
      <c r="B58" s="84">
        <v>45761</v>
      </c>
      <c r="C58" s="85"/>
      <c r="D58" s="85"/>
      <c r="E58" s="85"/>
      <c r="F58" s="85"/>
      <c r="G58" s="85"/>
      <c r="H58" s="85"/>
      <c r="I58" s="85"/>
      <c r="J58" s="85"/>
      <c r="K58" s="86"/>
      <c r="L58" s="83" t="s">
        <v>136</v>
      </c>
      <c r="M58" s="84">
        <v>45761</v>
      </c>
      <c r="N58" s="85"/>
      <c r="O58" s="85"/>
      <c r="P58" s="85"/>
      <c r="Q58" s="85"/>
      <c r="R58" s="85"/>
      <c r="S58" s="85"/>
      <c r="T58" s="85"/>
      <c r="U58" s="85"/>
      <c r="V58" s="85"/>
      <c r="W58" s="87" t="s">
        <v>141</v>
      </c>
      <c r="X58" s="88" t="s">
        <v>192</v>
      </c>
      <c r="Y58" s="89" t="s">
        <v>142</v>
      </c>
      <c r="Z58" s="90" t="s">
        <v>193</v>
      </c>
      <c r="AA58" s="91" t="s">
        <v>194</v>
      </c>
      <c r="AB58" s="88" t="s">
        <v>165</v>
      </c>
      <c r="AC58" s="87" t="s">
        <v>195</v>
      </c>
      <c r="AD58" s="87" t="s">
        <v>196</v>
      </c>
      <c r="AE58" s="88" t="s">
        <v>197</v>
      </c>
      <c r="AF58" s="87" t="s">
        <v>198</v>
      </c>
      <c r="AG58" s="49"/>
      <c r="AH58" s="92"/>
      <c r="AI58" s="49"/>
    </row>
    <row r="59" spans="1:35" ht="12.75" x14ac:dyDescent="0.2">
      <c r="A59" s="87" t="s">
        <v>199</v>
      </c>
      <c r="B59" s="93">
        <v>0.05</v>
      </c>
      <c r="C59" s="93">
        <v>0.1</v>
      </c>
      <c r="D59" s="93">
        <v>0.2</v>
      </c>
      <c r="E59" s="93">
        <v>0.5</v>
      </c>
      <c r="F59" s="93">
        <v>1</v>
      </c>
      <c r="G59" s="93">
        <v>2</v>
      </c>
      <c r="H59" s="93">
        <v>5</v>
      </c>
      <c r="I59" s="93">
        <v>10</v>
      </c>
      <c r="J59" s="49"/>
      <c r="K59" s="86"/>
      <c r="L59" s="87" t="s">
        <v>199</v>
      </c>
      <c r="M59" s="93">
        <v>0.05</v>
      </c>
      <c r="N59" s="93">
        <v>0.1</v>
      </c>
      <c r="O59" s="93">
        <v>0.2</v>
      </c>
      <c r="P59" s="93">
        <v>0.5</v>
      </c>
      <c r="Q59" s="93">
        <v>1</v>
      </c>
      <c r="R59" s="93">
        <v>2</v>
      </c>
      <c r="S59" s="93">
        <v>5</v>
      </c>
      <c r="T59" s="93">
        <v>10</v>
      </c>
      <c r="U59" s="93">
        <v>20</v>
      </c>
      <c r="V59" s="93">
        <v>50</v>
      </c>
      <c r="W59" s="85"/>
      <c r="X59" s="85"/>
      <c r="Y59" s="49"/>
      <c r="Z59" s="94"/>
      <c r="AA59" s="95"/>
      <c r="AB59" s="85"/>
      <c r="AC59" s="85"/>
      <c r="AD59" s="85"/>
      <c r="AE59" s="85"/>
      <c r="AF59" s="85"/>
      <c r="AG59" s="49"/>
      <c r="AH59" s="92"/>
      <c r="AI59" s="49"/>
    </row>
    <row r="60" spans="1:35" ht="12.75" x14ac:dyDescent="0.2">
      <c r="A60" s="87" t="s">
        <v>200</v>
      </c>
      <c r="B60" s="49">
        <v>24</v>
      </c>
      <c r="C60" s="49">
        <v>29</v>
      </c>
      <c r="D60" s="85">
        <v>0</v>
      </c>
      <c r="E60" s="85">
        <v>12</v>
      </c>
      <c r="F60" s="85">
        <v>8</v>
      </c>
      <c r="G60" s="85">
        <v>4</v>
      </c>
      <c r="H60" s="85">
        <v>2</v>
      </c>
      <c r="I60" s="85"/>
      <c r="J60" s="85"/>
      <c r="K60" s="86"/>
      <c r="L60" s="87" t="s">
        <v>200</v>
      </c>
      <c r="M60" s="49">
        <v>28</v>
      </c>
      <c r="N60" s="49">
        <v>32</v>
      </c>
      <c r="O60" s="85">
        <v>6</v>
      </c>
      <c r="P60" s="85">
        <v>13</v>
      </c>
      <c r="Q60" s="85">
        <v>16</v>
      </c>
      <c r="R60" s="85">
        <v>17</v>
      </c>
      <c r="S60" s="85">
        <v>13</v>
      </c>
      <c r="T60" s="85">
        <v>8</v>
      </c>
      <c r="U60" s="85">
        <v>3</v>
      </c>
      <c r="V60" s="85">
        <v>2</v>
      </c>
      <c r="W60" s="85"/>
      <c r="X60" s="85"/>
      <c r="Y60" s="49"/>
      <c r="Z60" s="94"/>
      <c r="AA60" s="95"/>
      <c r="AB60" s="85"/>
      <c r="AC60" s="85"/>
      <c r="AD60" s="85"/>
      <c r="AE60" s="85"/>
      <c r="AF60" s="85"/>
      <c r="AG60" s="49"/>
      <c r="AH60" s="92"/>
      <c r="AI60" s="49"/>
    </row>
    <row r="61" spans="1:35" ht="12.75" x14ac:dyDescent="0.2">
      <c r="A61" s="87" t="s">
        <v>141</v>
      </c>
      <c r="B61" s="70">
        <f t="shared" ref="B61:I61" si="22">B60*B59</f>
        <v>1.2000000000000002</v>
      </c>
      <c r="C61" s="70">
        <f t="shared" si="22"/>
        <v>2.9000000000000004</v>
      </c>
      <c r="D61" s="70">
        <f t="shared" si="22"/>
        <v>0</v>
      </c>
      <c r="E61" s="70">
        <f t="shared" si="22"/>
        <v>6</v>
      </c>
      <c r="F61" s="70">
        <f t="shared" si="22"/>
        <v>8</v>
      </c>
      <c r="G61" s="70">
        <f t="shared" si="22"/>
        <v>8</v>
      </c>
      <c r="H61" s="70">
        <f t="shared" si="22"/>
        <v>10</v>
      </c>
      <c r="I61" s="70">
        <f t="shared" si="22"/>
        <v>0</v>
      </c>
      <c r="J61" s="70">
        <f>SUM(B61:I61)</f>
        <v>36.1</v>
      </c>
      <c r="K61" s="86"/>
      <c r="L61" s="87" t="s">
        <v>141</v>
      </c>
      <c r="M61" s="70">
        <f t="shared" ref="M61:V61" si="23">M60*M59</f>
        <v>1.4000000000000001</v>
      </c>
      <c r="N61" s="70">
        <f t="shared" si="23"/>
        <v>3.2</v>
      </c>
      <c r="O61" s="70">
        <f t="shared" si="23"/>
        <v>1.2000000000000002</v>
      </c>
      <c r="P61" s="70">
        <f t="shared" si="23"/>
        <v>6.5</v>
      </c>
      <c r="Q61" s="70">
        <f t="shared" si="23"/>
        <v>16</v>
      </c>
      <c r="R61" s="70">
        <f t="shared" si="23"/>
        <v>34</v>
      </c>
      <c r="S61" s="70">
        <f t="shared" si="23"/>
        <v>65</v>
      </c>
      <c r="T61" s="70">
        <f t="shared" si="23"/>
        <v>80</v>
      </c>
      <c r="U61" s="70">
        <f t="shared" si="23"/>
        <v>60</v>
      </c>
      <c r="V61" s="70">
        <f t="shared" si="23"/>
        <v>100</v>
      </c>
      <c r="W61" s="70">
        <f>SUM(M61:V61)</f>
        <v>367.3</v>
      </c>
      <c r="X61" s="96">
        <f>W61-J61</f>
        <v>331.2</v>
      </c>
      <c r="Y61" s="94">
        <v>102.1</v>
      </c>
      <c r="Z61" s="94">
        <v>119.9</v>
      </c>
      <c r="AA61" s="97">
        <f>X61+Z61</f>
        <v>451.1</v>
      </c>
      <c r="AB61" s="85">
        <v>88</v>
      </c>
      <c r="AC61" s="96">
        <f>Y61-AB61</f>
        <v>14.099999999999994</v>
      </c>
      <c r="AD61" s="96">
        <f>X61-Y61</f>
        <v>229.1</v>
      </c>
      <c r="AE61" s="85">
        <v>16</v>
      </c>
      <c r="AF61" s="96">
        <f>AD61-AE61</f>
        <v>213.1</v>
      </c>
      <c r="AG61" s="49"/>
      <c r="AH61" s="98">
        <f>(SUM(Y61:Z61)/(1+10/100))*(10/100)</f>
        <v>20.181818181818183</v>
      </c>
      <c r="AI61" s="49"/>
    </row>
    <row r="62" spans="1:35" ht="12.75" x14ac:dyDescent="0.2">
      <c r="AC62" s="38">
        <v>-14.1</v>
      </c>
    </row>
    <row r="63" spans="1:35" ht="38.25" x14ac:dyDescent="0.2">
      <c r="A63" s="83" t="s">
        <v>135</v>
      </c>
      <c r="B63" s="84">
        <v>45762</v>
      </c>
      <c r="C63" s="85"/>
      <c r="D63" s="85"/>
      <c r="E63" s="85"/>
      <c r="F63" s="85"/>
      <c r="G63" s="85"/>
      <c r="H63" s="85"/>
      <c r="I63" s="85"/>
      <c r="J63" s="85"/>
      <c r="K63" s="86"/>
      <c r="L63" s="83" t="s">
        <v>136</v>
      </c>
      <c r="M63" s="84">
        <v>45762</v>
      </c>
      <c r="N63" s="85"/>
      <c r="O63" s="85"/>
      <c r="P63" s="85"/>
      <c r="Q63" s="85"/>
      <c r="R63" s="85"/>
      <c r="S63" s="85"/>
      <c r="T63" s="85"/>
      <c r="U63" s="85"/>
      <c r="V63" s="85"/>
      <c r="W63" s="87" t="s">
        <v>141</v>
      </c>
      <c r="X63" s="88" t="s">
        <v>192</v>
      </c>
      <c r="Y63" s="89" t="s">
        <v>142</v>
      </c>
      <c r="Z63" s="90" t="s">
        <v>193</v>
      </c>
      <c r="AA63" s="91" t="s">
        <v>194</v>
      </c>
      <c r="AB63" s="88" t="s">
        <v>165</v>
      </c>
      <c r="AC63" s="87" t="s">
        <v>195</v>
      </c>
      <c r="AD63" s="87" t="s">
        <v>196</v>
      </c>
      <c r="AE63" s="88" t="s">
        <v>197</v>
      </c>
      <c r="AF63" s="87" t="s">
        <v>198</v>
      </c>
      <c r="AG63" s="49"/>
      <c r="AH63" s="92"/>
      <c r="AI63" s="49"/>
    </row>
    <row r="64" spans="1:35" ht="12.75" x14ac:dyDescent="0.2">
      <c r="A64" s="87" t="s">
        <v>199</v>
      </c>
      <c r="B64" s="93">
        <v>0.05</v>
      </c>
      <c r="C64" s="93">
        <v>0.1</v>
      </c>
      <c r="D64" s="93">
        <v>0.2</v>
      </c>
      <c r="E64" s="93">
        <v>0.5</v>
      </c>
      <c r="F64" s="93">
        <v>1</v>
      </c>
      <c r="G64" s="93">
        <v>2</v>
      </c>
      <c r="H64" s="93">
        <v>5</v>
      </c>
      <c r="I64" s="93">
        <v>10</v>
      </c>
      <c r="J64" s="49"/>
      <c r="K64" s="86"/>
      <c r="L64" s="87" t="s">
        <v>199</v>
      </c>
      <c r="M64" s="93">
        <v>0.05</v>
      </c>
      <c r="N64" s="93">
        <v>0.1</v>
      </c>
      <c r="O64" s="93">
        <v>0.2</v>
      </c>
      <c r="P64" s="93">
        <v>0.5</v>
      </c>
      <c r="Q64" s="93">
        <v>1</v>
      </c>
      <c r="R64" s="93">
        <v>2</v>
      </c>
      <c r="S64" s="93">
        <v>5</v>
      </c>
      <c r="T64" s="93">
        <v>10</v>
      </c>
      <c r="U64" s="93">
        <v>20</v>
      </c>
      <c r="V64" s="93">
        <v>50</v>
      </c>
      <c r="W64" s="85"/>
      <c r="X64" s="85"/>
      <c r="Y64" s="49"/>
      <c r="Z64" s="94"/>
      <c r="AA64" s="95"/>
      <c r="AB64" s="85"/>
      <c r="AC64" s="85"/>
      <c r="AD64" s="85"/>
      <c r="AE64" s="85"/>
      <c r="AF64" s="85"/>
      <c r="AG64" s="49"/>
      <c r="AH64" s="92"/>
      <c r="AI64" s="49"/>
    </row>
    <row r="65" spans="1:35" ht="12.75" x14ac:dyDescent="0.2">
      <c r="A65" s="87" t="s">
        <v>200</v>
      </c>
      <c r="B65" s="49">
        <v>28</v>
      </c>
      <c r="C65" s="49">
        <v>32</v>
      </c>
      <c r="D65" s="85">
        <v>6</v>
      </c>
      <c r="E65" s="85">
        <v>13</v>
      </c>
      <c r="F65" s="85">
        <v>10</v>
      </c>
      <c r="G65" s="85">
        <v>5</v>
      </c>
      <c r="H65" s="85">
        <v>2</v>
      </c>
      <c r="I65" s="85"/>
      <c r="J65" s="85"/>
      <c r="K65" s="86"/>
      <c r="L65" s="87" t="s">
        <v>200</v>
      </c>
      <c r="M65" s="49">
        <v>24</v>
      </c>
      <c r="N65" s="49">
        <v>40</v>
      </c>
      <c r="O65" s="85">
        <v>9</v>
      </c>
      <c r="P65" s="85">
        <v>6</v>
      </c>
      <c r="Q65" s="85">
        <v>3</v>
      </c>
      <c r="R65" s="85">
        <v>2</v>
      </c>
      <c r="S65" s="85">
        <v>2</v>
      </c>
      <c r="T65" s="85">
        <v>7</v>
      </c>
      <c r="U65" s="85">
        <v>7</v>
      </c>
      <c r="V65" s="85">
        <v>2</v>
      </c>
      <c r="W65" s="85"/>
      <c r="X65" s="85"/>
      <c r="Y65" s="49"/>
      <c r="Z65" s="94"/>
      <c r="AA65" s="95"/>
      <c r="AB65" s="85"/>
      <c r="AC65" s="85"/>
      <c r="AD65" s="85"/>
      <c r="AE65" s="85"/>
      <c r="AF65" s="85"/>
      <c r="AG65" s="49"/>
      <c r="AH65" s="92"/>
      <c r="AI65" s="49"/>
    </row>
    <row r="66" spans="1:35" ht="12.75" x14ac:dyDescent="0.2">
      <c r="A66" s="87" t="s">
        <v>141</v>
      </c>
      <c r="B66" s="70">
        <f t="shared" ref="B66:I66" si="24">B65*B64</f>
        <v>1.4000000000000001</v>
      </c>
      <c r="C66" s="70">
        <f t="shared" si="24"/>
        <v>3.2</v>
      </c>
      <c r="D66" s="70">
        <f t="shared" si="24"/>
        <v>1.2000000000000002</v>
      </c>
      <c r="E66" s="70">
        <f t="shared" si="24"/>
        <v>6.5</v>
      </c>
      <c r="F66" s="70">
        <f t="shared" si="24"/>
        <v>10</v>
      </c>
      <c r="G66" s="70">
        <f t="shared" si="24"/>
        <v>10</v>
      </c>
      <c r="H66" s="70">
        <f t="shared" si="24"/>
        <v>10</v>
      </c>
      <c r="I66" s="70">
        <f t="shared" si="24"/>
        <v>0</v>
      </c>
      <c r="J66" s="70">
        <f>SUM(B66:I66)</f>
        <v>42.3</v>
      </c>
      <c r="K66" s="86"/>
      <c r="L66" s="87" t="s">
        <v>141</v>
      </c>
      <c r="M66" s="70">
        <f t="shared" ref="M66:V66" si="25">M65*M64</f>
        <v>1.2000000000000002</v>
      </c>
      <c r="N66" s="70">
        <f t="shared" si="25"/>
        <v>4</v>
      </c>
      <c r="O66" s="70">
        <f t="shared" si="25"/>
        <v>1.8</v>
      </c>
      <c r="P66" s="70">
        <f t="shared" si="25"/>
        <v>3</v>
      </c>
      <c r="Q66" s="70">
        <f t="shared" si="25"/>
        <v>3</v>
      </c>
      <c r="R66" s="70">
        <f t="shared" si="25"/>
        <v>4</v>
      </c>
      <c r="S66" s="70">
        <f t="shared" si="25"/>
        <v>10</v>
      </c>
      <c r="T66" s="70">
        <f t="shared" si="25"/>
        <v>70</v>
      </c>
      <c r="U66" s="70">
        <f t="shared" si="25"/>
        <v>140</v>
      </c>
      <c r="V66" s="70">
        <f t="shared" si="25"/>
        <v>100</v>
      </c>
      <c r="W66" s="70">
        <f>SUM(M66:V66)</f>
        <v>337</v>
      </c>
      <c r="X66" s="96">
        <f>W66-J66</f>
        <v>294.7</v>
      </c>
      <c r="Y66" s="94">
        <v>174.1</v>
      </c>
      <c r="Z66" s="94">
        <v>17.3</v>
      </c>
      <c r="AA66" s="97">
        <f>X66+Z66</f>
        <v>312</v>
      </c>
      <c r="AB66" s="85">
        <v>80</v>
      </c>
      <c r="AC66" s="96">
        <f>Y66-AB66</f>
        <v>94.1</v>
      </c>
      <c r="AD66" s="96">
        <f>X66-Y66</f>
        <v>120.6</v>
      </c>
      <c r="AE66" s="85">
        <v>60</v>
      </c>
      <c r="AF66" s="96">
        <f>AD66-AE66</f>
        <v>60.599999999999994</v>
      </c>
      <c r="AG66" s="49" t="s">
        <v>254</v>
      </c>
      <c r="AH66" s="98">
        <f>(SUM(Y66:Z66)/(1+10/100))*(10/100)</f>
        <v>17.400000000000002</v>
      </c>
      <c r="AI66" s="49"/>
    </row>
    <row r="68" spans="1:35" ht="38.25" x14ac:dyDescent="0.2">
      <c r="A68" s="83" t="s">
        <v>135</v>
      </c>
      <c r="B68" s="84">
        <v>45763</v>
      </c>
      <c r="C68" s="85"/>
      <c r="D68" s="85"/>
      <c r="E68" s="85"/>
      <c r="F68" s="85"/>
      <c r="G68" s="85"/>
      <c r="H68" s="85"/>
      <c r="I68" s="85"/>
      <c r="J68" s="85"/>
      <c r="K68" s="86"/>
      <c r="L68" s="83" t="s">
        <v>136</v>
      </c>
      <c r="M68" s="84">
        <v>45763</v>
      </c>
      <c r="N68" s="85"/>
      <c r="O68" s="85"/>
      <c r="P68" s="85"/>
      <c r="Q68" s="85"/>
      <c r="R68" s="85"/>
      <c r="S68" s="85"/>
      <c r="T68" s="85"/>
      <c r="U68" s="85"/>
      <c r="V68" s="85"/>
      <c r="W68" s="87" t="s">
        <v>141</v>
      </c>
      <c r="X68" s="88" t="s">
        <v>192</v>
      </c>
      <c r="Y68" s="89" t="s">
        <v>142</v>
      </c>
      <c r="Z68" s="90" t="s">
        <v>193</v>
      </c>
      <c r="AA68" s="91" t="s">
        <v>194</v>
      </c>
      <c r="AB68" s="88" t="s">
        <v>165</v>
      </c>
      <c r="AC68" s="87" t="s">
        <v>195</v>
      </c>
      <c r="AD68" s="87" t="s">
        <v>196</v>
      </c>
      <c r="AE68" s="88" t="s">
        <v>197</v>
      </c>
      <c r="AF68" s="87" t="s">
        <v>198</v>
      </c>
      <c r="AG68" s="49"/>
      <c r="AH68" s="92"/>
      <c r="AI68" s="49"/>
    </row>
    <row r="69" spans="1:35" ht="12.75" x14ac:dyDescent="0.2">
      <c r="A69" s="87" t="s">
        <v>199</v>
      </c>
      <c r="B69" s="93">
        <v>0.05</v>
      </c>
      <c r="C69" s="93">
        <v>0.1</v>
      </c>
      <c r="D69" s="93">
        <v>0.2</v>
      </c>
      <c r="E69" s="93">
        <v>0.5</v>
      </c>
      <c r="F69" s="93">
        <v>1</v>
      </c>
      <c r="G69" s="93">
        <v>2</v>
      </c>
      <c r="H69" s="93">
        <v>5</v>
      </c>
      <c r="I69" s="93">
        <v>10</v>
      </c>
      <c r="J69" s="49"/>
      <c r="K69" s="86"/>
      <c r="L69" s="87" t="s">
        <v>199</v>
      </c>
      <c r="M69" s="93">
        <v>0.05</v>
      </c>
      <c r="N69" s="93">
        <v>0.1</v>
      </c>
      <c r="O69" s="93">
        <v>0.2</v>
      </c>
      <c r="P69" s="93">
        <v>0.5</v>
      </c>
      <c r="Q69" s="93">
        <v>1</v>
      </c>
      <c r="R69" s="93">
        <v>2</v>
      </c>
      <c r="S69" s="93">
        <v>5</v>
      </c>
      <c r="T69" s="93">
        <v>10</v>
      </c>
      <c r="U69" s="93">
        <v>20</v>
      </c>
      <c r="V69" s="93">
        <v>50</v>
      </c>
      <c r="W69" s="85"/>
      <c r="X69" s="85"/>
      <c r="Y69" s="49"/>
      <c r="Z69" s="94"/>
      <c r="AA69" s="95"/>
      <c r="AB69" s="85"/>
      <c r="AC69" s="85"/>
      <c r="AD69" s="85"/>
      <c r="AE69" s="85"/>
      <c r="AF69" s="85"/>
      <c r="AG69" s="49"/>
      <c r="AH69" s="92"/>
      <c r="AI69" s="49"/>
    </row>
    <row r="70" spans="1:35" ht="12.75" x14ac:dyDescent="0.2">
      <c r="A70" s="87" t="s">
        <v>200</v>
      </c>
      <c r="B70" s="49">
        <v>24</v>
      </c>
      <c r="C70" s="49">
        <v>40</v>
      </c>
      <c r="D70" s="85">
        <v>9</v>
      </c>
      <c r="E70" s="85">
        <v>6</v>
      </c>
      <c r="F70" s="85">
        <v>3</v>
      </c>
      <c r="G70" s="85">
        <v>2</v>
      </c>
      <c r="H70" s="85">
        <v>2</v>
      </c>
      <c r="I70" s="85"/>
      <c r="J70" s="85"/>
      <c r="K70" s="86"/>
      <c r="L70" s="87" t="s">
        <v>200</v>
      </c>
      <c r="M70" s="49">
        <v>28</v>
      </c>
      <c r="N70" s="49">
        <v>57</v>
      </c>
      <c r="O70" s="85">
        <v>7</v>
      </c>
      <c r="P70" s="85">
        <v>4</v>
      </c>
      <c r="Q70" s="85">
        <v>5</v>
      </c>
      <c r="R70" s="85">
        <v>6</v>
      </c>
      <c r="S70" s="85">
        <v>11</v>
      </c>
      <c r="T70" s="85">
        <v>11</v>
      </c>
      <c r="U70" s="85">
        <v>6</v>
      </c>
      <c r="V70" s="85">
        <v>1</v>
      </c>
      <c r="W70" s="85"/>
      <c r="X70" s="85"/>
      <c r="Y70" s="49"/>
      <c r="Z70" s="94"/>
      <c r="AA70" s="95"/>
      <c r="AB70" s="85"/>
      <c r="AC70" s="85"/>
      <c r="AD70" s="85"/>
      <c r="AE70" s="85"/>
      <c r="AF70" s="85"/>
      <c r="AG70" s="49"/>
      <c r="AH70" s="92"/>
      <c r="AI70" s="49"/>
    </row>
    <row r="71" spans="1:35" ht="12.75" x14ac:dyDescent="0.2">
      <c r="A71" s="87" t="s">
        <v>141</v>
      </c>
      <c r="B71" s="70">
        <f t="shared" ref="B71:I71" si="26">B70*B69</f>
        <v>1.2000000000000002</v>
      </c>
      <c r="C71" s="70">
        <f t="shared" si="26"/>
        <v>4</v>
      </c>
      <c r="D71" s="70">
        <f t="shared" si="26"/>
        <v>1.8</v>
      </c>
      <c r="E71" s="70">
        <f t="shared" si="26"/>
        <v>3</v>
      </c>
      <c r="F71" s="70">
        <f t="shared" si="26"/>
        <v>3</v>
      </c>
      <c r="G71" s="70">
        <f t="shared" si="26"/>
        <v>4</v>
      </c>
      <c r="H71" s="70">
        <f t="shared" si="26"/>
        <v>10</v>
      </c>
      <c r="I71" s="70">
        <f t="shared" si="26"/>
        <v>0</v>
      </c>
      <c r="J71" s="70">
        <f>SUM(B71:I71)</f>
        <v>27</v>
      </c>
      <c r="K71" s="86"/>
      <c r="L71" s="87" t="s">
        <v>141</v>
      </c>
      <c r="M71" s="70">
        <f t="shared" ref="M71:V71" si="27">M70*M69</f>
        <v>1.4000000000000001</v>
      </c>
      <c r="N71" s="70">
        <f t="shared" si="27"/>
        <v>5.7</v>
      </c>
      <c r="O71" s="70">
        <f t="shared" si="27"/>
        <v>1.4000000000000001</v>
      </c>
      <c r="P71" s="70">
        <f t="shared" si="27"/>
        <v>2</v>
      </c>
      <c r="Q71" s="70">
        <f t="shared" si="27"/>
        <v>5</v>
      </c>
      <c r="R71" s="70">
        <f t="shared" si="27"/>
        <v>12</v>
      </c>
      <c r="S71" s="70">
        <f t="shared" si="27"/>
        <v>55</v>
      </c>
      <c r="T71" s="70">
        <f t="shared" si="27"/>
        <v>110</v>
      </c>
      <c r="U71" s="70">
        <f t="shared" si="27"/>
        <v>120</v>
      </c>
      <c r="V71" s="70">
        <f t="shared" si="27"/>
        <v>50</v>
      </c>
      <c r="W71" s="70">
        <f>SUM(M71:V71)</f>
        <v>362.5</v>
      </c>
      <c r="X71" s="96">
        <f>W71-J71</f>
        <v>335.5</v>
      </c>
      <c r="Y71" s="94">
        <v>118</v>
      </c>
      <c r="Z71" s="94">
        <v>183.2</v>
      </c>
      <c r="AA71" s="97">
        <f>X71+Z71</f>
        <v>518.70000000000005</v>
      </c>
      <c r="AB71" s="85">
        <v>50</v>
      </c>
      <c r="AC71" s="96">
        <f>Y71-AB71</f>
        <v>68</v>
      </c>
      <c r="AD71" s="96">
        <f>X71-Y71</f>
        <v>217.5</v>
      </c>
      <c r="AE71" s="85">
        <v>82</v>
      </c>
      <c r="AF71" s="96">
        <f>AD71-AE71</f>
        <v>135.5</v>
      </c>
      <c r="AG71" s="49"/>
      <c r="AH71" s="98">
        <f>(SUM(Y71:Z71)/(1+10/100))*(10/100)</f>
        <v>27.381818181818183</v>
      </c>
      <c r="AI71" s="49"/>
    </row>
    <row r="72" spans="1:35" ht="12.75" x14ac:dyDescent="0.2">
      <c r="AC72" s="38">
        <v>-68</v>
      </c>
      <c r="AG72" s="38" t="s">
        <v>205</v>
      </c>
    </row>
    <row r="73" spans="1:35" ht="38.25" x14ac:dyDescent="0.2">
      <c r="A73" s="83" t="s">
        <v>135</v>
      </c>
      <c r="B73" s="84">
        <v>45764</v>
      </c>
      <c r="C73" s="85"/>
      <c r="D73" s="85"/>
      <c r="E73" s="85"/>
      <c r="F73" s="85"/>
      <c r="G73" s="85"/>
      <c r="H73" s="85"/>
      <c r="I73" s="85"/>
      <c r="J73" s="85"/>
      <c r="K73" s="86"/>
      <c r="L73" s="83" t="s">
        <v>136</v>
      </c>
      <c r="M73" s="84">
        <v>45764</v>
      </c>
      <c r="N73" s="85"/>
      <c r="O73" s="85"/>
      <c r="P73" s="85"/>
      <c r="Q73" s="85"/>
      <c r="R73" s="85"/>
      <c r="S73" s="85"/>
      <c r="T73" s="85"/>
      <c r="U73" s="85"/>
      <c r="V73" s="85"/>
      <c r="W73" s="87" t="s">
        <v>141</v>
      </c>
      <c r="X73" s="88" t="s">
        <v>192</v>
      </c>
      <c r="Y73" s="89" t="s">
        <v>142</v>
      </c>
      <c r="Z73" s="90" t="s">
        <v>193</v>
      </c>
      <c r="AA73" s="91" t="s">
        <v>194</v>
      </c>
      <c r="AB73" s="88" t="s">
        <v>165</v>
      </c>
      <c r="AC73" s="87" t="s">
        <v>195</v>
      </c>
      <c r="AD73" s="87" t="s">
        <v>196</v>
      </c>
      <c r="AE73" s="88" t="s">
        <v>197</v>
      </c>
      <c r="AF73" s="87" t="s">
        <v>198</v>
      </c>
      <c r="AG73" s="49"/>
      <c r="AH73" s="92"/>
      <c r="AI73" s="49"/>
    </row>
    <row r="74" spans="1:35" ht="12.75" x14ac:dyDescent="0.2">
      <c r="A74" s="87" t="s">
        <v>199</v>
      </c>
      <c r="B74" s="93">
        <v>0.05</v>
      </c>
      <c r="C74" s="93">
        <v>0.1</v>
      </c>
      <c r="D74" s="93">
        <v>0.2</v>
      </c>
      <c r="E74" s="93">
        <v>0.5</v>
      </c>
      <c r="F74" s="93">
        <v>1</v>
      </c>
      <c r="G74" s="93">
        <v>2</v>
      </c>
      <c r="H74" s="93">
        <v>5</v>
      </c>
      <c r="I74" s="93">
        <v>10</v>
      </c>
      <c r="J74" s="49"/>
      <c r="K74" s="86"/>
      <c r="L74" s="87" t="s">
        <v>199</v>
      </c>
      <c r="M74" s="93">
        <v>0.05</v>
      </c>
      <c r="N74" s="93">
        <v>0.1</v>
      </c>
      <c r="O74" s="93">
        <v>0.2</v>
      </c>
      <c r="P74" s="93">
        <v>0.5</v>
      </c>
      <c r="Q74" s="93">
        <v>1</v>
      </c>
      <c r="R74" s="93">
        <v>2</v>
      </c>
      <c r="S74" s="93">
        <v>5</v>
      </c>
      <c r="T74" s="93">
        <v>10</v>
      </c>
      <c r="U74" s="93">
        <v>20</v>
      </c>
      <c r="V74" s="93">
        <v>50</v>
      </c>
      <c r="W74" s="85"/>
      <c r="X74" s="85"/>
      <c r="Y74" s="49"/>
      <c r="Z74" s="94"/>
      <c r="AA74" s="95"/>
      <c r="AB74" s="85"/>
      <c r="AC74" s="85"/>
      <c r="AD74" s="85"/>
      <c r="AE74" s="85"/>
      <c r="AF74" s="85"/>
      <c r="AG74" s="49"/>
      <c r="AH74" s="92"/>
      <c r="AI74" s="49"/>
    </row>
    <row r="75" spans="1:35" ht="12.75" x14ac:dyDescent="0.2">
      <c r="A75" s="87" t="s">
        <v>200</v>
      </c>
      <c r="B75" s="49">
        <v>28</v>
      </c>
      <c r="C75" s="49">
        <v>57</v>
      </c>
      <c r="D75" s="85">
        <v>7</v>
      </c>
      <c r="E75" s="85">
        <v>4</v>
      </c>
      <c r="F75" s="85">
        <v>5</v>
      </c>
      <c r="G75" s="85">
        <v>6</v>
      </c>
      <c r="H75" s="85">
        <v>2</v>
      </c>
      <c r="I75" s="85"/>
      <c r="J75" s="85"/>
      <c r="K75" s="86"/>
      <c r="L75" s="87" t="s">
        <v>200</v>
      </c>
      <c r="M75" s="49">
        <v>30</v>
      </c>
      <c r="N75" s="49">
        <v>27</v>
      </c>
      <c r="O75" s="85">
        <v>19</v>
      </c>
      <c r="P75" s="85">
        <v>4</v>
      </c>
      <c r="Q75" s="85">
        <v>14</v>
      </c>
      <c r="R75" s="85">
        <v>10</v>
      </c>
      <c r="S75" s="85">
        <v>6</v>
      </c>
      <c r="T75" s="85">
        <v>2</v>
      </c>
      <c r="U75" s="85">
        <v>7</v>
      </c>
      <c r="V75" s="85">
        <v>2</v>
      </c>
      <c r="W75" s="85"/>
      <c r="X75" s="85"/>
      <c r="Y75" s="49"/>
      <c r="Z75" s="94"/>
      <c r="AA75" s="95"/>
      <c r="AB75" s="85"/>
      <c r="AC75" s="85"/>
      <c r="AD75" s="85"/>
      <c r="AE75" s="85"/>
      <c r="AF75" s="85"/>
      <c r="AG75" s="49"/>
      <c r="AH75" s="92"/>
      <c r="AI75" s="49"/>
    </row>
    <row r="76" spans="1:35" ht="12.75" x14ac:dyDescent="0.2">
      <c r="A76" s="87" t="s">
        <v>141</v>
      </c>
      <c r="B76" s="70">
        <f t="shared" ref="B76:I76" si="28">B75*B74</f>
        <v>1.4000000000000001</v>
      </c>
      <c r="C76" s="70">
        <f t="shared" si="28"/>
        <v>5.7</v>
      </c>
      <c r="D76" s="70">
        <f t="shared" si="28"/>
        <v>1.4000000000000001</v>
      </c>
      <c r="E76" s="70">
        <f t="shared" si="28"/>
        <v>2</v>
      </c>
      <c r="F76" s="70">
        <f t="shared" si="28"/>
        <v>5</v>
      </c>
      <c r="G76" s="70">
        <f t="shared" si="28"/>
        <v>12</v>
      </c>
      <c r="H76" s="70">
        <f t="shared" si="28"/>
        <v>10</v>
      </c>
      <c r="I76" s="70">
        <f t="shared" si="28"/>
        <v>0</v>
      </c>
      <c r="J76" s="70">
        <f>SUM(B76:I76)</f>
        <v>37.5</v>
      </c>
      <c r="K76" s="86"/>
      <c r="L76" s="87" t="s">
        <v>141</v>
      </c>
      <c r="M76" s="70">
        <f t="shared" ref="M76:V76" si="29">M75*M74</f>
        <v>1.5</v>
      </c>
      <c r="N76" s="70">
        <f t="shared" si="29"/>
        <v>2.7</v>
      </c>
      <c r="O76" s="70">
        <f t="shared" si="29"/>
        <v>3.8000000000000003</v>
      </c>
      <c r="P76" s="70">
        <f t="shared" si="29"/>
        <v>2</v>
      </c>
      <c r="Q76" s="70">
        <f t="shared" si="29"/>
        <v>14</v>
      </c>
      <c r="R76" s="70">
        <f t="shared" si="29"/>
        <v>20</v>
      </c>
      <c r="S76" s="70">
        <f t="shared" si="29"/>
        <v>30</v>
      </c>
      <c r="T76" s="70">
        <f t="shared" si="29"/>
        <v>20</v>
      </c>
      <c r="U76" s="70">
        <f t="shared" si="29"/>
        <v>140</v>
      </c>
      <c r="V76" s="70">
        <f t="shared" si="29"/>
        <v>100</v>
      </c>
      <c r="W76" s="70">
        <f>SUM(M76:V76)</f>
        <v>334</v>
      </c>
      <c r="X76" s="96">
        <f>W76-J76</f>
        <v>296.5</v>
      </c>
      <c r="Y76" s="94">
        <v>128.6</v>
      </c>
      <c r="Z76" s="94">
        <v>80.099999999999994</v>
      </c>
      <c r="AA76" s="97">
        <f>X76+Z76</f>
        <v>376.6</v>
      </c>
      <c r="AB76" s="85">
        <v>80</v>
      </c>
      <c r="AC76" s="96">
        <f>Y76-AB76</f>
        <v>48.599999999999994</v>
      </c>
      <c r="AD76" s="96">
        <f>X76-Y76</f>
        <v>167.9</v>
      </c>
      <c r="AE76" s="85">
        <v>24.9</v>
      </c>
      <c r="AF76" s="96">
        <f>AD76-AE76</f>
        <v>143</v>
      </c>
      <c r="AG76" s="49"/>
      <c r="AH76" s="98">
        <f>(SUM(Y76:Z76)/(1+10/100))*(10/100)</f>
        <v>18.972727272727269</v>
      </c>
      <c r="AI76" s="49"/>
    </row>
    <row r="78" spans="1:35" ht="38.25" x14ac:dyDescent="0.2">
      <c r="A78" s="83" t="s">
        <v>135</v>
      </c>
      <c r="B78" s="84">
        <v>45765</v>
      </c>
      <c r="C78" s="85"/>
      <c r="D78" s="85"/>
      <c r="E78" s="85"/>
      <c r="F78" s="85"/>
      <c r="G78" s="85"/>
      <c r="H78" s="85"/>
      <c r="I78" s="85"/>
      <c r="J78" s="85"/>
      <c r="K78" s="86"/>
      <c r="L78" s="83" t="s">
        <v>136</v>
      </c>
      <c r="M78" s="84">
        <v>45765</v>
      </c>
      <c r="N78" s="85"/>
      <c r="O78" s="85"/>
      <c r="P78" s="85"/>
      <c r="Q78" s="85"/>
      <c r="R78" s="85"/>
      <c r="S78" s="85"/>
      <c r="T78" s="85"/>
      <c r="U78" s="85"/>
      <c r="V78" s="85"/>
      <c r="W78" s="87" t="s">
        <v>141</v>
      </c>
      <c r="X78" s="88" t="s">
        <v>192</v>
      </c>
      <c r="Y78" s="89" t="s">
        <v>142</v>
      </c>
      <c r="Z78" s="90" t="s">
        <v>193</v>
      </c>
      <c r="AA78" s="91" t="s">
        <v>194</v>
      </c>
      <c r="AB78" s="88" t="s">
        <v>165</v>
      </c>
      <c r="AC78" s="87" t="s">
        <v>195</v>
      </c>
      <c r="AD78" s="87" t="s">
        <v>196</v>
      </c>
      <c r="AE78" s="88" t="s">
        <v>197</v>
      </c>
      <c r="AF78" s="87" t="s">
        <v>198</v>
      </c>
      <c r="AG78" s="49"/>
      <c r="AH78" s="92"/>
      <c r="AI78" s="49"/>
    </row>
    <row r="79" spans="1:35" ht="12.75" x14ac:dyDescent="0.2">
      <c r="A79" s="87" t="s">
        <v>199</v>
      </c>
      <c r="B79" s="93">
        <v>0.05</v>
      </c>
      <c r="C79" s="93">
        <v>0.1</v>
      </c>
      <c r="D79" s="93">
        <v>0.2</v>
      </c>
      <c r="E79" s="93">
        <v>0.5</v>
      </c>
      <c r="F79" s="93">
        <v>1</v>
      </c>
      <c r="G79" s="93">
        <v>2</v>
      </c>
      <c r="H79" s="93">
        <v>5</v>
      </c>
      <c r="I79" s="93">
        <v>10</v>
      </c>
      <c r="J79" s="49"/>
      <c r="K79" s="86"/>
      <c r="L79" s="87" t="s">
        <v>199</v>
      </c>
      <c r="M79" s="93">
        <v>0.05</v>
      </c>
      <c r="N79" s="93">
        <v>0.1</v>
      </c>
      <c r="O79" s="93">
        <v>0.2</v>
      </c>
      <c r="P79" s="93">
        <v>0.5</v>
      </c>
      <c r="Q79" s="93">
        <v>1</v>
      </c>
      <c r="R79" s="93">
        <v>2</v>
      </c>
      <c r="S79" s="93">
        <v>5</v>
      </c>
      <c r="T79" s="93">
        <v>10</v>
      </c>
      <c r="U79" s="93">
        <v>20</v>
      </c>
      <c r="V79" s="93">
        <v>50</v>
      </c>
      <c r="W79" s="85"/>
      <c r="X79" s="85"/>
      <c r="Y79" s="49"/>
      <c r="Z79" s="94"/>
      <c r="AA79" s="95"/>
      <c r="AB79" s="85"/>
      <c r="AC79" s="85"/>
      <c r="AD79" s="85"/>
      <c r="AE79" s="85"/>
      <c r="AF79" s="85"/>
      <c r="AG79" s="49"/>
      <c r="AH79" s="92"/>
      <c r="AI79" s="49"/>
    </row>
    <row r="80" spans="1:35" ht="12.75" x14ac:dyDescent="0.2">
      <c r="A80" s="87" t="s">
        <v>200</v>
      </c>
      <c r="B80" s="49">
        <v>30</v>
      </c>
      <c r="C80" s="49">
        <v>27</v>
      </c>
      <c r="D80" s="85">
        <v>19</v>
      </c>
      <c r="E80" s="85">
        <v>4</v>
      </c>
      <c r="F80" s="85">
        <v>10</v>
      </c>
      <c r="G80" s="85">
        <v>5</v>
      </c>
      <c r="H80" s="85">
        <v>2</v>
      </c>
      <c r="I80" s="85"/>
      <c r="J80" s="85"/>
      <c r="K80" s="86"/>
      <c r="L80" s="87" t="s">
        <v>200</v>
      </c>
      <c r="M80" s="49">
        <v>27</v>
      </c>
      <c r="N80" s="49">
        <v>31</v>
      </c>
      <c r="O80" s="85">
        <v>16</v>
      </c>
      <c r="P80" s="85"/>
      <c r="Q80" s="85">
        <v>19</v>
      </c>
      <c r="R80" s="85">
        <v>11</v>
      </c>
      <c r="S80" s="85">
        <v>6</v>
      </c>
      <c r="T80" s="85">
        <v>7</v>
      </c>
      <c r="U80" s="85">
        <v>7</v>
      </c>
      <c r="V80" s="85">
        <v>4</v>
      </c>
      <c r="W80" s="85"/>
      <c r="X80" s="85"/>
      <c r="Y80" s="49"/>
      <c r="Z80" s="94"/>
      <c r="AA80" s="95"/>
      <c r="AB80" s="85"/>
      <c r="AC80" s="85"/>
      <c r="AD80" s="85"/>
      <c r="AE80" s="85"/>
      <c r="AF80" s="85"/>
      <c r="AG80" s="49"/>
      <c r="AH80" s="92"/>
      <c r="AI80" s="49"/>
    </row>
    <row r="81" spans="1:35" ht="12.75" x14ac:dyDescent="0.2">
      <c r="A81" s="87" t="s">
        <v>141</v>
      </c>
      <c r="B81" s="70">
        <f t="shared" ref="B81:I81" si="30">B80*B79</f>
        <v>1.5</v>
      </c>
      <c r="C81" s="70">
        <f t="shared" si="30"/>
        <v>2.7</v>
      </c>
      <c r="D81" s="70">
        <f t="shared" si="30"/>
        <v>3.8000000000000003</v>
      </c>
      <c r="E81" s="70">
        <f t="shared" si="30"/>
        <v>2</v>
      </c>
      <c r="F81" s="70">
        <f t="shared" si="30"/>
        <v>10</v>
      </c>
      <c r="G81" s="70">
        <f t="shared" si="30"/>
        <v>10</v>
      </c>
      <c r="H81" s="70">
        <f t="shared" si="30"/>
        <v>10</v>
      </c>
      <c r="I81" s="70">
        <f t="shared" si="30"/>
        <v>0</v>
      </c>
      <c r="J81" s="70">
        <f>SUM(B81:I81)</f>
        <v>40</v>
      </c>
      <c r="K81" s="86"/>
      <c r="L81" s="87" t="s">
        <v>141</v>
      </c>
      <c r="M81" s="70">
        <f t="shared" ref="M81:V81" si="31">M80*M79</f>
        <v>1.35</v>
      </c>
      <c r="N81" s="70">
        <f t="shared" si="31"/>
        <v>3.1</v>
      </c>
      <c r="O81" s="70">
        <f t="shared" si="31"/>
        <v>3.2</v>
      </c>
      <c r="P81" s="70">
        <f t="shared" si="31"/>
        <v>0</v>
      </c>
      <c r="Q81" s="70">
        <f t="shared" si="31"/>
        <v>19</v>
      </c>
      <c r="R81" s="70">
        <f t="shared" si="31"/>
        <v>22</v>
      </c>
      <c r="S81" s="70">
        <f t="shared" si="31"/>
        <v>30</v>
      </c>
      <c r="T81" s="70">
        <f t="shared" si="31"/>
        <v>70</v>
      </c>
      <c r="U81" s="70">
        <f t="shared" si="31"/>
        <v>140</v>
      </c>
      <c r="V81" s="70">
        <f t="shared" si="31"/>
        <v>200</v>
      </c>
      <c r="W81" s="70">
        <f>SUM(M81:V81)</f>
        <v>488.65</v>
      </c>
      <c r="X81" s="96">
        <f>W81-J81</f>
        <v>448.65</v>
      </c>
      <c r="Y81" s="94">
        <v>128.19999999999999</v>
      </c>
      <c r="Z81" s="94">
        <v>179.5</v>
      </c>
      <c r="AA81" s="97">
        <f>X81+Z81</f>
        <v>628.15</v>
      </c>
      <c r="AB81" s="85">
        <v>70</v>
      </c>
      <c r="AC81" s="96">
        <f>Y81-AB81</f>
        <v>58.199999999999989</v>
      </c>
      <c r="AD81" s="96">
        <f>X81-Y81</f>
        <v>320.45</v>
      </c>
      <c r="AE81" s="85">
        <v>40</v>
      </c>
      <c r="AF81" s="96">
        <f>AD81-AE81</f>
        <v>280.45</v>
      </c>
      <c r="AG81" s="49"/>
      <c r="AH81" s="98">
        <f>(SUM(Y81:Z81)/(1+10/100))*(10/100)</f>
        <v>27.972727272727269</v>
      </c>
      <c r="AI81" s="49"/>
    </row>
    <row r="82" spans="1:35" ht="12.75" x14ac:dyDescent="0.2">
      <c r="AC82" s="38">
        <v>-8.1999999999999993</v>
      </c>
    </row>
    <row r="83" spans="1:35" ht="38.25" x14ac:dyDescent="0.2">
      <c r="A83" s="83" t="s">
        <v>135</v>
      </c>
      <c r="B83" s="84">
        <v>45401</v>
      </c>
      <c r="C83" s="85"/>
      <c r="D83" s="85"/>
      <c r="E83" s="85"/>
      <c r="F83" s="85"/>
      <c r="G83" s="85"/>
      <c r="H83" s="85"/>
      <c r="I83" s="85"/>
      <c r="J83" s="85"/>
      <c r="K83" s="86"/>
      <c r="L83" s="83" t="s">
        <v>136</v>
      </c>
      <c r="M83" s="84">
        <v>45766</v>
      </c>
      <c r="N83" s="85"/>
      <c r="O83" s="85"/>
      <c r="P83" s="85"/>
      <c r="Q83" s="85"/>
      <c r="R83" s="85"/>
      <c r="S83" s="85"/>
      <c r="T83" s="85"/>
      <c r="U83" s="85"/>
      <c r="V83" s="85"/>
      <c r="W83" s="87" t="s">
        <v>141</v>
      </c>
      <c r="X83" s="88" t="s">
        <v>192</v>
      </c>
      <c r="Y83" s="89" t="s">
        <v>142</v>
      </c>
      <c r="Z83" s="90" t="s">
        <v>193</v>
      </c>
      <c r="AA83" s="91" t="s">
        <v>194</v>
      </c>
      <c r="AB83" s="88" t="s">
        <v>165</v>
      </c>
      <c r="AC83" s="87" t="s">
        <v>195</v>
      </c>
      <c r="AD83" s="87" t="s">
        <v>196</v>
      </c>
      <c r="AE83" s="88" t="s">
        <v>197</v>
      </c>
      <c r="AF83" s="87" t="s">
        <v>198</v>
      </c>
      <c r="AG83" s="49"/>
      <c r="AH83" s="92"/>
      <c r="AI83" s="49"/>
    </row>
    <row r="84" spans="1:35" ht="12.75" x14ac:dyDescent="0.2">
      <c r="A84" s="87" t="s">
        <v>199</v>
      </c>
      <c r="B84" s="93">
        <v>0.05</v>
      </c>
      <c r="C84" s="93">
        <v>0.1</v>
      </c>
      <c r="D84" s="93">
        <v>0.2</v>
      </c>
      <c r="E84" s="93">
        <v>0.5</v>
      </c>
      <c r="F84" s="93">
        <v>1</v>
      </c>
      <c r="G84" s="93">
        <v>2</v>
      </c>
      <c r="H84" s="93">
        <v>5</v>
      </c>
      <c r="I84" s="93">
        <v>10</v>
      </c>
      <c r="J84" s="49"/>
      <c r="K84" s="86"/>
      <c r="L84" s="87" t="s">
        <v>199</v>
      </c>
      <c r="M84" s="93">
        <v>0.05</v>
      </c>
      <c r="N84" s="93">
        <v>0.1</v>
      </c>
      <c r="O84" s="93">
        <v>0.2</v>
      </c>
      <c r="P84" s="93">
        <v>0.5</v>
      </c>
      <c r="Q84" s="93">
        <v>1</v>
      </c>
      <c r="R84" s="93">
        <v>2</v>
      </c>
      <c r="S84" s="93">
        <v>5</v>
      </c>
      <c r="T84" s="93">
        <v>10</v>
      </c>
      <c r="U84" s="93">
        <v>20</v>
      </c>
      <c r="V84" s="93">
        <v>50</v>
      </c>
      <c r="W84" s="85"/>
      <c r="X84" s="85"/>
      <c r="Y84" s="49"/>
      <c r="Z84" s="94"/>
      <c r="AA84" s="95"/>
      <c r="AB84" s="85"/>
      <c r="AC84" s="85"/>
      <c r="AD84" s="85"/>
      <c r="AE84" s="85"/>
      <c r="AF84" s="85"/>
      <c r="AG84" s="49"/>
      <c r="AH84" s="92"/>
      <c r="AI84" s="49"/>
    </row>
    <row r="85" spans="1:35" ht="12.75" x14ac:dyDescent="0.2">
      <c r="A85" s="87" t="s">
        <v>200</v>
      </c>
      <c r="B85" s="49">
        <v>27</v>
      </c>
      <c r="C85" s="49">
        <v>21</v>
      </c>
      <c r="D85" s="85">
        <v>16</v>
      </c>
      <c r="E85" s="85">
        <v>1</v>
      </c>
      <c r="F85" s="85">
        <v>10</v>
      </c>
      <c r="G85" s="85">
        <v>6</v>
      </c>
      <c r="H85" s="85">
        <v>2</v>
      </c>
      <c r="I85" s="85"/>
      <c r="J85" s="85"/>
      <c r="K85" s="86"/>
      <c r="L85" s="87" t="s">
        <v>200</v>
      </c>
      <c r="M85" s="49">
        <v>36</v>
      </c>
      <c r="N85" s="49">
        <v>31</v>
      </c>
      <c r="O85" s="85">
        <v>11</v>
      </c>
      <c r="P85" s="85">
        <v>7</v>
      </c>
      <c r="Q85" s="85">
        <v>7</v>
      </c>
      <c r="R85" s="85">
        <v>8</v>
      </c>
      <c r="S85" s="85">
        <v>6</v>
      </c>
      <c r="T85" s="85">
        <v>5</v>
      </c>
      <c r="U85" s="85">
        <v>11</v>
      </c>
      <c r="V85" s="85">
        <v>0</v>
      </c>
      <c r="W85" s="85"/>
      <c r="X85" s="85"/>
      <c r="Y85" s="49"/>
      <c r="Z85" s="94"/>
      <c r="AA85" s="95"/>
      <c r="AB85" s="85"/>
      <c r="AC85" s="85"/>
      <c r="AD85" s="85"/>
      <c r="AE85" s="85"/>
      <c r="AF85" s="85"/>
      <c r="AG85" s="49"/>
      <c r="AH85" s="92"/>
      <c r="AI85" s="49"/>
    </row>
    <row r="86" spans="1:35" ht="12.75" x14ac:dyDescent="0.2">
      <c r="A86" s="87" t="s">
        <v>141</v>
      </c>
      <c r="B86" s="70">
        <f t="shared" ref="B86:I86" si="32">B85*B84</f>
        <v>1.35</v>
      </c>
      <c r="C86" s="70">
        <f t="shared" si="32"/>
        <v>2.1</v>
      </c>
      <c r="D86" s="70">
        <f t="shared" si="32"/>
        <v>3.2</v>
      </c>
      <c r="E86" s="70">
        <f t="shared" si="32"/>
        <v>0.5</v>
      </c>
      <c r="F86" s="70">
        <f t="shared" si="32"/>
        <v>10</v>
      </c>
      <c r="G86" s="70">
        <f t="shared" si="32"/>
        <v>12</v>
      </c>
      <c r="H86" s="70">
        <f t="shared" si="32"/>
        <v>10</v>
      </c>
      <c r="I86" s="70">
        <f t="shared" si="32"/>
        <v>0</v>
      </c>
      <c r="J86" s="70">
        <f>SUM(B86:I86)</f>
        <v>39.15</v>
      </c>
      <c r="K86" s="86"/>
      <c r="L86" s="87" t="s">
        <v>141</v>
      </c>
      <c r="M86" s="70">
        <f t="shared" ref="M86:V86" si="33">M85*M84</f>
        <v>1.8</v>
      </c>
      <c r="N86" s="70">
        <f t="shared" si="33"/>
        <v>3.1</v>
      </c>
      <c r="O86" s="70">
        <f t="shared" si="33"/>
        <v>2.2000000000000002</v>
      </c>
      <c r="P86" s="70">
        <f t="shared" si="33"/>
        <v>3.5</v>
      </c>
      <c r="Q86" s="70">
        <f t="shared" si="33"/>
        <v>7</v>
      </c>
      <c r="R86" s="70">
        <f t="shared" si="33"/>
        <v>16</v>
      </c>
      <c r="S86" s="70">
        <f t="shared" si="33"/>
        <v>30</v>
      </c>
      <c r="T86" s="70">
        <f t="shared" si="33"/>
        <v>50</v>
      </c>
      <c r="U86" s="70">
        <f t="shared" si="33"/>
        <v>220</v>
      </c>
      <c r="V86" s="70">
        <f t="shared" si="33"/>
        <v>0</v>
      </c>
      <c r="W86" s="70">
        <f>SUM(M86:V86)</f>
        <v>333.6</v>
      </c>
      <c r="X86" s="96">
        <f>W86-J86</f>
        <v>294.45000000000005</v>
      </c>
      <c r="Y86" s="94">
        <v>178</v>
      </c>
      <c r="Z86" s="94">
        <v>60.4</v>
      </c>
      <c r="AA86" s="97">
        <f>X86+Z86</f>
        <v>354.85</v>
      </c>
      <c r="AB86" s="85">
        <v>100</v>
      </c>
      <c r="AC86" s="96">
        <f>Y86-AB86</f>
        <v>78</v>
      </c>
      <c r="AD86" s="96">
        <f>X86-Y86</f>
        <v>116.45000000000005</v>
      </c>
      <c r="AE86" s="85"/>
      <c r="AF86" s="96">
        <f>AD86-AE86</f>
        <v>116.45000000000005</v>
      </c>
      <c r="AG86" s="49"/>
      <c r="AH86" s="98">
        <f>(SUM(Y86:Z86)/(1+10/100))*(10/100)</f>
        <v>21.672727272727272</v>
      </c>
      <c r="AI86" s="49"/>
    </row>
    <row r="88" spans="1:35" ht="38.25" x14ac:dyDescent="0.2">
      <c r="A88" s="83" t="s">
        <v>135</v>
      </c>
      <c r="B88" s="84">
        <v>45769</v>
      </c>
      <c r="C88" s="85"/>
      <c r="D88" s="85"/>
      <c r="E88" s="85"/>
      <c r="F88" s="85"/>
      <c r="G88" s="85"/>
      <c r="H88" s="85"/>
      <c r="I88" s="85"/>
      <c r="J88" s="85"/>
      <c r="K88" s="86"/>
      <c r="L88" s="83" t="s">
        <v>136</v>
      </c>
      <c r="M88" s="84">
        <v>45769</v>
      </c>
      <c r="N88" s="85"/>
      <c r="O88" s="85"/>
      <c r="P88" s="85"/>
      <c r="Q88" s="85"/>
      <c r="R88" s="85"/>
      <c r="S88" s="85"/>
      <c r="T88" s="85"/>
      <c r="U88" s="85"/>
      <c r="V88" s="85"/>
      <c r="W88" s="87" t="s">
        <v>141</v>
      </c>
      <c r="X88" s="88" t="s">
        <v>192</v>
      </c>
      <c r="Y88" s="89" t="s">
        <v>142</v>
      </c>
      <c r="Z88" s="90" t="s">
        <v>193</v>
      </c>
      <c r="AA88" s="91" t="s">
        <v>194</v>
      </c>
      <c r="AB88" s="88" t="s">
        <v>165</v>
      </c>
      <c r="AC88" s="87" t="s">
        <v>195</v>
      </c>
      <c r="AD88" s="87" t="s">
        <v>196</v>
      </c>
      <c r="AE88" s="88" t="s">
        <v>197</v>
      </c>
      <c r="AF88" s="87" t="s">
        <v>198</v>
      </c>
      <c r="AG88" s="49"/>
      <c r="AH88" s="92"/>
      <c r="AI88" s="49"/>
    </row>
    <row r="89" spans="1:35" ht="12.75" x14ac:dyDescent="0.2">
      <c r="A89" s="87" t="s">
        <v>199</v>
      </c>
      <c r="B89" s="93">
        <v>0.05</v>
      </c>
      <c r="C89" s="93">
        <v>0.1</v>
      </c>
      <c r="D89" s="93">
        <v>0.2</v>
      </c>
      <c r="E89" s="93">
        <v>0.5</v>
      </c>
      <c r="F89" s="93">
        <v>1</v>
      </c>
      <c r="G89" s="93">
        <v>2</v>
      </c>
      <c r="H89" s="93">
        <v>5</v>
      </c>
      <c r="I89" s="93">
        <v>10</v>
      </c>
      <c r="J89" s="49"/>
      <c r="K89" s="86"/>
      <c r="L89" s="87" t="s">
        <v>199</v>
      </c>
      <c r="M89" s="93">
        <v>0.05</v>
      </c>
      <c r="N89" s="93">
        <v>0.1</v>
      </c>
      <c r="O89" s="93">
        <v>0.2</v>
      </c>
      <c r="P89" s="93">
        <v>0.5</v>
      </c>
      <c r="Q89" s="93">
        <v>1</v>
      </c>
      <c r="R89" s="93">
        <v>2</v>
      </c>
      <c r="S89" s="93">
        <v>5</v>
      </c>
      <c r="T89" s="93">
        <v>10</v>
      </c>
      <c r="U89" s="93">
        <v>20</v>
      </c>
      <c r="V89" s="93">
        <v>50</v>
      </c>
      <c r="W89" s="85"/>
      <c r="X89" s="85"/>
      <c r="Y89" s="49"/>
      <c r="Z89" s="94"/>
      <c r="AA89" s="95"/>
      <c r="AB89" s="85"/>
      <c r="AC89" s="85"/>
      <c r="AD89" s="85"/>
      <c r="AE89" s="85"/>
      <c r="AF89" s="85"/>
      <c r="AG89" s="49"/>
      <c r="AH89" s="92"/>
      <c r="AI89" s="49"/>
    </row>
    <row r="90" spans="1:35" ht="12.75" x14ac:dyDescent="0.2">
      <c r="A90" s="87" t="s">
        <v>200</v>
      </c>
      <c r="B90" s="49">
        <v>36</v>
      </c>
      <c r="C90" s="49">
        <v>31</v>
      </c>
      <c r="D90" s="85">
        <v>11</v>
      </c>
      <c r="E90" s="85">
        <v>7</v>
      </c>
      <c r="F90" s="85">
        <v>7</v>
      </c>
      <c r="G90" s="85">
        <v>6</v>
      </c>
      <c r="H90" s="85">
        <v>2</v>
      </c>
      <c r="I90" s="85"/>
      <c r="J90" s="85"/>
      <c r="K90" s="86"/>
      <c r="L90" s="87" t="s">
        <v>200</v>
      </c>
      <c r="M90" s="49">
        <v>35</v>
      </c>
      <c r="N90" s="49">
        <v>10</v>
      </c>
      <c r="O90" s="85">
        <v>9</v>
      </c>
      <c r="P90" s="85">
        <v>0</v>
      </c>
      <c r="Q90" s="85">
        <v>8</v>
      </c>
      <c r="R90" s="85">
        <v>2</v>
      </c>
      <c r="S90" s="85">
        <v>8</v>
      </c>
      <c r="T90" s="85">
        <v>4</v>
      </c>
      <c r="U90" s="85">
        <v>8</v>
      </c>
      <c r="V90" s="85">
        <v>0</v>
      </c>
      <c r="W90" s="85"/>
      <c r="X90" s="85"/>
      <c r="Y90" s="49"/>
      <c r="Z90" s="94"/>
      <c r="AA90" s="95"/>
      <c r="AB90" s="85"/>
      <c r="AC90" s="85"/>
      <c r="AD90" s="85"/>
      <c r="AE90" s="85"/>
      <c r="AF90" s="85"/>
      <c r="AG90" s="49"/>
      <c r="AH90" s="92"/>
      <c r="AI90" s="49"/>
    </row>
    <row r="91" spans="1:35" ht="12.75" x14ac:dyDescent="0.2">
      <c r="A91" s="87" t="s">
        <v>141</v>
      </c>
      <c r="B91" s="70">
        <f t="shared" ref="B91:I91" si="34">B90*B89</f>
        <v>1.8</v>
      </c>
      <c r="C91" s="70">
        <f t="shared" si="34"/>
        <v>3.1</v>
      </c>
      <c r="D91" s="70">
        <f t="shared" si="34"/>
        <v>2.2000000000000002</v>
      </c>
      <c r="E91" s="70">
        <f t="shared" si="34"/>
        <v>3.5</v>
      </c>
      <c r="F91" s="70">
        <f t="shared" si="34"/>
        <v>7</v>
      </c>
      <c r="G91" s="70">
        <f t="shared" si="34"/>
        <v>12</v>
      </c>
      <c r="H91" s="70">
        <f t="shared" si="34"/>
        <v>10</v>
      </c>
      <c r="I91" s="70">
        <f t="shared" si="34"/>
        <v>0</v>
      </c>
      <c r="J91" s="70">
        <f>SUM(B91:I91)</f>
        <v>39.6</v>
      </c>
      <c r="K91" s="86"/>
      <c r="L91" s="87" t="s">
        <v>141</v>
      </c>
      <c r="M91" s="70">
        <f t="shared" ref="M91:V91" si="35">M90*M89</f>
        <v>1.75</v>
      </c>
      <c r="N91" s="70">
        <f t="shared" si="35"/>
        <v>1</v>
      </c>
      <c r="O91" s="70">
        <f t="shared" si="35"/>
        <v>1.8</v>
      </c>
      <c r="P91" s="70">
        <f t="shared" si="35"/>
        <v>0</v>
      </c>
      <c r="Q91" s="70">
        <f t="shared" si="35"/>
        <v>8</v>
      </c>
      <c r="R91" s="70">
        <f t="shared" si="35"/>
        <v>4</v>
      </c>
      <c r="S91" s="70">
        <f t="shared" si="35"/>
        <v>40</v>
      </c>
      <c r="T91" s="70">
        <f t="shared" si="35"/>
        <v>40</v>
      </c>
      <c r="U91" s="70">
        <f t="shared" si="35"/>
        <v>160</v>
      </c>
      <c r="V91" s="70">
        <f t="shared" si="35"/>
        <v>0</v>
      </c>
      <c r="W91" s="70">
        <f>SUM(M91:V91)</f>
        <v>256.55</v>
      </c>
      <c r="X91" s="96">
        <f>W91-J91</f>
        <v>216.95000000000002</v>
      </c>
      <c r="Y91" s="94">
        <v>88.9</v>
      </c>
      <c r="Z91" s="94">
        <v>33.299999999999997</v>
      </c>
      <c r="AA91" s="97">
        <f>X91+Z91</f>
        <v>250.25</v>
      </c>
      <c r="AB91" s="85">
        <v>80.900000000000006</v>
      </c>
      <c r="AC91" s="96">
        <f>Y91-AB91</f>
        <v>8</v>
      </c>
      <c r="AD91" s="96">
        <f>X91-Y91</f>
        <v>128.05000000000001</v>
      </c>
      <c r="AE91" s="85">
        <v>28.05</v>
      </c>
      <c r="AF91" s="96">
        <f>AD91-AE91</f>
        <v>100.00000000000001</v>
      </c>
      <c r="AG91" s="49"/>
      <c r="AH91" s="98">
        <f>(SUM(Y91:Z91)/(1+10/100))*(10/100)</f>
        <v>11.109090909090909</v>
      </c>
      <c r="AI91" s="49"/>
    </row>
    <row r="93" spans="1:35" ht="38.25" x14ac:dyDescent="0.2">
      <c r="A93" s="83" t="s">
        <v>135</v>
      </c>
      <c r="B93" s="84">
        <v>45770</v>
      </c>
      <c r="C93" s="85"/>
      <c r="D93" s="85"/>
      <c r="E93" s="85"/>
      <c r="F93" s="85"/>
      <c r="G93" s="85"/>
      <c r="H93" s="85"/>
      <c r="I93" s="85"/>
      <c r="J93" s="85"/>
      <c r="K93" s="86"/>
      <c r="L93" s="83" t="s">
        <v>136</v>
      </c>
      <c r="M93" s="84">
        <v>45770</v>
      </c>
      <c r="N93" s="85"/>
      <c r="O93" s="85"/>
      <c r="P93" s="85"/>
      <c r="Q93" s="85"/>
      <c r="R93" s="85"/>
      <c r="S93" s="85"/>
      <c r="T93" s="85"/>
      <c r="U93" s="85"/>
      <c r="V93" s="85"/>
      <c r="W93" s="87" t="s">
        <v>141</v>
      </c>
      <c r="X93" s="88" t="s">
        <v>192</v>
      </c>
      <c r="Y93" s="89" t="s">
        <v>142</v>
      </c>
      <c r="Z93" s="90" t="s">
        <v>193</v>
      </c>
      <c r="AA93" s="91" t="s">
        <v>194</v>
      </c>
      <c r="AB93" s="88" t="s">
        <v>165</v>
      </c>
      <c r="AC93" s="87" t="s">
        <v>195</v>
      </c>
      <c r="AD93" s="87" t="s">
        <v>196</v>
      </c>
      <c r="AE93" s="88" t="s">
        <v>197</v>
      </c>
      <c r="AF93" s="87" t="s">
        <v>198</v>
      </c>
      <c r="AG93" s="49"/>
      <c r="AH93" s="92"/>
      <c r="AI93" s="49"/>
    </row>
    <row r="94" spans="1:35" ht="12.75" x14ac:dyDescent="0.2">
      <c r="A94" s="87" t="s">
        <v>199</v>
      </c>
      <c r="B94" s="93">
        <v>0.05</v>
      </c>
      <c r="C94" s="93">
        <v>0.1</v>
      </c>
      <c r="D94" s="93">
        <v>0.2</v>
      </c>
      <c r="E94" s="93">
        <v>0.5</v>
      </c>
      <c r="F94" s="93">
        <v>1</v>
      </c>
      <c r="G94" s="93">
        <v>2</v>
      </c>
      <c r="H94" s="93">
        <v>5</v>
      </c>
      <c r="I94" s="93">
        <v>10</v>
      </c>
      <c r="J94" s="49"/>
      <c r="K94" s="86"/>
      <c r="L94" s="87" t="s">
        <v>199</v>
      </c>
      <c r="M94" s="93">
        <v>0.05</v>
      </c>
      <c r="N94" s="93">
        <v>0.1</v>
      </c>
      <c r="O94" s="93">
        <v>0.2</v>
      </c>
      <c r="P94" s="93">
        <v>0.5</v>
      </c>
      <c r="Q94" s="93">
        <v>1</v>
      </c>
      <c r="R94" s="93">
        <v>2</v>
      </c>
      <c r="S94" s="93">
        <v>5</v>
      </c>
      <c r="T94" s="93">
        <v>10</v>
      </c>
      <c r="U94" s="93">
        <v>20</v>
      </c>
      <c r="V94" s="93">
        <v>50</v>
      </c>
      <c r="W94" s="85"/>
      <c r="X94" s="85"/>
      <c r="Y94" s="49"/>
      <c r="Z94" s="94"/>
      <c r="AA94" s="95"/>
      <c r="AB94" s="85"/>
      <c r="AC94" s="85"/>
      <c r="AD94" s="85"/>
      <c r="AE94" s="85"/>
      <c r="AF94" s="85"/>
      <c r="AG94" s="49"/>
      <c r="AH94" s="92"/>
      <c r="AI94" s="49"/>
    </row>
    <row r="95" spans="1:35" ht="12.75" x14ac:dyDescent="0.2">
      <c r="A95" s="87" t="s">
        <v>200</v>
      </c>
      <c r="B95" s="49">
        <v>35</v>
      </c>
      <c r="C95" s="49">
        <v>10</v>
      </c>
      <c r="D95" s="85">
        <v>9</v>
      </c>
      <c r="E95" s="85">
        <v>0</v>
      </c>
      <c r="F95" s="85">
        <v>8</v>
      </c>
      <c r="G95" s="85">
        <v>2</v>
      </c>
      <c r="H95" s="85">
        <v>2</v>
      </c>
      <c r="I95" s="85"/>
      <c r="J95" s="85"/>
      <c r="K95" s="86"/>
      <c r="L95" s="87" t="s">
        <v>200</v>
      </c>
      <c r="M95" s="49">
        <v>45</v>
      </c>
      <c r="N95" s="49">
        <v>16</v>
      </c>
      <c r="O95" s="85">
        <v>16</v>
      </c>
      <c r="P95" s="85">
        <v>3</v>
      </c>
      <c r="Q95" s="85">
        <v>6</v>
      </c>
      <c r="R95" s="85">
        <v>5</v>
      </c>
      <c r="S95" s="85">
        <v>8</v>
      </c>
      <c r="T95" s="85">
        <v>0</v>
      </c>
      <c r="U95" s="85">
        <v>8</v>
      </c>
      <c r="V95" s="85">
        <v>2</v>
      </c>
      <c r="W95" s="85"/>
      <c r="X95" s="85"/>
      <c r="Y95" s="49"/>
      <c r="Z95" s="94"/>
      <c r="AA95" s="95"/>
      <c r="AB95" s="85"/>
      <c r="AC95" s="85"/>
      <c r="AD95" s="85"/>
      <c r="AE95" s="85"/>
      <c r="AF95" s="85"/>
      <c r="AG95" s="49"/>
      <c r="AH95" s="92"/>
      <c r="AI95" s="49"/>
    </row>
    <row r="96" spans="1:35" ht="12.75" x14ac:dyDescent="0.2">
      <c r="A96" s="87" t="s">
        <v>141</v>
      </c>
      <c r="B96" s="70">
        <f t="shared" ref="B96:I96" si="36">B95*B94</f>
        <v>1.75</v>
      </c>
      <c r="C96" s="70">
        <f t="shared" si="36"/>
        <v>1</v>
      </c>
      <c r="D96" s="70">
        <f t="shared" si="36"/>
        <v>1.8</v>
      </c>
      <c r="E96" s="70">
        <f t="shared" si="36"/>
        <v>0</v>
      </c>
      <c r="F96" s="70">
        <f t="shared" si="36"/>
        <v>8</v>
      </c>
      <c r="G96" s="70">
        <f t="shared" si="36"/>
        <v>4</v>
      </c>
      <c r="H96" s="70">
        <f t="shared" si="36"/>
        <v>10</v>
      </c>
      <c r="I96" s="70">
        <f t="shared" si="36"/>
        <v>0</v>
      </c>
      <c r="J96" s="70">
        <f>SUM(B96:I96)</f>
        <v>26.55</v>
      </c>
      <c r="K96" s="86"/>
      <c r="L96" s="87" t="s">
        <v>141</v>
      </c>
      <c r="M96" s="70">
        <f t="shared" ref="M96:V96" si="37">M95*M94</f>
        <v>2.25</v>
      </c>
      <c r="N96" s="70">
        <f t="shared" si="37"/>
        <v>1.6</v>
      </c>
      <c r="O96" s="70">
        <f t="shared" si="37"/>
        <v>3.2</v>
      </c>
      <c r="P96" s="70">
        <f t="shared" si="37"/>
        <v>1.5</v>
      </c>
      <c r="Q96" s="70">
        <f t="shared" si="37"/>
        <v>6</v>
      </c>
      <c r="R96" s="70">
        <f t="shared" si="37"/>
        <v>10</v>
      </c>
      <c r="S96" s="70">
        <f t="shared" si="37"/>
        <v>40</v>
      </c>
      <c r="T96" s="70">
        <f t="shared" si="37"/>
        <v>0</v>
      </c>
      <c r="U96" s="70">
        <f t="shared" si="37"/>
        <v>160</v>
      </c>
      <c r="V96" s="70">
        <f t="shared" si="37"/>
        <v>100</v>
      </c>
      <c r="W96" s="70">
        <f>SUM(M96:V96)</f>
        <v>324.55</v>
      </c>
      <c r="X96" s="96">
        <f>W96-J96</f>
        <v>298</v>
      </c>
      <c r="Y96" s="94">
        <v>89.4</v>
      </c>
      <c r="Z96" s="94">
        <v>72.2</v>
      </c>
      <c r="AA96" s="97">
        <f>X96+Z96</f>
        <v>370.2</v>
      </c>
      <c r="AB96" s="85">
        <v>50</v>
      </c>
      <c r="AC96" s="96">
        <f>Y96-AB96</f>
        <v>39.400000000000006</v>
      </c>
      <c r="AD96" s="96">
        <f>X96-Y96</f>
        <v>208.6</v>
      </c>
      <c r="AE96" s="85">
        <v>48</v>
      </c>
      <c r="AF96" s="96">
        <f>AD96-AE96</f>
        <v>160.6</v>
      </c>
      <c r="AG96" s="49"/>
      <c r="AH96" s="98">
        <f>(SUM(Y96:Z96)/(1+10/100))*(10/100)</f>
        <v>14.690909090909091</v>
      </c>
      <c r="AI96" s="49"/>
    </row>
    <row r="98" spans="1:35" ht="38.25" x14ac:dyDescent="0.2">
      <c r="A98" s="83" t="s">
        <v>135</v>
      </c>
      <c r="B98" s="84">
        <v>45771</v>
      </c>
      <c r="C98" s="85"/>
      <c r="D98" s="85"/>
      <c r="E98" s="85"/>
      <c r="F98" s="85"/>
      <c r="G98" s="85"/>
      <c r="H98" s="85"/>
      <c r="I98" s="85"/>
      <c r="J98" s="85"/>
      <c r="K98" s="86"/>
      <c r="L98" s="83" t="s">
        <v>136</v>
      </c>
      <c r="M98" s="84">
        <v>45771</v>
      </c>
      <c r="N98" s="85"/>
      <c r="O98" s="85"/>
      <c r="P98" s="85"/>
      <c r="Q98" s="85"/>
      <c r="R98" s="85"/>
      <c r="S98" s="85"/>
      <c r="T98" s="85"/>
      <c r="U98" s="85"/>
      <c r="V98" s="85"/>
      <c r="W98" s="87" t="s">
        <v>141</v>
      </c>
      <c r="X98" s="88" t="s">
        <v>192</v>
      </c>
      <c r="Y98" s="89" t="s">
        <v>142</v>
      </c>
      <c r="Z98" s="90" t="s">
        <v>193</v>
      </c>
      <c r="AA98" s="91" t="s">
        <v>194</v>
      </c>
      <c r="AB98" s="88" t="s">
        <v>165</v>
      </c>
      <c r="AC98" s="87" t="s">
        <v>195</v>
      </c>
      <c r="AD98" s="87" t="s">
        <v>196</v>
      </c>
      <c r="AE98" s="88" t="s">
        <v>197</v>
      </c>
      <c r="AF98" s="87" t="s">
        <v>198</v>
      </c>
      <c r="AG98" s="49"/>
      <c r="AH98" s="92"/>
      <c r="AI98" s="49"/>
    </row>
    <row r="99" spans="1:35" ht="12.75" x14ac:dyDescent="0.2">
      <c r="A99" s="87" t="s">
        <v>199</v>
      </c>
      <c r="B99" s="93">
        <v>0.05</v>
      </c>
      <c r="C99" s="93">
        <v>0.1</v>
      </c>
      <c r="D99" s="93">
        <v>0.2</v>
      </c>
      <c r="E99" s="93">
        <v>0.5</v>
      </c>
      <c r="F99" s="93">
        <v>1</v>
      </c>
      <c r="G99" s="93">
        <v>2</v>
      </c>
      <c r="H99" s="93">
        <v>5</v>
      </c>
      <c r="I99" s="93">
        <v>10</v>
      </c>
      <c r="J99" s="49"/>
      <c r="K99" s="86"/>
      <c r="L99" s="87" t="s">
        <v>199</v>
      </c>
      <c r="M99" s="93">
        <v>0.05</v>
      </c>
      <c r="N99" s="93">
        <v>0.1</v>
      </c>
      <c r="O99" s="93">
        <v>0.2</v>
      </c>
      <c r="P99" s="93">
        <v>0.5</v>
      </c>
      <c r="Q99" s="93">
        <v>1</v>
      </c>
      <c r="R99" s="93">
        <v>2</v>
      </c>
      <c r="S99" s="93">
        <v>5</v>
      </c>
      <c r="T99" s="93">
        <v>10</v>
      </c>
      <c r="U99" s="93">
        <v>20</v>
      </c>
      <c r="V99" s="93">
        <v>50</v>
      </c>
      <c r="W99" s="85"/>
      <c r="X99" s="85"/>
      <c r="Y99" s="49"/>
      <c r="Z99" s="94"/>
      <c r="AA99" s="95"/>
      <c r="AB99" s="85"/>
      <c r="AC99" s="85"/>
      <c r="AD99" s="85"/>
      <c r="AE99" s="85"/>
      <c r="AF99" s="85"/>
      <c r="AG99" s="49"/>
      <c r="AH99" s="92"/>
      <c r="AI99" s="49"/>
    </row>
    <row r="100" spans="1:35" ht="12.75" x14ac:dyDescent="0.2">
      <c r="A100" s="87" t="s">
        <v>200</v>
      </c>
      <c r="B100" s="49">
        <v>45</v>
      </c>
      <c r="C100" s="49">
        <v>16</v>
      </c>
      <c r="D100" s="85">
        <v>16</v>
      </c>
      <c r="E100" s="85">
        <v>3</v>
      </c>
      <c r="F100" s="85">
        <v>6</v>
      </c>
      <c r="G100" s="85">
        <v>5</v>
      </c>
      <c r="H100" s="85">
        <v>2</v>
      </c>
      <c r="I100" s="85"/>
      <c r="J100" s="85"/>
      <c r="K100" s="86"/>
      <c r="L100" s="87" t="s">
        <v>200</v>
      </c>
      <c r="M100" s="49">
        <v>48</v>
      </c>
      <c r="N100" s="49">
        <v>17</v>
      </c>
      <c r="O100" s="85">
        <v>14</v>
      </c>
      <c r="P100" s="85">
        <v>11</v>
      </c>
      <c r="Q100" s="85">
        <v>19</v>
      </c>
      <c r="R100" s="85">
        <v>8</v>
      </c>
      <c r="S100" s="85">
        <v>7</v>
      </c>
      <c r="T100" s="85">
        <v>0</v>
      </c>
      <c r="U100" s="85">
        <v>12</v>
      </c>
      <c r="V100" s="85">
        <v>0</v>
      </c>
      <c r="W100" s="85"/>
      <c r="X100" s="85"/>
      <c r="Y100" s="49"/>
      <c r="Z100" s="94"/>
      <c r="AA100" s="95"/>
      <c r="AB100" s="85"/>
      <c r="AC100" s="85"/>
      <c r="AD100" s="85"/>
      <c r="AE100" s="85"/>
      <c r="AF100" s="85"/>
      <c r="AG100" s="49"/>
      <c r="AH100" s="92"/>
      <c r="AI100" s="49"/>
    </row>
    <row r="101" spans="1:35" ht="12.75" x14ac:dyDescent="0.2">
      <c r="A101" s="87" t="s">
        <v>141</v>
      </c>
      <c r="B101" s="70">
        <f t="shared" ref="B101:I101" si="38">B100*B99</f>
        <v>2.25</v>
      </c>
      <c r="C101" s="70">
        <f t="shared" si="38"/>
        <v>1.6</v>
      </c>
      <c r="D101" s="70">
        <f t="shared" si="38"/>
        <v>3.2</v>
      </c>
      <c r="E101" s="70">
        <f t="shared" si="38"/>
        <v>1.5</v>
      </c>
      <c r="F101" s="70">
        <f t="shared" si="38"/>
        <v>6</v>
      </c>
      <c r="G101" s="70">
        <f t="shared" si="38"/>
        <v>10</v>
      </c>
      <c r="H101" s="70">
        <f t="shared" si="38"/>
        <v>10</v>
      </c>
      <c r="I101" s="70">
        <f t="shared" si="38"/>
        <v>0</v>
      </c>
      <c r="J101" s="70">
        <f>SUM(B101:I101)</f>
        <v>34.549999999999997</v>
      </c>
      <c r="K101" s="86"/>
      <c r="L101" s="87" t="s">
        <v>141</v>
      </c>
      <c r="M101" s="70">
        <f t="shared" ref="M101:V101" si="39">M100*M99</f>
        <v>2.4000000000000004</v>
      </c>
      <c r="N101" s="70">
        <f t="shared" si="39"/>
        <v>1.7000000000000002</v>
      </c>
      <c r="O101" s="70">
        <f t="shared" si="39"/>
        <v>2.8000000000000003</v>
      </c>
      <c r="P101" s="70">
        <f t="shared" si="39"/>
        <v>5.5</v>
      </c>
      <c r="Q101" s="70">
        <f t="shared" si="39"/>
        <v>19</v>
      </c>
      <c r="R101" s="70">
        <f t="shared" si="39"/>
        <v>16</v>
      </c>
      <c r="S101" s="70">
        <f t="shared" si="39"/>
        <v>35</v>
      </c>
      <c r="T101" s="70">
        <f t="shared" si="39"/>
        <v>0</v>
      </c>
      <c r="U101" s="70">
        <f t="shared" si="39"/>
        <v>240</v>
      </c>
      <c r="V101" s="70">
        <f t="shared" si="39"/>
        <v>0</v>
      </c>
      <c r="W101" s="70">
        <f>SUM(M101:V101)</f>
        <v>322.39999999999998</v>
      </c>
      <c r="X101" s="96">
        <f>W101-J101</f>
        <v>287.84999999999997</v>
      </c>
      <c r="Y101" s="94">
        <v>115.6</v>
      </c>
      <c r="Z101" s="94">
        <v>57.2</v>
      </c>
      <c r="AA101" s="97">
        <f>X101+Z101</f>
        <v>345.04999999999995</v>
      </c>
      <c r="AB101" s="85">
        <v>50</v>
      </c>
      <c r="AC101" s="96">
        <f>Y101-AB101</f>
        <v>65.599999999999994</v>
      </c>
      <c r="AD101" s="96">
        <f>X101-Y101</f>
        <v>172.24999999999997</v>
      </c>
      <c r="AE101" s="85"/>
      <c r="AF101" s="96">
        <f>AD101-AE101</f>
        <v>172.24999999999997</v>
      </c>
      <c r="AG101" s="49"/>
      <c r="AH101" s="98">
        <f>(SUM(Y101:Z101)/(1+10/100))*(10/100)</f>
        <v>15.709090909090911</v>
      </c>
      <c r="AI101" s="49"/>
    </row>
    <row r="103" spans="1:35" ht="38.25" x14ac:dyDescent="0.2">
      <c r="A103" s="83" t="s">
        <v>135</v>
      </c>
      <c r="B103" s="84">
        <v>45772</v>
      </c>
      <c r="C103" s="85"/>
      <c r="D103" s="85"/>
      <c r="E103" s="85"/>
      <c r="F103" s="85"/>
      <c r="G103" s="85"/>
      <c r="H103" s="85"/>
      <c r="I103" s="85"/>
      <c r="J103" s="85"/>
      <c r="K103" s="86"/>
      <c r="L103" s="83" t="s">
        <v>136</v>
      </c>
      <c r="M103" s="84">
        <v>45772</v>
      </c>
      <c r="N103" s="85"/>
      <c r="O103" s="85"/>
      <c r="P103" s="85"/>
      <c r="Q103" s="85"/>
      <c r="R103" s="85"/>
      <c r="S103" s="85"/>
      <c r="T103" s="85"/>
      <c r="U103" s="85"/>
      <c r="V103" s="85"/>
      <c r="W103" s="87" t="s">
        <v>141</v>
      </c>
      <c r="X103" s="88" t="s">
        <v>192</v>
      </c>
      <c r="Y103" s="89" t="s">
        <v>142</v>
      </c>
      <c r="Z103" s="90" t="s">
        <v>193</v>
      </c>
      <c r="AA103" s="91" t="s">
        <v>194</v>
      </c>
      <c r="AB103" s="88" t="s">
        <v>165</v>
      </c>
      <c r="AC103" s="87" t="s">
        <v>195</v>
      </c>
      <c r="AD103" s="87" t="s">
        <v>196</v>
      </c>
      <c r="AE103" s="88" t="s">
        <v>197</v>
      </c>
      <c r="AF103" s="87" t="s">
        <v>198</v>
      </c>
      <c r="AG103" s="49"/>
      <c r="AH103" s="92"/>
      <c r="AI103" s="49"/>
    </row>
    <row r="104" spans="1:35" ht="12.75" x14ac:dyDescent="0.2">
      <c r="A104" s="87" t="s">
        <v>199</v>
      </c>
      <c r="B104" s="93">
        <v>0.05</v>
      </c>
      <c r="C104" s="93">
        <v>0.1</v>
      </c>
      <c r="D104" s="93">
        <v>0.2</v>
      </c>
      <c r="E104" s="93">
        <v>0.5</v>
      </c>
      <c r="F104" s="93">
        <v>1</v>
      </c>
      <c r="G104" s="93">
        <v>2</v>
      </c>
      <c r="H104" s="93">
        <v>5</v>
      </c>
      <c r="I104" s="93">
        <v>10</v>
      </c>
      <c r="J104" s="49"/>
      <c r="K104" s="86"/>
      <c r="L104" s="87" t="s">
        <v>199</v>
      </c>
      <c r="M104" s="93">
        <v>0.05</v>
      </c>
      <c r="N104" s="93">
        <v>0.1</v>
      </c>
      <c r="O104" s="93">
        <v>0.2</v>
      </c>
      <c r="P104" s="93">
        <v>0.5</v>
      </c>
      <c r="Q104" s="93">
        <v>1</v>
      </c>
      <c r="R104" s="93">
        <v>2</v>
      </c>
      <c r="S104" s="93">
        <v>5</v>
      </c>
      <c r="T104" s="93">
        <v>10</v>
      </c>
      <c r="U104" s="93">
        <v>20</v>
      </c>
      <c r="V104" s="93">
        <v>50</v>
      </c>
      <c r="W104" s="85"/>
      <c r="X104" s="85"/>
      <c r="Y104" s="49"/>
      <c r="Z104" s="94"/>
      <c r="AA104" s="95"/>
      <c r="AB104" s="85"/>
      <c r="AC104" s="85"/>
      <c r="AD104" s="85"/>
      <c r="AE104" s="85"/>
      <c r="AF104" s="85"/>
      <c r="AG104" s="49"/>
      <c r="AH104" s="92"/>
      <c r="AI104" s="49"/>
    </row>
    <row r="105" spans="1:35" ht="12.75" x14ac:dyDescent="0.2">
      <c r="A105" s="87" t="s">
        <v>200</v>
      </c>
      <c r="B105" s="49">
        <v>48</v>
      </c>
      <c r="C105" s="49">
        <v>17</v>
      </c>
      <c r="D105" s="85">
        <v>14</v>
      </c>
      <c r="E105" s="85">
        <v>11</v>
      </c>
      <c r="F105" s="85">
        <v>10</v>
      </c>
      <c r="G105" s="85">
        <v>5</v>
      </c>
      <c r="H105" s="85">
        <v>1</v>
      </c>
      <c r="I105" s="85"/>
      <c r="J105" s="85"/>
      <c r="K105" s="86"/>
      <c r="L105" s="87" t="s">
        <v>200</v>
      </c>
      <c r="M105" s="49">
        <v>49</v>
      </c>
      <c r="N105" s="49">
        <v>16</v>
      </c>
      <c r="O105" s="85">
        <v>18</v>
      </c>
      <c r="P105" s="85">
        <v>14</v>
      </c>
      <c r="Q105" s="85">
        <v>16</v>
      </c>
      <c r="R105" s="85">
        <v>11</v>
      </c>
      <c r="S105" s="85">
        <v>4</v>
      </c>
      <c r="T105" s="85">
        <v>5</v>
      </c>
      <c r="U105" s="85">
        <v>5</v>
      </c>
      <c r="V105" s="85">
        <v>1</v>
      </c>
      <c r="W105" s="85"/>
      <c r="X105" s="85"/>
      <c r="Y105" s="49"/>
      <c r="Z105" s="94"/>
      <c r="AA105" s="95"/>
      <c r="AB105" s="85"/>
      <c r="AC105" s="85"/>
      <c r="AD105" s="85"/>
      <c r="AE105" s="85"/>
      <c r="AF105" s="85"/>
      <c r="AG105" s="49"/>
      <c r="AH105" s="92"/>
      <c r="AI105" s="49"/>
    </row>
    <row r="106" spans="1:35" ht="12.75" x14ac:dyDescent="0.2">
      <c r="A106" s="87" t="s">
        <v>141</v>
      </c>
      <c r="B106" s="70">
        <f t="shared" ref="B106:I106" si="40">B105*B104</f>
        <v>2.4000000000000004</v>
      </c>
      <c r="C106" s="70">
        <f t="shared" si="40"/>
        <v>1.7000000000000002</v>
      </c>
      <c r="D106" s="70">
        <f t="shared" si="40"/>
        <v>2.8000000000000003</v>
      </c>
      <c r="E106" s="70">
        <f t="shared" si="40"/>
        <v>5.5</v>
      </c>
      <c r="F106" s="70">
        <f t="shared" si="40"/>
        <v>10</v>
      </c>
      <c r="G106" s="70">
        <f t="shared" si="40"/>
        <v>10</v>
      </c>
      <c r="H106" s="70">
        <f t="shared" si="40"/>
        <v>5</v>
      </c>
      <c r="I106" s="70">
        <f t="shared" si="40"/>
        <v>0</v>
      </c>
      <c r="J106" s="70">
        <f>SUM(B106:I106)</f>
        <v>37.4</v>
      </c>
      <c r="K106" s="86"/>
      <c r="L106" s="87" t="s">
        <v>141</v>
      </c>
      <c r="M106" s="70">
        <f t="shared" ref="M106:V106" si="41">M105*M104</f>
        <v>2.4500000000000002</v>
      </c>
      <c r="N106" s="70">
        <f t="shared" si="41"/>
        <v>1.6</v>
      </c>
      <c r="O106" s="70">
        <f t="shared" si="41"/>
        <v>3.6</v>
      </c>
      <c r="P106" s="70">
        <f t="shared" si="41"/>
        <v>7</v>
      </c>
      <c r="Q106" s="70">
        <f t="shared" si="41"/>
        <v>16</v>
      </c>
      <c r="R106" s="70">
        <f t="shared" si="41"/>
        <v>22</v>
      </c>
      <c r="S106" s="70">
        <f t="shared" si="41"/>
        <v>20</v>
      </c>
      <c r="T106" s="70">
        <f t="shared" si="41"/>
        <v>50</v>
      </c>
      <c r="U106" s="70">
        <f t="shared" si="41"/>
        <v>100</v>
      </c>
      <c r="V106" s="70">
        <f t="shared" si="41"/>
        <v>50</v>
      </c>
      <c r="W106" s="70">
        <f>SUM(M106:V106)</f>
        <v>272.64999999999998</v>
      </c>
      <c r="X106" s="96">
        <f>W106-J106</f>
        <v>235.24999999999997</v>
      </c>
      <c r="Y106" s="94">
        <v>127.7</v>
      </c>
      <c r="Z106" s="94">
        <v>17.600000000000001</v>
      </c>
      <c r="AA106" s="97">
        <f>X106+Z106</f>
        <v>252.84999999999997</v>
      </c>
      <c r="AB106" s="85">
        <v>60</v>
      </c>
      <c r="AC106" s="96">
        <f>Y106-AB106</f>
        <v>67.7</v>
      </c>
      <c r="AD106" s="96">
        <f>X106-Y106</f>
        <v>107.54999999999997</v>
      </c>
      <c r="AE106" s="85">
        <v>10</v>
      </c>
      <c r="AF106" s="96">
        <f>AD106-AE106</f>
        <v>97.549999999999969</v>
      </c>
      <c r="AG106" s="49"/>
      <c r="AH106" s="98">
        <f>(SUM(Y106:Z106)/(1+10/100))*(10/100)</f>
        <v>13.209090909090911</v>
      </c>
      <c r="AI106" s="49"/>
    </row>
    <row r="108" spans="1:35" ht="38.25" x14ac:dyDescent="0.2">
      <c r="A108" s="83" t="s">
        <v>135</v>
      </c>
      <c r="B108" s="84">
        <v>45773</v>
      </c>
      <c r="C108" s="85"/>
      <c r="D108" s="85"/>
      <c r="E108" s="85"/>
      <c r="F108" s="85"/>
      <c r="G108" s="85"/>
      <c r="H108" s="85"/>
      <c r="I108" s="85"/>
      <c r="J108" s="85"/>
      <c r="K108" s="86"/>
      <c r="L108" s="83" t="s">
        <v>136</v>
      </c>
      <c r="M108" s="84">
        <v>45773</v>
      </c>
      <c r="N108" s="85"/>
      <c r="O108" s="85"/>
      <c r="P108" s="85"/>
      <c r="Q108" s="85"/>
      <c r="R108" s="85"/>
      <c r="S108" s="85"/>
      <c r="T108" s="85"/>
      <c r="U108" s="85"/>
      <c r="V108" s="85"/>
      <c r="W108" s="87" t="s">
        <v>141</v>
      </c>
      <c r="X108" s="88" t="s">
        <v>192</v>
      </c>
      <c r="Y108" s="89" t="s">
        <v>142</v>
      </c>
      <c r="Z108" s="90" t="s">
        <v>193</v>
      </c>
      <c r="AA108" s="91" t="s">
        <v>194</v>
      </c>
      <c r="AB108" s="88" t="s">
        <v>165</v>
      </c>
      <c r="AC108" s="87" t="s">
        <v>195</v>
      </c>
      <c r="AD108" s="87" t="s">
        <v>196</v>
      </c>
      <c r="AE108" s="88" t="s">
        <v>197</v>
      </c>
      <c r="AF108" s="87" t="s">
        <v>198</v>
      </c>
      <c r="AG108" s="49"/>
      <c r="AH108" s="92"/>
      <c r="AI108" s="49"/>
    </row>
    <row r="109" spans="1:35" ht="12.75" x14ac:dyDescent="0.2">
      <c r="A109" s="87" t="s">
        <v>199</v>
      </c>
      <c r="B109" s="93">
        <v>0.05</v>
      </c>
      <c r="C109" s="93">
        <v>0.1</v>
      </c>
      <c r="D109" s="93">
        <v>0.2</v>
      </c>
      <c r="E109" s="93">
        <v>0.5</v>
      </c>
      <c r="F109" s="93">
        <v>1</v>
      </c>
      <c r="G109" s="93">
        <v>2</v>
      </c>
      <c r="H109" s="93">
        <v>5</v>
      </c>
      <c r="I109" s="93">
        <v>10</v>
      </c>
      <c r="J109" s="49"/>
      <c r="K109" s="86"/>
      <c r="L109" s="87" t="s">
        <v>199</v>
      </c>
      <c r="M109" s="93">
        <v>0.05</v>
      </c>
      <c r="N109" s="93">
        <v>0.1</v>
      </c>
      <c r="O109" s="93">
        <v>0.2</v>
      </c>
      <c r="P109" s="93">
        <v>0.5</v>
      </c>
      <c r="Q109" s="93">
        <v>1</v>
      </c>
      <c r="R109" s="93">
        <v>2</v>
      </c>
      <c r="S109" s="93">
        <v>5</v>
      </c>
      <c r="T109" s="93">
        <v>10</v>
      </c>
      <c r="U109" s="93">
        <v>20</v>
      </c>
      <c r="V109" s="93">
        <v>50</v>
      </c>
      <c r="W109" s="85"/>
      <c r="X109" s="85"/>
      <c r="Y109" s="49"/>
      <c r="Z109" s="94"/>
      <c r="AA109" s="95"/>
      <c r="AB109" s="85"/>
      <c r="AC109" s="85"/>
      <c r="AD109" s="85"/>
      <c r="AE109" s="85"/>
      <c r="AF109" s="85"/>
      <c r="AG109" s="49"/>
      <c r="AH109" s="92"/>
      <c r="AI109" s="49"/>
    </row>
    <row r="110" spans="1:35" ht="12.75" x14ac:dyDescent="0.2">
      <c r="A110" s="87" t="s">
        <v>200</v>
      </c>
      <c r="B110" s="49">
        <v>49</v>
      </c>
      <c r="C110" s="49">
        <v>16</v>
      </c>
      <c r="D110" s="85">
        <v>18</v>
      </c>
      <c r="E110" s="85">
        <v>14</v>
      </c>
      <c r="F110" s="85">
        <v>10</v>
      </c>
      <c r="G110" s="85">
        <v>5</v>
      </c>
      <c r="H110" s="85">
        <v>2</v>
      </c>
      <c r="I110" s="85"/>
      <c r="J110" s="85"/>
      <c r="K110" s="86"/>
      <c r="L110" s="87" t="s">
        <v>200</v>
      </c>
      <c r="M110" s="49">
        <v>52</v>
      </c>
      <c r="N110" s="49">
        <v>24</v>
      </c>
      <c r="O110" s="85">
        <v>11</v>
      </c>
      <c r="P110" s="85">
        <v>25</v>
      </c>
      <c r="Q110" s="85">
        <v>15</v>
      </c>
      <c r="R110" s="85">
        <v>4</v>
      </c>
      <c r="S110" s="85">
        <v>6</v>
      </c>
      <c r="T110" s="85">
        <v>8</v>
      </c>
      <c r="U110" s="85">
        <v>4</v>
      </c>
      <c r="V110" s="85">
        <v>2</v>
      </c>
      <c r="W110" s="85"/>
      <c r="X110" s="85"/>
      <c r="Y110" s="49"/>
      <c r="Z110" s="94"/>
      <c r="AA110" s="95"/>
      <c r="AB110" s="85"/>
      <c r="AC110" s="85"/>
      <c r="AD110" s="85"/>
      <c r="AE110" s="85"/>
      <c r="AF110" s="85"/>
      <c r="AG110" s="49"/>
      <c r="AH110" s="92"/>
      <c r="AI110" s="49"/>
    </row>
    <row r="111" spans="1:35" ht="12.75" x14ac:dyDescent="0.2">
      <c r="A111" s="87" t="s">
        <v>141</v>
      </c>
      <c r="B111" s="70">
        <f t="shared" ref="B111:I111" si="42">B110*B109</f>
        <v>2.4500000000000002</v>
      </c>
      <c r="C111" s="70">
        <f t="shared" si="42"/>
        <v>1.6</v>
      </c>
      <c r="D111" s="70">
        <f t="shared" si="42"/>
        <v>3.6</v>
      </c>
      <c r="E111" s="70">
        <f t="shared" si="42"/>
        <v>7</v>
      </c>
      <c r="F111" s="70">
        <f t="shared" si="42"/>
        <v>10</v>
      </c>
      <c r="G111" s="70">
        <f t="shared" si="42"/>
        <v>10</v>
      </c>
      <c r="H111" s="70">
        <f t="shared" si="42"/>
        <v>10</v>
      </c>
      <c r="I111" s="70">
        <f t="shared" si="42"/>
        <v>0</v>
      </c>
      <c r="J111" s="70">
        <f>SUM(B111:I111)</f>
        <v>44.65</v>
      </c>
      <c r="K111" s="86"/>
      <c r="L111" s="87" t="s">
        <v>141</v>
      </c>
      <c r="M111" s="70">
        <f t="shared" ref="M111:V111" si="43">M110*M109</f>
        <v>2.6</v>
      </c>
      <c r="N111" s="70">
        <f t="shared" si="43"/>
        <v>2.4000000000000004</v>
      </c>
      <c r="O111" s="70">
        <f t="shared" si="43"/>
        <v>2.2000000000000002</v>
      </c>
      <c r="P111" s="70">
        <f t="shared" si="43"/>
        <v>12.5</v>
      </c>
      <c r="Q111" s="70">
        <f t="shared" si="43"/>
        <v>15</v>
      </c>
      <c r="R111" s="70">
        <f t="shared" si="43"/>
        <v>8</v>
      </c>
      <c r="S111" s="70">
        <f t="shared" si="43"/>
        <v>30</v>
      </c>
      <c r="T111" s="70">
        <f t="shared" si="43"/>
        <v>80</v>
      </c>
      <c r="U111" s="70">
        <f t="shared" si="43"/>
        <v>80</v>
      </c>
      <c r="V111" s="70">
        <f t="shared" si="43"/>
        <v>100</v>
      </c>
      <c r="W111" s="70">
        <f>SUM(M111:V111)</f>
        <v>332.7</v>
      </c>
      <c r="X111" s="96">
        <f>W111-J111</f>
        <v>288.05</v>
      </c>
      <c r="Y111" s="94">
        <v>150</v>
      </c>
      <c r="Z111" s="94">
        <v>55.8</v>
      </c>
      <c r="AA111" s="97">
        <f>X111+Z111</f>
        <v>343.85</v>
      </c>
      <c r="AB111" s="85">
        <v>100</v>
      </c>
      <c r="AC111" s="96">
        <f>Y111-AB111</f>
        <v>50</v>
      </c>
      <c r="AD111" s="96">
        <f>X111-Y111</f>
        <v>138.05000000000001</v>
      </c>
      <c r="AE111" s="85">
        <v>3</v>
      </c>
      <c r="AF111" s="96">
        <f>AD111-AE111</f>
        <v>135.05000000000001</v>
      </c>
      <c r="AG111" s="49"/>
      <c r="AH111" s="98">
        <f>(SUM(Y111:Z111)/(1+10/100))*(10/100)</f>
        <v>18.709090909090911</v>
      </c>
      <c r="AI111" s="49"/>
    </row>
    <row r="113" spans="1:35" ht="38.25" x14ac:dyDescent="0.2">
      <c r="A113" s="83" t="s">
        <v>135</v>
      </c>
      <c r="B113" s="84">
        <v>45775</v>
      </c>
      <c r="C113" s="85"/>
      <c r="D113" s="85"/>
      <c r="E113" s="85"/>
      <c r="F113" s="85"/>
      <c r="G113" s="85"/>
      <c r="H113" s="85"/>
      <c r="I113" s="85"/>
      <c r="J113" s="85"/>
      <c r="K113" s="86"/>
      <c r="L113" s="83" t="s">
        <v>136</v>
      </c>
      <c r="M113" s="84">
        <v>45775</v>
      </c>
      <c r="N113" s="85"/>
      <c r="O113" s="85"/>
      <c r="P113" s="85"/>
      <c r="Q113" s="85"/>
      <c r="R113" s="85"/>
      <c r="S113" s="85"/>
      <c r="T113" s="85"/>
      <c r="U113" s="85"/>
      <c r="V113" s="85"/>
      <c r="W113" s="87" t="s">
        <v>141</v>
      </c>
      <c r="X113" s="88" t="s">
        <v>192</v>
      </c>
      <c r="Y113" s="89" t="s">
        <v>142</v>
      </c>
      <c r="Z113" s="90" t="s">
        <v>193</v>
      </c>
      <c r="AA113" s="91" t="s">
        <v>194</v>
      </c>
      <c r="AB113" s="88" t="s">
        <v>165</v>
      </c>
      <c r="AC113" s="87" t="s">
        <v>195</v>
      </c>
      <c r="AD113" s="87" t="s">
        <v>196</v>
      </c>
      <c r="AE113" s="88" t="s">
        <v>197</v>
      </c>
      <c r="AF113" s="87" t="s">
        <v>198</v>
      </c>
      <c r="AG113" s="49"/>
      <c r="AH113" s="92"/>
      <c r="AI113" s="49"/>
    </row>
    <row r="114" spans="1:35" ht="12.75" x14ac:dyDescent="0.2">
      <c r="A114" s="87" t="s">
        <v>199</v>
      </c>
      <c r="B114" s="93">
        <v>0.05</v>
      </c>
      <c r="C114" s="93">
        <v>0.1</v>
      </c>
      <c r="D114" s="93">
        <v>0.2</v>
      </c>
      <c r="E114" s="93">
        <v>0.5</v>
      </c>
      <c r="F114" s="93">
        <v>1</v>
      </c>
      <c r="G114" s="93">
        <v>2</v>
      </c>
      <c r="H114" s="93">
        <v>5</v>
      </c>
      <c r="I114" s="93">
        <v>10</v>
      </c>
      <c r="J114" s="49"/>
      <c r="K114" s="86"/>
      <c r="L114" s="87" t="s">
        <v>199</v>
      </c>
      <c r="M114" s="93">
        <v>0.05</v>
      </c>
      <c r="N114" s="93">
        <v>0.1</v>
      </c>
      <c r="O114" s="93">
        <v>0.2</v>
      </c>
      <c r="P114" s="93">
        <v>0.5</v>
      </c>
      <c r="Q114" s="93">
        <v>1</v>
      </c>
      <c r="R114" s="93">
        <v>2</v>
      </c>
      <c r="S114" s="93">
        <v>5</v>
      </c>
      <c r="T114" s="93">
        <v>10</v>
      </c>
      <c r="U114" s="93">
        <v>20</v>
      </c>
      <c r="V114" s="93">
        <v>50</v>
      </c>
      <c r="W114" s="85"/>
      <c r="X114" s="85"/>
      <c r="Y114" s="49"/>
      <c r="Z114" s="94"/>
      <c r="AA114" s="95"/>
      <c r="AB114" s="85"/>
      <c r="AC114" s="85"/>
      <c r="AD114" s="85"/>
      <c r="AE114" s="85"/>
      <c r="AF114" s="85"/>
      <c r="AG114" s="49"/>
      <c r="AH114" s="92"/>
      <c r="AI114" s="49"/>
    </row>
    <row r="115" spans="1:35" ht="12.75" x14ac:dyDescent="0.2">
      <c r="A115" s="87" t="s">
        <v>200</v>
      </c>
      <c r="B115" s="49">
        <v>52</v>
      </c>
      <c r="C115" s="49">
        <v>24</v>
      </c>
      <c r="D115" s="85">
        <v>11</v>
      </c>
      <c r="E115" s="85">
        <v>25</v>
      </c>
      <c r="F115" s="85">
        <v>8</v>
      </c>
      <c r="G115" s="85">
        <v>4</v>
      </c>
      <c r="H115" s="85">
        <v>2</v>
      </c>
      <c r="I115" s="85"/>
      <c r="J115" s="85"/>
      <c r="K115" s="86"/>
      <c r="L115" s="87" t="s">
        <v>200</v>
      </c>
      <c r="M115" s="49">
        <v>48</v>
      </c>
      <c r="N115" s="49">
        <v>31</v>
      </c>
      <c r="O115" s="85">
        <v>17</v>
      </c>
      <c r="P115" s="85">
        <v>19</v>
      </c>
      <c r="Q115" s="85">
        <v>10</v>
      </c>
      <c r="R115" s="85">
        <v>4</v>
      </c>
      <c r="S115" s="85">
        <v>12</v>
      </c>
      <c r="T115" s="85">
        <v>4</v>
      </c>
      <c r="U115" s="85">
        <v>2</v>
      </c>
      <c r="V115" s="85">
        <v>3</v>
      </c>
      <c r="W115" s="85"/>
      <c r="X115" s="85"/>
      <c r="Y115" s="49"/>
      <c r="Z115" s="94"/>
      <c r="AA115" s="95"/>
      <c r="AB115" s="85"/>
      <c r="AC115" s="85"/>
      <c r="AD115" s="85"/>
      <c r="AE115" s="85"/>
      <c r="AF115" s="85"/>
      <c r="AG115" s="49"/>
      <c r="AH115" s="92"/>
      <c r="AI115" s="49"/>
    </row>
    <row r="116" spans="1:35" ht="12.75" x14ac:dyDescent="0.2">
      <c r="A116" s="87" t="s">
        <v>141</v>
      </c>
      <c r="B116" s="70">
        <f t="shared" ref="B116:I116" si="44">B115*B114</f>
        <v>2.6</v>
      </c>
      <c r="C116" s="70">
        <f t="shared" si="44"/>
        <v>2.4000000000000004</v>
      </c>
      <c r="D116" s="70">
        <f t="shared" si="44"/>
        <v>2.2000000000000002</v>
      </c>
      <c r="E116" s="70">
        <f t="shared" si="44"/>
        <v>12.5</v>
      </c>
      <c r="F116" s="70">
        <f t="shared" si="44"/>
        <v>8</v>
      </c>
      <c r="G116" s="70">
        <f t="shared" si="44"/>
        <v>8</v>
      </c>
      <c r="H116" s="70">
        <f t="shared" si="44"/>
        <v>10</v>
      </c>
      <c r="I116" s="70">
        <f t="shared" si="44"/>
        <v>0</v>
      </c>
      <c r="J116" s="70">
        <f>SUM(B116:I116)</f>
        <v>45.7</v>
      </c>
      <c r="K116" s="86"/>
      <c r="L116" s="87" t="s">
        <v>141</v>
      </c>
      <c r="M116" s="70">
        <f t="shared" ref="M116:V116" si="45">M115*M114</f>
        <v>2.4000000000000004</v>
      </c>
      <c r="N116" s="70">
        <f t="shared" si="45"/>
        <v>3.1</v>
      </c>
      <c r="O116" s="70">
        <f t="shared" si="45"/>
        <v>3.4000000000000004</v>
      </c>
      <c r="P116" s="70">
        <f t="shared" si="45"/>
        <v>9.5</v>
      </c>
      <c r="Q116" s="70">
        <f t="shared" si="45"/>
        <v>10</v>
      </c>
      <c r="R116" s="70">
        <f t="shared" si="45"/>
        <v>8</v>
      </c>
      <c r="S116" s="70">
        <f t="shared" si="45"/>
        <v>60</v>
      </c>
      <c r="T116" s="70">
        <f t="shared" si="45"/>
        <v>40</v>
      </c>
      <c r="U116" s="70">
        <f t="shared" si="45"/>
        <v>40</v>
      </c>
      <c r="V116" s="70">
        <f t="shared" si="45"/>
        <v>150</v>
      </c>
      <c r="W116" s="70">
        <f>SUM(M116:V116)</f>
        <v>326.39999999999998</v>
      </c>
      <c r="X116" s="96">
        <f>W116-J116</f>
        <v>280.7</v>
      </c>
      <c r="Y116" s="94">
        <v>116.8</v>
      </c>
      <c r="Z116" s="94">
        <v>81.8</v>
      </c>
      <c r="AA116" s="97">
        <f>X116+Z116</f>
        <v>362.5</v>
      </c>
      <c r="AB116" s="85">
        <v>70</v>
      </c>
      <c r="AC116" s="96">
        <f>Y116-AB116</f>
        <v>46.8</v>
      </c>
      <c r="AD116" s="96">
        <f>X116-Y116</f>
        <v>163.89999999999998</v>
      </c>
      <c r="AE116" s="85"/>
      <c r="AF116" s="96">
        <f>AD116-AE116</f>
        <v>163.89999999999998</v>
      </c>
      <c r="AG116" s="49"/>
      <c r="AH116" s="98">
        <f>(SUM(Y116:Z116)/(1+10/100))*(10/100)</f>
        <v>18.054545454545455</v>
      </c>
      <c r="AI116" s="49"/>
    </row>
    <row r="118" spans="1:35" ht="38.25" x14ac:dyDescent="0.2">
      <c r="A118" s="83" t="s">
        <v>135</v>
      </c>
      <c r="B118" s="84">
        <v>45776</v>
      </c>
      <c r="C118" s="85"/>
      <c r="D118" s="85"/>
      <c r="E118" s="85"/>
      <c r="F118" s="85"/>
      <c r="G118" s="85"/>
      <c r="H118" s="85"/>
      <c r="I118" s="85"/>
      <c r="J118" s="85"/>
      <c r="K118" s="86"/>
      <c r="L118" s="83" t="s">
        <v>136</v>
      </c>
      <c r="M118" s="84">
        <v>45776</v>
      </c>
      <c r="N118" s="85"/>
      <c r="O118" s="85"/>
      <c r="P118" s="85"/>
      <c r="Q118" s="85"/>
      <c r="R118" s="85"/>
      <c r="S118" s="85"/>
      <c r="T118" s="85"/>
      <c r="U118" s="85"/>
      <c r="V118" s="85"/>
      <c r="W118" s="87" t="s">
        <v>141</v>
      </c>
      <c r="X118" s="88" t="s">
        <v>192</v>
      </c>
      <c r="Y118" s="89" t="s">
        <v>142</v>
      </c>
      <c r="Z118" s="90" t="s">
        <v>193</v>
      </c>
      <c r="AA118" s="91" t="s">
        <v>194</v>
      </c>
      <c r="AB118" s="88" t="s">
        <v>165</v>
      </c>
      <c r="AC118" s="87" t="s">
        <v>195</v>
      </c>
      <c r="AD118" s="87" t="s">
        <v>196</v>
      </c>
      <c r="AE118" s="88" t="s">
        <v>197</v>
      </c>
      <c r="AF118" s="87" t="s">
        <v>198</v>
      </c>
      <c r="AG118" s="49"/>
      <c r="AH118" s="92"/>
      <c r="AI118" s="49"/>
    </row>
    <row r="119" spans="1:35" ht="12.75" x14ac:dyDescent="0.2">
      <c r="A119" s="87" t="s">
        <v>199</v>
      </c>
      <c r="B119" s="93">
        <v>0.05</v>
      </c>
      <c r="C119" s="93">
        <v>0.1</v>
      </c>
      <c r="D119" s="93">
        <v>0.2</v>
      </c>
      <c r="E119" s="93">
        <v>0.5</v>
      </c>
      <c r="F119" s="93">
        <v>1</v>
      </c>
      <c r="G119" s="93">
        <v>2</v>
      </c>
      <c r="H119" s="93">
        <v>5</v>
      </c>
      <c r="I119" s="93">
        <v>10</v>
      </c>
      <c r="J119" s="49"/>
      <c r="K119" s="86"/>
      <c r="L119" s="87" t="s">
        <v>199</v>
      </c>
      <c r="M119" s="93">
        <v>0.05</v>
      </c>
      <c r="N119" s="93">
        <v>0.1</v>
      </c>
      <c r="O119" s="93">
        <v>0.2</v>
      </c>
      <c r="P119" s="93">
        <v>0.5</v>
      </c>
      <c r="Q119" s="93">
        <v>1</v>
      </c>
      <c r="R119" s="93">
        <v>2</v>
      </c>
      <c r="S119" s="93">
        <v>5</v>
      </c>
      <c r="T119" s="93">
        <v>10</v>
      </c>
      <c r="U119" s="93">
        <v>20</v>
      </c>
      <c r="V119" s="93">
        <v>50</v>
      </c>
      <c r="W119" s="85"/>
      <c r="X119" s="85"/>
      <c r="Y119" s="49"/>
      <c r="Z119" s="94"/>
      <c r="AA119" s="95"/>
      <c r="AB119" s="85"/>
      <c r="AC119" s="85"/>
      <c r="AD119" s="85"/>
      <c r="AE119" s="85"/>
      <c r="AF119" s="85"/>
      <c r="AG119" s="49"/>
      <c r="AH119" s="92"/>
      <c r="AI119" s="49"/>
    </row>
    <row r="120" spans="1:35" ht="12.75" x14ac:dyDescent="0.2">
      <c r="A120" s="87" t="s">
        <v>200</v>
      </c>
      <c r="B120" s="49">
        <v>48</v>
      </c>
      <c r="C120" s="49">
        <v>31</v>
      </c>
      <c r="D120" s="85">
        <v>17</v>
      </c>
      <c r="E120" s="85">
        <v>10</v>
      </c>
      <c r="F120" s="85">
        <v>10</v>
      </c>
      <c r="G120" s="85">
        <v>4</v>
      </c>
      <c r="H120" s="85">
        <v>2</v>
      </c>
      <c r="I120" s="85"/>
      <c r="J120" s="85"/>
      <c r="K120" s="86"/>
      <c r="L120" s="87" t="s">
        <v>200</v>
      </c>
      <c r="M120" s="49">
        <v>49</v>
      </c>
      <c r="N120" s="49">
        <v>27</v>
      </c>
      <c r="O120" s="85">
        <v>8</v>
      </c>
      <c r="P120" s="85">
        <v>14</v>
      </c>
      <c r="Q120" s="85">
        <v>29</v>
      </c>
      <c r="R120" s="85">
        <v>15</v>
      </c>
      <c r="S120" s="85">
        <v>11</v>
      </c>
      <c r="T120" s="85">
        <v>7</v>
      </c>
      <c r="U120" s="85">
        <v>0</v>
      </c>
      <c r="V120" s="85">
        <v>2</v>
      </c>
      <c r="W120" s="85"/>
      <c r="X120" s="85"/>
      <c r="Y120" s="49"/>
      <c r="Z120" s="94"/>
      <c r="AA120" s="95"/>
      <c r="AB120" s="85"/>
      <c r="AC120" s="85"/>
      <c r="AD120" s="85"/>
      <c r="AE120" s="85"/>
      <c r="AF120" s="85"/>
      <c r="AG120" s="49"/>
      <c r="AH120" s="92"/>
      <c r="AI120" s="49"/>
    </row>
    <row r="121" spans="1:35" ht="12.75" x14ac:dyDescent="0.2">
      <c r="A121" s="87" t="s">
        <v>141</v>
      </c>
      <c r="B121" s="70">
        <f t="shared" ref="B121:I121" si="46">B120*B119</f>
        <v>2.4000000000000004</v>
      </c>
      <c r="C121" s="70">
        <f t="shared" si="46"/>
        <v>3.1</v>
      </c>
      <c r="D121" s="70">
        <f t="shared" si="46"/>
        <v>3.4000000000000004</v>
      </c>
      <c r="E121" s="70">
        <f t="shared" si="46"/>
        <v>5</v>
      </c>
      <c r="F121" s="70">
        <f t="shared" si="46"/>
        <v>10</v>
      </c>
      <c r="G121" s="70">
        <f t="shared" si="46"/>
        <v>8</v>
      </c>
      <c r="H121" s="70">
        <f t="shared" si="46"/>
        <v>10</v>
      </c>
      <c r="I121" s="70">
        <f t="shared" si="46"/>
        <v>0</v>
      </c>
      <c r="J121" s="70">
        <f>SUM(B121:I121)</f>
        <v>41.9</v>
      </c>
      <c r="K121" s="86"/>
      <c r="L121" s="87" t="s">
        <v>141</v>
      </c>
      <c r="M121" s="70">
        <f t="shared" ref="M121:V121" si="47">M120*M119</f>
        <v>2.4500000000000002</v>
      </c>
      <c r="N121" s="70">
        <f t="shared" si="47"/>
        <v>2.7</v>
      </c>
      <c r="O121" s="70">
        <f t="shared" si="47"/>
        <v>1.6</v>
      </c>
      <c r="P121" s="70">
        <f t="shared" si="47"/>
        <v>7</v>
      </c>
      <c r="Q121" s="70">
        <f t="shared" si="47"/>
        <v>29</v>
      </c>
      <c r="R121" s="70">
        <f t="shared" si="47"/>
        <v>30</v>
      </c>
      <c r="S121" s="70">
        <f t="shared" si="47"/>
        <v>55</v>
      </c>
      <c r="T121" s="70">
        <f t="shared" si="47"/>
        <v>70</v>
      </c>
      <c r="U121" s="70">
        <f t="shared" si="47"/>
        <v>0</v>
      </c>
      <c r="V121" s="70">
        <f t="shared" si="47"/>
        <v>100</v>
      </c>
      <c r="W121" s="70">
        <f>SUM(M121:V121)</f>
        <v>297.75</v>
      </c>
      <c r="X121" s="96">
        <f>W121-J121</f>
        <v>255.85</v>
      </c>
      <c r="Y121" s="94">
        <v>74.3</v>
      </c>
      <c r="Z121" s="94">
        <v>106.1</v>
      </c>
      <c r="AA121" s="97">
        <f>X121+Z121</f>
        <v>361.95</v>
      </c>
      <c r="AB121" s="85">
        <v>45</v>
      </c>
      <c r="AC121" s="96">
        <f>Y121-AB121</f>
        <v>29.299999999999997</v>
      </c>
      <c r="AD121" s="96">
        <f>X121-Y121</f>
        <v>181.55</v>
      </c>
      <c r="AE121" s="85">
        <v>20</v>
      </c>
      <c r="AF121" s="96">
        <f>AD121-AE121</f>
        <v>161.55000000000001</v>
      </c>
      <c r="AG121" s="49"/>
      <c r="AH121" s="98">
        <f>(SUM(Y121:Z121)/(1+10/100))*(10/100)</f>
        <v>16.399999999999999</v>
      </c>
      <c r="AI121" s="49"/>
    </row>
    <row r="123" spans="1:35" ht="38.25" x14ac:dyDescent="0.2">
      <c r="A123" s="83" t="s">
        <v>135</v>
      </c>
      <c r="B123" s="84">
        <v>45777</v>
      </c>
      <c r="C123" s="85"/>
      <c r="D123" s="85"/>
      <c r="E123" s="85"/>
      <c r="F123" s="85"/>
      <c r="G123" s="85"/>
      <c r="H123" s="85"/>
      <c r="I123" s="85"/>
      <c r="J123" s="85"/>
      <c r="K123" s="86"/>
      <c r="L123" s="83" t="s">
        <v>136</v>
      </c>
      <c r="M123" s="84">
        <v>45777</v>
      </c>
      <c r="N123" s="85"/>
      <c r="O123" s="85"/>
      <c r="P123" s="85"/>
      <c r="Q123" s="85"/>
      <c r="R123" s="85"/>
      <c r="S123" s="85"/>
      <c r="T123" s="85"/>
      <c r="U123" s="85"/>
      <c r="V123" s="85"/>
      <c r="W123" s="87" t="s">
        <v>141</v>
      </c>
      <c r="X123" s="88" t="s">
        <v>192</v>
      </c>
      <c r="Y123" s="89" t="s">
        <v>142</v>
      </c>
      <c r="Z123" s="90" t="s">
        <v>193</v>
      </c>
      <c r="AA123" s="91" t="s">
        <v>194</v>
      </c>
      <c r="AB123" s="88" t="s">
        <v>165</v>
      </c>
      <c r="AC123" s="87" t="s">
        <v>195</v>
      </c>
      <c r="AD123" s="87" t="s">
        <v>196</v>
      </c>
      <c r="AE123" s="88" t="s">
        <v>197</v>
      </c>
      <c r="AF123" s="87" t="s">
        <v>198</v>
      </c>
      <c r="AG123" s="49"/>
      <c r="AH123" s="92"/>
      <c r="AI123" s="49"/>
    </row>
    <row r="124" spans="1:35" ht="12.75" x14ac:dyDescent="0.2">
      <c r="A124" s="87" t="s">
        <v>199</v>
      </c>
      <c r="B124" s="93">
        <v>0.05</v>
      </c>
      <c r="C124" s="93">
        <v>0.1</v>
      </c>
      <c r="D124" s="93">
        <v>0.2</v>
      </c>
      <c r="E124" s="93">
        <v>0.5</v>
      </c>
      <c r="F124" s="93">
        <v>1</v>
      </c>
      <c r="G124" s="93">
        <v>2</v>
      </c>
      <c r="H124" s="93">
        <v>5</v>
      </c>
      <c r="I124" s="93">
        <v>10</v>
      </c>
      <c r="J124" s="49"/>
      <c r="K124" s="86"/>
      <c r="L124" s="87" t="s">
        <v>199</v>
      </c>
      <c r="M124" s="93">
        <v>0.05</v>
      </c>
      <c r="N124" s="93">
        <v>0.1</v>
      </c>
      <c r="O124" s="93">
        <v>0.2</v>
      </c>
      <c r="P124" s="93">
        <v>0.5</v>
      </c>
      <c r="Q124" s="93">
        <v>1</v>
      </c>
      <c r="R124" s="93">
        <v>2</v>
      </c>
      <c r="S124" s="93">
        <v>5</v>
      </c>
      <c r="T124" s="93">
        <v>10</v>
      </c>
      <c r="U124" s="93">
        <v>20</v>
      </c>
      <c r="V124" s="93">
        <v>50</v>
      </c>
      <c r="W124" s="85"/>
      <c r="X124" s="85"/>
      <c r="Y124" s="49"/>
      <c r="Z124" s="94"/>
      <c r="AA124" s="95"/>
      <c r="AB124" s="85"/>
      <c r="AC124" s="85"/>
      <c r="AD124" s="85"/>
      <c r="AE124" s="85"/>
      <c r="AF124" s="85"/>
      <c r="AG124" s="49"/>
      <c r="AH124" s="92"/>
      <c r="AI124" s="49"/>
    </row>
    <row r="125" spans="1:35" ht="12.75" x14ac:dyDescent="0.2">
      <c r="A125" s="87" t="s">
        <v>200</v>
      </c>
      <c r="B125" s="49">
        <v>49</v>
      </c>
      <c r="C125" s="49">
        <v>27</v>
      </c>
      <c r="D125" s="85">
        <v>8</v>
      </c>
      <c r="E125" s="85">
        <v>14</v>
      </c>
      <c r="F125" s="85">
        <v>10</v>
      </c>
      <c r="G125" s="85">
        <v>5</v>
      </c>
      <c r="H125" s="85">
        <v>2</v>
      </c>
      <c r="I125" s="85"/>
      <c r="J125" s="85"/>
      <c r="K125" s="86"/>
      <c r="L125" s="87" t="s">
        <v>200</v>
      </c>
      <c r="M125" s="49">
        <v>55</v>
      </c>
      <c r="N125" s="49">
        <v>37</v>
      </c>
      <c r="O125" s="85">
        <v>13</v>
      </c>
      <c r="P125" s="85">
        <v>11</v>
      </c>
      <c r="Q125" s="85">
        <v>19</v>
      </c>
      <c r="R125" s="85">
        <v>12</v>
      </c>
      <c r="S125" s="85">
        <v>7</v>
      </c>
      <c r="T125" s="85">
        <v>13</v>
      </c>
      <c r="U125" s="85">
        <v>5</v>
      </c>
      <c r="V125" s="85">
        <v>3</v>
      </c>
      <c r="W125" s="85"/>
      <c r="X125" s="85"/>
      <c r="Y125" s="49"/>
      <c r="Z125" s="94"/>
      <c r="AA125" s="95"/>
      <c r="AB125" s="85"/>
      <c r="AC125" s="85"/>
      <c r="AD125" s="85"/>
      <c r="AE125" s="85"/>
      <c r="AF125" s="85"/>
      <c r="AG125" s="49"/>
      <c r="AH125" s="92"/>
      <c r="AI125" s="49"/>
    </row>
    <row r="126" spans="1:35" ht="12.75" x14ac:dyDescent="0.2">
      <c r="A126" s="87" t="s">
        <v>141</v>
      </c>
      <c r="B126" s="70">
        <f t="shared" ref="B126:I126" si="48">B125*B124</f>
        <v>2.4500000000000002</v>
      </c>
      <c r="C126" s="70">
        <f t="shared" si="48"/>
        <v>2.7</v>
      </c>
      <c r="D126" s="70">
        <f t="shared" si="48"/>
        <v>1.6</v>
      </c>
      <c r="E126" s="70">
        <f t="shared" si="48"/>
        <v>7</v>
      </c>
      <c r="F126" s="70">
        <f t="shared" si="48"/>
        <v>10</v>
      </c>
      <c r="G126" s="70">
        <f t="shared" si="48"/>
        <v>10</v>
      </c>
      <c r="H126" s="70">
        <f t="shared" si="48"/>
        <v>10</v>
      </c>
      <c r="I126" s="70">
        <f t="shared" si="48"/>
        <v>0</v>
      </c>
      <c r="J126" s="70">
        <f>SUM(B126:I126)</f>
        <v>43.75</v>
      </c>
      <c r="K126" s="86"/>
      <c r="L126" s="87" t="s">
        <v>141</v>
      </c>
      <c r="M126" s="70">
        <f t="shared" ref="M126:V126" si="49">M125*M124</f>
        <v>2.75</v>
      </c>
      <c r="N126" s="70">
        <f t="shared" si="49"/>
        <v>3.7</v>
      </c>
      <c r="O126" s="70">
        <f t="shared" si="49"/>
        <v>2.6</v>
      </c>
      <c r="P126" s="70">
        <f t="shared" si="49"/>
        <v>5.5</v>
      </c>
      <c r="Q126" s="70">
        <f t="shared" si="49"/>
        <v>19</v>
      </c>
      <c r="R126" s="70">
        <f t="shared" si="49"/>
        <v>24</v>
      </c>
      <c r="S126" s="70">
        <f t="shared" si="49"/>
        <v>35</v>
      </c>
      <c r="T126" s="70">
        <f t="shared" si="49"/>
        <v>130</v>
      </c>
      <c r="U126" s="70">
        <f t="shared" si="49"/>
        <v>100</v>
      </c>
      <c r="V126" s="70">
        <f t="shared" si="49"/>
        <v>150</v>
      </c>
      <c r="W126" s="70">
        <f>SUM(M126:V126)</f>
        <v>472.55</v>
      </c>
      <c r="X126" s="96">
        <f>W126-J126</f>
        <v>428.8</v>
      </c>
      <c r="Y126" s="94">
        <v>128.30000000000001</v>
      </c>
      <c r="Z126" s="94">
        <v>54.5</v>
      </c>
      <c r="AA126" s="97">
        <f>X126+Z126</f>
        <v>483.3</v>
      </c>
      <c r="AB126" s="85">
        <v>70</v>
      </c>
      <c r="AC126" s="96">
        <f>Y126-AB126</f>
        <v>58.300000000000011</v>
      </c>
      <c r="AD126" s="96">
        <f>X126-Y126</f>
        <v>300.5</v>
      </c>
      <c r="AE126" s="85">
        <v>50</v>
      </c>
      <c r="AF126" s="96">
        <f>AD126-AE126</f>
        <v>250.5</v>
      </c>
      <c r="AG126" s="49"/>
      <c r="AH126" s="98">
        <f>(SUM(Y126:Z126)/(1+10/100))*(10/100)</f>
        <v>16.618181818181821</v>
      </c>
      <c r="AI126" s="49"/>
    </row>
    <row r="128" spans="1:35" ht="38.25" x14ac:dyDescent="0.2">
      <c r="A128" s="83" t="s">
        <v>135</v>
      </c>
      <c r="B128" s="84">
        <v>45779</v>
      </c>
      <c r="C128" s="85"/>
      <c r="D128" s="85"/>
      <c r="E128" s="85"/>
      <c r="F128" s="85"/>
      <c r="G128" s="85"/>
      <c r="H128" s="85"/>
      <c r="I128" s="85"/>
      <c r="J128" s="85"/>
      <c r="K128" s="86"/>
      <c r="L128" s="83" t="s">
        <v>136</v>
      </c>
      <c r="M128" s="84"/>
      <c r="N128" s="85"/>
      <c r="O128" s="85"/>
      <c r="P128" s="85"/>
      <c r="Q128" s="85"/>
      <c r="R128" s="85"/>
      <c r="S128" s="85"/>
      <c r="T128" s="85"/>
      <c r="U128" s="85"/>
      <c r="V128" s="85"/>
      <c r="W128" s="87" t="s">
        <v>141</v>
      </c>
      <c r="X128" s="88" t="s">
        <v>192</v>
      </c>
      <c r="Y128" s="89" t="s">
        <v>142</v>
      </c>
      <c r="Z128" s="90" t="s">
        <v>193</v>
      </c>
      <c r="AA128" s="91" t="s">
        <v>194</v>
      </c>
      <c r="AB128" s="88" t="s">
        <v>165</v>
      </c>
      <c r="AC128" s="87" t="s">
        <v>195</v>
      </c>
      <c r="AD128" s="87" t="s">
        <v>196</v>
      </c>
      <c r="AE128" s="88" t="s">
        <v>197</v>
      </c>
      <c r="AF128" s="87" t="s">
        <v>198</v>
      </c>
      <c r="AG128" s="49"/>
      <c r="AH128" s="92"/>
      <c r="AI128" s="49"/>
    </row>
    <row r="129" spans="1:35" ht="12.75" x14ac:dyDescent="0.2">
      <c r="A129" s="87" t="s">
        <v>199</v>
      </c>
      <c r="B129" s="93">
        <v>0.05</v>
      </c>
      <c r="C129" s="93">
        <v>0.1</v>
      </c>
      <c r="D129" s="93">
        <v>0.2</v>
      </c>
      <c r="E129" s="93">
        <v>0.5</v>
      </c>
      <c r="F129" s="93">
        <v>1</v>
      </c>
      <c r="G129" s="93">
        <v>2</v>
      </c>
      <c r="H129" s="93">
        <v>5</v>
      </c>
      <c r="I129" s="93">
        <v>10</v>
      </c>
      <c r="J129" s="49"/>
      <c r="K129" s="86"/>
      <c r="L129" s="87" t="s">
        <v>199</v>
      </c>
      <c r="M129" s="93">
        <v>0.05</v>
      </c>
      <c r="N129" s="93">
        <v>0.1</v>
      </c>
      <c r="O129" s="93">
        <v>0.2</v>
      </c>
      <c r="P129" s="93">
        <v>0.5</v>
      </c>
      <c r="Q129" s="93">
        <v>1</v>
      </c>
      <c r="R129" s="93">
        <v>2</v>
      </c>
      <c r="S129" s="93">
        <v>5</v>
      </c>
      <c r="T129" s="93">
        <v>10</v>
      </c>
      <c r="U129" s="93">
        <v>20</v>
      </c>
      <c r="V129" s="93">
        <v>50</v>
      </c>
      <c r="W129" s="85"/>
      <c r="X129" s="85"/>
      <c r="Y129" s="49"/>
      <c r="Z129" s="94"/>
      <c r="AA129" s="95"/>
      <c r="AB129" s="85"/>
      <c r="AC129" s="85"/>
      <c r="AD129" s="85"/>
      <c r="AE129" s="85"/>
      <c r="AF129" s="85"/>
      <c r="AG129" s="49"/>
      <c r="AH129" s="92"/>
      <c r="AI129" s="49"/>
    </row>
    <row r="130" spans="1:35" ht="12.75" x14ac:dyDescent="0.2">
      <c r="A130" s="87"/>
      <c r="B130" s="49"/>
      <c r="C130" s="49"/>
      <c r="D130" s="85"/>
      <c r="E130" s="85"/>
      <c r="F130" s="85"/>
      <c r="G130" s="85"/>
      <c r="H130" s="85"/>
      <c r="I130" s="85"/>
      <c r="J130" s="85"/>
      <c r="K130" s="86"/>
      <c r="L130" s="87"/>
      <c r="M130" s="49"/>
      <c r="N130" s="49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49"/>
      <c r="Z130" s="94"/>
      <c r="AA130" s="95"/>
      <c r="AB130" s="85"/>
      <c r="AC130" s="85"/>
      <c r="AD130" s="85"/>
      <c r="AE130" s="85"/>
      <c r="AF130" s="85"/>
      <c r="AG130" s="49"/>
      <c r="AH130" s="92"/>
      <c r="AI130" s="49"/>
    </row>
    <row r="131" spans="1:35" ht="12.75" x14ac:dyDescent="0.2">
      <c r="A131" s="87" t="s">
        <v>141</v>
      </c>
      <c r="B131" s="70">
        <f t="shared" ref="B131:I131" si="50">B130*B129</f>
        <v>0</v>
      </c>
      <c r="C131" s="70">
        <f t="shared" si="50"/>
        <v>0</v>
      </c>
      <c r="D131" s="70">
        <f t="shared" si="50"/>
        <v>0</v>
      </c>
      <c r="E131" s="70">
        <f t="shared" si="50"/>
        <v>0</v>
      </c>
      <c r="F131" s="70">
        <f t="shared" si="50"/>
        <v>0</v>
      </c>
      <c r="G131" s="70">
        <f t="shared" si="50"/>
        <v>0</v>
      </c>
      <c r="H131" s="70">
        <f t="shared" si="50"/>
        <v>0</v>
      </c>
      <c r="I131" s="70">
        <f t="shared" si="50"/>
        <v>0</v>
      </c>
      <c r="J131" s="70">
        <f>SUM(B131:I131)</f>
        <v>0</v>
      </c>
      <c r="K131" s="86"/>
      <c r="L131" s="87" t="s">
        <v>141</v>
      </c>
      <c r="M131" s="70">
        <f t="shared" ref="M131:V131" si="51">M130*M129</f>
        <v>0</v>
      </c>
      <c r="N131" s="70">
        <f t="shared" si="51"/>
        <v>0</v>
      </c>
      <c r="O131" s="70">
        <f t="shared" si="51"/>
        <v>0</v>
      </c>
      <c r="P131" s="70">
        <f t="shared" si="51"/>
        <v>0</v>
      </c>
      <c r="Q131" s="70">
        <f t="shared" si="51"/>
        <v>0</v>
      </c>
      <c r="R131" s="70">
        <f t="shared" si="51"/>
        <v>0</v>
      </c>
      <c r="S131" s="70">
        <f t="shared" si="51"/>
        <v>0</v>
      </c>
      <c r="T131" s="70">
        <f t="shared" si="51"/>
        <v>0</v>
      </c>
      <c r="U131" s="70">
        <f t="shared" si="51"/>
        <v>0</v>
      </c>
      <c r="V131" s="70">
        <f t="shared" si="51"/>
        <v>0</v>
      </c>
      <c r="W131" s="70">
        <f>SUM(M131:V131)</f>
        <v>0</v>
      </c>
      <c r="X131" s="96">
        <f>W131-J131</f>
        <v>0</v>
      </c>
      <c r="Y131" s="94"/>
      <c r="Z131" s="94"/>
      <c r="AA131" s="97"/>
      <c r="AB131" s="85"/>
      <c r="AC131" s="96">
        <f>Y131-AB131</f>
        <v>0</v>
      </c>
      <c r="AD131" s="96">
        <f>X131-Y131</f>
        <v>0</v>
      </c>
      <c r="AE131" s="85"/>
      <c r="AF131" s="96">
        <f>AD131-AE131</f>
        <v>0</v>
      </c>
      <c r="AG131" s="49"/>
      <c r="AH131" s="98">
        <f>(SUM(Y131:Z131)/(1+10/100))*(10/100)</f>
        <v>0</v>
      </c>
      <c r="AI131" s="49"/>
    </row>
    <row r="134" spans="1:35" ht="38.25" x14ac:dyDescent="0.2">
      <c r="Y134" s="89" t="s">
        <v>142</v>
      </c>
      <c r="Z134" s="90" t="s">
        <v>193</v>
      </c>
      <c r="AA134" s="91" t="s">
        <v>194</v>
      </c>
      <c r="AB134" s="88" t="s">
        <v>165</v>
      </c>
      <c r="AC134" s="87" t="s">
        <v>195</v>
      </c>
      <c r="AD134" s="87" t="s">
        <v>196</v>
      </c>
      <c r="AE134" s="88" t="s">
        <v>197</v>
      </c>
      <c r="AF134" s="87" t="s">
        <v>198</v>
      </c>
    </row>
    <row r="135" spans="1:35" ht="12.75" x14ac:dyDescent="0.2">
      <c r="AB135" s="99"/>
      <c r="AC135" s="100"/>
      <c r="AE135" s="99"/>
      <c r="AF135" s="100"/>
    </row>
    <row r="136" spans="1:35" ht="15.75" customHeight="1" x14ac:dyDescent="0.25">
      <c r="X136" s="68" t="s">
        <v>208</v>
      </c>
      <c r="Y136" s="69">
        <f t="shared" ref="Y136:AF136" si="52">SUM(Y1:Y126)</f>
        <v>2946.3</v>
      </c>
      <c r="Z136" s="69">
        <f t="shared" si="52"/>
        <v>1747.7999999999997</v>
      </c>
      <c r="AA136" s="69">
        <f t="shared" si="52"/>
        <v>9360.1</v>
      </c>
      <c r="AB136" s="101">
        <f t="shared" si="52"/>
        <v>1705.9</v>
      </c>
      <c r="AC136" s="102">
        <f t="shared" si="52"/>
        <v>1150.0999999999999</v>
      </c>
      <c r="AD136" s="69">
        <f t="shared" si="52"/>
        <v>4666.0000000000009</v>
      </c>
      <c r="AE136" s="101">
        <f t="shared" si="52"/>
        <v>729.25</v>
      </c>
      <c r="AF136" s="102">
        <f t="shared" si="52"/>
        <v>3936.75</v>
      </c>
    </row>
    <row r="137" spans="1:35" ht="12.75" x14ac:dyDescent="0.2">
      <c r="AB137" s="99"/>
      <c r="AC137" s="100"/>
      <c r="AE137" s="99"/>
      <c r="AF137" s="100"/>
    </row>
    <row r="138" spans="1:35" ht="51" x14ac:dyDescent="0.2">
      <c r="AB138" s="99" t="s">
        <v>267</v>
      </c>
      <c r="AC138" s="100">
        <v>-551</v>
      </c>
      <c r="AE138" s="103" t="s">
        <v>268</v>
      </c>
      <c r="AF138" s="100">
        <v>-40</v>
      </c>
    </row>
    <row r="139" spans="1:35" ht="12.75" x14ac:dyDescent="0.2">
      <c r="AB139" s="99" t="s">
        <v>217</v>
      </c>
      <c r="AC139" s="100">
        <v>-359</v>
      </c>
      <c r="AE139" s="99" t="s">
        <v>261</v>
      </c>
      <c r="AF139" s="100">
        <v>-1050</v>
      </c>
      <c r="AG139" s="38" t="s">
        <v>269</v>
      </c>
    </row>
    <row r="140" spans="1:35" ht="12.75" x14ac:dyDescent="0.2">
      <c r="AB140" s="99"/>
      <c r="AC140" s="100"/>
      <c r="AE140" s="99" t="s">
        <v>261</v>
      </c>
      <c r="AF140" s="100">
        <v>-1050</v>
      </c>
      <c r="AG140" s="38">
        <v>-200</v>
      </c>
    </row>
    <row r="141" spans="1:35" ht="12.75" x14ac:dyDescent="0.2">
      <c r="AB141" s="99"/>
      <c r="AC141" s="100"/>
      <c r="AE141" s="99" t="s">
        <v>262</v>
      </c>
      <c r="AF141" s="100">
        <v>-700</v>
      </c>
    </row>
    <row r="142" spans="1:35" ht="12.75" x14ac:dyDescent="0.2">
      <c r="AB142" s="99"/>
      <c r="AC142" s="100"/>
      <c r="AE142" s="99" t="s">
        <v>264</v>
      </c>
      <c r="AF142" s="100">
        <v>-250</v>
      </c>
    </row>
    <row r="143" spans="1:35" ht="25.5" x14ac:dyDescent="0.2">
      <c r="AB143" s="99"/>
      <c r="AC143" s="100"/>
      <c r="AE143" s="103" t="s">
        <v>263</v>
      </c>
      <c r="AF143" s="100"/>
    </row>
    <row r="144" spans="1:35" ht="12.75" x14ac:dyDescent="0.2">
      <c r="AB144" s="99"/>
      <c r="AC144" s="100"/>
      <c r="AE144" s="38" t="s">
        <v>270</v>
      </c>
      <c r="AG144" s="100">
        <v>-143</v>
      </c>
    </row>
    <row r="145" spans="20:32" ht="38.25" x14ac:dyDescent="0.2">
      <c r="T145" s="38" t="s">
        <v>271</v>
      </c>
      <c r="W145" s="73" t="s">
        <v>272</v>
      </c>
      <c r="X145" s="73" t="s">
        <v>273</v>
      </c>
      <c r="Y145" s="73" t="s">
        <v>274</v>
      </c>
      <c r="Z145" s="61" t="s">
        <v>275</v>
      </c>
      <c r="AB145" s="99"/>
      <c r="AC145" s="100"/>
      <c r="AE145" s="99" t="s">
        <v>229</v>
      </c>
      <c r="AF145" s="38">
        <v>-500</v>
      </c>
    </row>
    <row r="146" spans="20:32" ht="51" x14ac:dyDescent="0.2">
      <c r="T146" s="38" t="s">
        <v>276</v>
      </c>
      <c r="V146" s="71" t="s">
        <v>277</v>
      </c>
      <c r="W146" s="38">
        <v>123.35</v>
      </c>
      <c r="X146" s="41">
        <f>W146/6</f>
        <v>20.558333333333334</v>
      </c>
      <c r="Y146" s="41">
        <f>X146*4</f>
        <v>82.233333333333334</v>
      </c>
      <c r="Z146" s="38" t="s">
        <v>278</v>
      </c>
      <c r="AB146" s="104" t="s">
        <v>198</v>
      </c>
      <c r="AC146" s="105">
        <f>SUM(AC136:AC145)</f>
        <v>240.09999999999991</v>
      </c>
      <c r="AE146" s="104" t="s">
        <v>198</v>
      </c>
      <c r="AF146" s="105">
        <f>SUM(AF136:AF145)</f>
        <v>346.75</v>
      </c>
    </row>
    <row r="147" spans="20:32" ht="51" x14ac:dyDescent="0.2">
      <c r="T147" s="38" t="s">
        <v>279</v>
      </c>
      <c r="V147" s="71" t="s">
        <v>280</v>
      </c>
      <c r="W147" s="38">
        <v>143.1</v>
      </c>
      <c r="Y147" s="41"/>
      <c r="Z147" s="38" t="s">
        <v>281</v>
      </c>
      <c r="AE147" s="61"/>
      <c r="AF147" s="61"/>
    </row>
    <row r="148" spans="20:32" ht="12.75" x14ac:dyDescent="0.2">
      <c r="AB148" s="61" t="s">
        <v>282</v>
      </c>
      <c r="AC148" s="61" t="s">
        <v>221</v>
      </c>
      <c r="AD148" s="61" t="s">
        <v>211</v>
      </c>
      <c r="AE148" s="38" t="s">
        <v>283</v>
      </c>
      <c r="AF148" s="38">
        <v>-250</v>
      </c>
    </row>
    <row r="149" spans="20:32" ht="12.75" x14ac:dyDescent="0.2">
      <c r="T149" s="38" t="s">
        <v>284</v>
      </c>
      <c r="W149" s="38">
        <v>219.58</v>
      </c>
      <c r="Z149" s="38" t="s">
        <v>281</v>
      </c>
      <c r="AB149" s="38" t="s">
        <v>285</v>
      </c>
      <c r="AC149" s="38">
        <v>600</v>
      </c>
      <c r="AD149" s="38">
        <v>400</v>
      </c>
    </row>
    <row r="150" spans="20:32" ht="12.75" x14ac:dyDescent="0.2">
      <c r="AB150" s="38" t="s">
        <v>286</v>
      </c>
      <c r="AC150" s="38">
        <v>100</v>
      </c>
      <c r="AD150" s="38">
        <v>100</v>
      </c>
    </row>
    <row r="151" spans="20:32" ht="12.75" x14ac:dyDescent="0.2">
      <c r="AB151" s="38" t="s">
        <v>287</v>
      </c>
      <c r="AC151" s="38">
        <v>350</v>
      </c>
      <c r="AD151" s="38">
        <v>350</v>
      </c>
    </row>
    <row r="153" spans="20:32" ht="12.75" x14ac:dyDescent="0.2">
      <c r="AB153" s="61" t="s">
        <v>141</v>
      </c>
      <c r="AC153" s="38">
        <f t="shared" ref="AC153:AD153" si="53">SUM(AC149:AC151)</f>
        <v>1050</v>
      </c>
      <c r="AD153" s="38">
        <f t="shared" si="53"/>
        <v>850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2:AI154"/>
  <sheetViews>
    <sheetView workbookViewId="0"/>
  </sheetViews>
  <sheetFormatPr defaultColWidth="12.5703125" defaultRowHeight="15.75" customHeight="1" x14ac:dyDescent="0.2"/>
  <cols>
    <col min="2" max="2" width="9.42578125" customWidth="1"/>
    <col min="3" max="3" width="5.42578125" customWidth="1"/>
    <col min="4" max="4" width="6.42578125" customWidth="1"/>
    <col min="5" max="5" width="6.140625" customWidth="1"/>
    <col min="6" max="6" width="5.42578125" customWidth="1"/>
    <col min="7" max="7" width="5.5703125" customWidth="1"/>
    <col min="8" max="8" width="5.7109375" customWidth="1"/>
    <col min="9" max="9" width="5.28515625" customWidth="1"/>
    <col min="10" max="10" width="7.42578125" customWidth="1"/>
    <col min="11" max="11" width="3.140625" customWidth="1"/>
    <col min="12" max="12" width="8.28515625" customWidth="1"/>
    <col min="13" max="13" width="9.42578125" customWidth="1"/>
    <col min="14" max="14" width="6.42578125" customWidth="1"/>
    <col min="15" max="15" width="5.42578125" customWidth="1"/>
    <col min="16" max="16" width="5.85546875" customWidth="1"/>
    <col min="17" max="17" width="5.42578125" customWidth="1"/>
    <col min="18" max="18" width="5.5703125" customWidth="1"/>
    <col min="19" max="19" width="4.85546875" customWidth="1"/>
    <col min="20" max="20" width="6.28515625" customWidth="1"/>
    <col min="21" max="22" width="6.42578125" customWidth="1"/>
    <col min="23" max="23" width="7.85546875" customWidth="1"/>
    <col min="24" max="25" width="8.140625" customWidth="1"/>
    <col min="26" max="26" width="6.140625" customWidth="1"/>
    <col min="27" max="27" width="7.42578125" customWidth="1"/>
    <col min="28" max="28" width="11" customWidth="1"/>
    <col min="29" max="29" width="7.28515625" customWidth="1"/>
    <col min="30" max="30" width="7" customWidth="1"/>
    <col min="31" max="32" width="7.7109375" customWidth="1"/>
    <col min="34" max="34" width="7" customWidth="1"/>
  </cols>
  <sheetData>
    <row r="2" spans="1:35" ht="51" x14ac:dyDescent="0.2">
      <c r="A2" s="83" t="s">
        <v>135</v>
      </c>
      <c r="B2" s="84">
        <v>45779</v>
      </c>
      <c r="C2" s="85"/>
      <c r="D2" s="85"/>
      <c r="E2" s="85"/>
      <c r="F2" s="85"/>
      <c r="G2" s="85"/>
      <c r="H2" s="85"/>
      <c r="I2" s="85"/>
      <c r="J2" s="85"/>
      <c r="K2" s="86"/>
      <c r="L2" s="83" t="s">
        <v>136</v>
      </c>
      <c r="M2" s="84">
        <v>45779</v>
      </c>
      <c r="N2" s="85"/>
      <c r="O2" s="85"/>
      <c r="P2" s="85"/>
      <c r="Q2" s="85"/>
      <c r="R2" s="85"/>
      <c r="S2" s="85"/>
      <c r="T2" s="85"/>
      <c r="U2" s="85"/>
      <c r="V2" s="85"/>
      <c r="W2" s="87" t="s">
        <v>141</v>
      </c>
      <c r="X2" s="88" t="s">
        <v>192</v>
      </c>
      <c r="Y2" s="89" t="s">
        <v>142</v>
      </c>
      <c r="Z2" s="90" t="s">
        <v>193</v>
      </c>
      <c r="AA2" s="91" t="s">
        <v>194</v>
      </c>
      <c r="AB2" s="88" t="s">
        <v>288</v>
      </c>
      <c r="AC2" s="87" t="s">
        <v>195</v>
      </c>
      <c r="AD2" s="87" t="s">
        <v>196</v>
      </c>
      <c r="AE2" s="88" t="s">
        <v>197</v>
      </c>
      <c r="AF2" s="87" t="s">
        <v>198</v>
      </c>
      <c r="AG2" s="49"/>
      <c r="AH2" s="92"/>
      <c r="AI2" s="49"/>
    </row>
    <row r="3" spans="1:35" ht="12.75" x14ac:dyDescent="0.2">
      <c r="A3" s="87" t="s">
        <v>199</v>
      </c>
      <c r="B3" s="93">
        <v>0.05</v>
      </c>
      <c r="C3" s="93">
        <v>0.1</v>
      </c>
      <c r="D3" s="93">
        <v>0.2</v>
      </c>
      <c r="E3" s="93">
        <v>0.5</v>
      </c>
      <c r="F3" s="93">
        <v>1</v>
      </c>
      <c r="G3" s="93">
        <v>2</v>
      </c>
      <c r="H3" s="93">
        <v>5</v>
      </c>
      <c r="I3" s="93">
        <v>10</v>
      </c>
      <c r="J3" s="49"/>
      <c r="K3" s="86"/>
      <c r="L3" s="87" t="s">
        <v>199</v>
      </c>
      <c r="M3" s="93">
        <v>0.05</v>
      </c>
      <c r="N3" s="93">
        <v>0.1</v>
      </c>
      <c r="O3" s="93">
        <v>0.2</v>
      </c>
      <c r="P3" s="93">
        <v>0.5</v>
      </c>
      <c r="Q3" s="93">
        <v>1</v>
      </c>
      <c r="R3" s="93">
        <v>2</v>
      </c>
      <c r="S3" s="93">
        <v>5</v>
      </c>
      <c r="T3" s="93">
        <v>10</v>
      </c>
      <c r="U3" s="93">
        <v>20</v>
      </c>
      <c r="V3" s="93">
        <v>50</v>
      </c>
      <c r="W3" s="85"/>
      <c r="X3" s="85"/>
      <c r="Y3" s="49"/>
      <c r="Z3" s="94"/>
      <c r="AA3" s="95"/>
      <c r="AB3" s="85"/>
      <c r="AC3" s="85"/>
      <c r="AD3" s="85"/>
      <c r="AE3" s="85"/>
      <c r="AF3" s="85"/>
      <c r="AG3" s="49"/>
      <c r="AH3" s="92"/>
      <c r="AI3" s="49"/>
    </row>
    <row r="4" spans="1:35" ht="12.75" x14ac:dyDescent="0.2">
      <c r="A4" s="87" t="s">
        <v>200</v>
      </c>
      <c r="B4" s="49">
        <v>55</v>
      </c>
      <c r="C4" s="49">
        <v>37</v>
      </c>
      <c r="D4" s="85">
        <v>13</v>
      </c>
      <c r="E4" s="85">
        <v>11</v>
      </c>
      <c r="F4" s="85">
        <v>10</v>
      </c>
      <c r="G4" s="85">
        <v>4</v>
      </c>
      <c r="H4" s="85">
        <v>2</v>
      </c>
      <c r="I4" s="85"/>
      <c r="J4" s="85"/>
      <c r="K4" s="86"/>
      <c r="L4" s="87" t="s">
        <v>200</v>
      </c>
      <c r="M4" s="49">
        <v>57</v>
      </c>
      <c r="N4" s="49">
        <v>40</v>
      </c>
      <c r="O4" s="85">
        <v>17</v>
      </c>
      <c r="P4" s="85">
        <v>12</v>
      </c>
      <c r="Q4" s="85">
        <v>24</v>
      </c>
      <c r="R4" s="85">
        <v>20</v>
      </c>
      <c r="S4" s="85">
        <v>11</v>
      </c>
      <c r="T4" s="85">
        <v>5</v>
      </c>
      <c r="U4" s="85">
        <v>5</v>
      </c>
      <c r="V4" s="85">
        <v>1</v>
      </c>
      <c r="W4" s="85"/>
      <c r="X4" s="85"/>
      <c r="Y4" s="49"/>
      <c r="Z4" s="94"/>
      <c r="AA4" s="95"/>
      <c r="AB4" s="85"/>
      <c r="AC4" s="85"/>
      <c r="AD4" s="85"/>
      <c r="AE4" s="85"/>
      <c r="AF4" s="85"/>
      <c r="AG4" s="49"/>
      <c r="AH4" s="92"/>
      <c r="AI4" s="49"/>
    </row>
    <row r="5" spans="1:35" ht="12.75" x14ac:dyDescent="0.2">
      <c r="A5" s="87" t="s">
        <v>141</v>
      </c>
      <c r="B5" s="70">
        <f t="shared" ref="B5:I5" si="0">B4*B3</f>
        <v>2.75</v>
      </c>
      <c r="C5" s="70">
        <f t="shared" si="0"/>
        <v>3.7</v>
      </c>
      <c r="D5" s="70">
        <f t="shared" si="0"/>
        <v>2.6</v>
      </c>
      <c r="E5" s="70">
        <f t="shared" si="0"/>
        <v>5.5</v>
      </c>
      <c r="F5" s="70">
        <f t="shared" si="0"/>
        <v>10</v>
      </c>
      <c r="G5" s="70">
        <f t="shared" si="0"/>
        <v>8</v>
      </c>
      <c r="H5" s="70">
        <f t="shared" si="0"/>
        <v>10</v>
      </c>
      <c r="I5" s="70">
        <f t="shared" si="0"/>
        <v>0</v>
      </c>
      <c r="J5" s="70">
        <f>SUM(B5:I5)</f>
        <v>42.55</v>
      </c>
      <c r="K5" s="86"/>
      <c r="L5" s="87" t="s">
        <v>141</v>
      </c>
      <c r="M5" s="70">
        <f t="shared" ref="M5:V5" si="1">M4*M3</f>
        <v>2.85</v>
      </c>
      <c r="N5" s="70">
        <f t="shared" si="1"/>
        <v>4</v>
      </c>
      <c r="O5" s="70">
        <f t="shared" si="1"/>
        <v>3.4000000000000004</v>
      </c>
      <c r="P5" s="70">
        <f t="shared" si="1"/>
        <v>6</v>
      </c>
      <c r="Q5" s="70">
        <f t="shared" si="1"/>
        <v>24</v>
      </c>
      <c r="R5" s="70">
        <f t="shared" si="1"/>
        <v>40</v>
      </c>
      <c r="S5" s="70">
        <f t="shared" si="1"/>
        <v>55</v>
      </c>
      <c r="T5" s="70">
        <f t="shared" si="1"/>
        <v>50</v>
      </c>
      <c r="U5" s="70">
        <f t="shared" si="1"/>
        <v>100</v>
      </c>
      <c r="V5" s="70">
        <f t="shared" si="1"/>
        <v>50</v>
      </c>
      <c r="W5" s="70">
        <f>SUM(M5:V5)</f>
        <v>335.25</v>
      </c>
      <c r="X5" s="96">
        <f>W5-J5</f>
        <v>292.7</v>
      </c>
      <c r="Y5" s="94">
        <v>152.6</v>
      </c>
      <c r="Z5" s="94">
        <v>77.3</v>
      </c>
      <c r="AA5" s="97">
        <f>X5+Z5</f>
        <v>370</v>
      </c>
      <c r="AB5" s="85">
        <v>92</v>
      </c>
      <c r="AC5" s="96">
        <f>Y5-AB5</f>
        <v>60.599999999999994</v>
      </c>
      <c r="AD5" s="96">
        <f>X5-Y5</f>
        <v>140.1</v>
      </c>
      <c r="AE5" s="85">
        <v>20</v>
      </c>
      <c r="AF5" s="96">
        <f>AD5-AE5</f>
        <v>120.1</v>
      </c>
      <c r="AG5" s="49"/>
      <c r="AH5" s="98">
        <f>(SUM(Y5:Z5)/(1+10/100))*(10/100)</f>
        <v>20.9</v>
      </c>
      <c r="AI5" s="49"/>
    </row>
    <row r="7" spans="1:35" ht="51" x14ac:dyDescent="0.2">
      <c r="A7" s="83" t="s">
        <v>135</v>
      </c>
      <c r="B7" s="84">
        <v>45780</v>
      </c>
      <c r="C7" s="85"/>
      <c r="D7" s="85"/>
      <c r="E7" s="85"/>
      <c r="F7" s="85"/>
      <c r="G7" s="85"/>
      <c r="H7" s="85"/>
      <c r="I7" s="85"/>
      <c r="J7" s="85"/>
      <c r="K7" s="86"/>
      <c r="L7" s="83" t="s">
        <v>136</v>
      </c>
      <c r="M7" s="84">
        <v>45780</v>
      </c>
      <c r="N7" s="85"/>
      <c r="O7" s="85"/>
      <c r="P7" s="85"/>
      <c r="Q7" s="85"/>
      <c r="R7" s="85"/>
      <c r="S7" s="85"/>
      <c r="T7" s="85"/>
      <c r="U7" s="85"/>
      <c r="V7" s="85"/>
      <c r="W7" s="87" t="s">
        <v>141</v>
      </c>
      <c r="X7" s="88" t="s">
        <v>192</v>
      </c>
      <c r="Y7" s="89" t="s">
        <v>142</v>
      </c>
      <c r="Z7" s="90" t="s">
        <v>193</v>
      </c>
      <c r="AA7" s="91" t="s">
        <v>194</v>
      </c>
      <c r="AB7" s="88" t="s">
        <v>288</v>
      </c>
      <c r="AC7" s="87" t="s">
        <v>195</v>
      </c>
      <c r="AD7" s="87" t="s">
        <v>196</v>
      </c>
      <c r="AE7" s="88" t="s">
        <v>197</v>
      </c>
      <c r="AF7" s="87" t="s">
        <v>198</v>
      </c>
      <c r="AG7" s="49"/>
      <c r="AH7" s="92"/>
      <c r="AI7" s="49"/>
    </row>
    <row r="8" spans="1:35" ht="12.75" x14ac:dyDescent="0.2">
      <c r="A8" s="87" t="s">
        <v>199</v>
      </c>
      <c r="B8" s="93">
        <v>0.05</v>
      </c>
      <c r="C8" s="93">
        <v>0.1</v>
      </c>
      <c r="D8" s="93">
        <v>0.2</v>
      </c>
      <c r="E8" s="93">
        <v>0.5</v>
      </c>
      <c r="F8" s="93">
        <v>1</v>
      </c>
      <c r="G8" s="93">
        <v>2</v>
      </c>
      <c r="H8" s="93">
        <v>5</v>
      </c>
      <c r="I8" s="93">
        <v>10</v>
      </c>
      <c r="J8" s="49"/>
      <c r="K8" s="86"/>
      <c r="L8" s="87" t="s">
        <v>199</v>
      </c>
      <c r="M8" s="93">
        <v>0.05</v>
      </c>
      <c r="N8" s="93">
        <v>0.1</v>
      </c>
      <c r="O8" s="93">
        <v>0.2</v>
      </c>
      <c r="P8" s="93">
        <v>0.5</v>
      </c>
      <c r="Q8" s="93">
        <v>1</v>
      </c>
      <c r="R8" s="93">
        <v>2</v>
      </c>
      <c r="S8" s="93">
        <v>5</v>
      </c>
      <c r="T8" s="93">
        <v>10</v>
      </c>
      <c r="U8" s="93">
        <v>20</v>
      </c>
      <c r="V8" s="93">
        <v>50</v>
      </c>
      <c r="W8" s="85"/>
      <c r="X8" s="85"/>
      <c r="Y8" s="49"/>
      <c r="Z8" s="94"/>
      <c r="AA8" s="95"/>
      <c r="AB8" s="85"/>
      <c r="AC8" s="85"/>
      <c r="AD8" s="85"/>
      <c r="AE8" s="85"/>
      <c r="AF8" s="85"/>
      <c r="AG8" s="49"/>
      <c r="AH8" s="92"/>
      <c r="AI8" s="49"/>
    </row>
    <row r="9" spans="1:35" ht="12.75" x14ac:dyDescent="0.2">
      <c r="A9" s="87" t="s">
        <v>200</v>
      </c>
      <c r="B9" s="49">
        <v>57</v>
      </c>
      <c r="C9" s="49">
        <v>40</v>
      </c>
      <c r="D9" s="85">
        <v>17</v>
      </c>
      <c r="E9" s="85">
        <v>12</v>
      </c>
      <c r="F9" s="85">
        <v>10</v>
      </c>
      <c r="G9" s="85">
        <v>5</v>
      </c>
      <c r="H9" s="85">
        <v>2</v>
      </c>
      <c r="I9" s="85"/>
      <c r="J9" s="85"/>
      <c r="K9" s="86"/>
      <c r="L9" s="87" t="s">
        <v>200</v>
      </c>
      <c r="M9" s="38">
        <v>52</v>
      </c>
      <c r="N9" s="38">
        <v>46</v>
      </c>
      <c r="O9" s="49">
        <v>18</v>
      </c>
      <c r="P9" s="49">
        <v>9</v>
      </c>
      <c r="Q9" s="85">
        <v>16</v>
      </c>
      <c r="R9" s="85"/>
      <c r="S9" s="85">
        <v>3</v>
      </c>
      <c r="T9" s="85">
        <v>7</v>
      </c>
      <c r="U9" s="85">
        <v>6</v>
      </c>
      <c r="V9" s="85">
        <v>1</v>
      </c>
      <c r="W9" s="85"/>
      <c r="X9" s="85"/>
      <c r="Y9" s="49"/>
      <c r="Z9" s="94"/>
      <c r="AA9" s="95"/>
      <c r="AB9" s="85"/>
      <c r="AC9" s="85"/>
      <c r="AD9" s="85"/>
      <c r="AE9" s="85"/>
      <c r="AF9" s="85"/>
      <c r="AG9" s="49"/>
      <c r="AH9" s="92"/>
      <c r="AI9" s="49"/>
    </row>
    <row r="10" spans="1:35" ht="12.75" x14ac:dyDescent="0.2">
      <c r="A10" s="87" t="s">
        <v>141</v>
      </c>
      <c r="B10" s="70">
        <f t="shared" ref="B10:I10" si="2">B9*B8</f>
        <v>2.85</v>
      </c>
      <c r="C10" s="70">
        <f t="shared" si="2"/>
        <v>4</v>
      </c>
      <c r="D10" s="70">
        <f t="shared" si="2"/>
        <v>3.4000000000000004</v>
      </c>
      <c r="E10" s="70">
        <f t="shared" si="2"/>
        <v>6</v>
      </c>
      <c r="F10" s="70">
        <f t="shared" si="2"/>
        <v>10</v>
      </c>
      <c r="G10" s="70">
        <f t="shared" si="2"/>
        <v>10</v>
      </c>
      <c r="H10" s="70">
        <f t="shared" si="2"/>
        <v>10</v>
      </c>
      <c r="I10" s="70">
        <f t="shared" si="2"/>
        <v>0</v>
      </c>
      <c r="J10" s="70">
        <f>SUM(B10:I10)</f>
        <v>46.25</v>
      </c>
      <c r="K10" s="86"/>
      <c r="L10" s="87" t="s">
        <v>141</v>
      </c>
      <c r="M10" s="70">
        <f t="shared" ref="M10:V10" si="3">M9*M8</f>
        <v>2.6</v>
      </c>
      <c r="N10" s="70">
        <f t="shared" si="3"/>
        <v>4.6000000000000005</v>
      </c>
      <c r="O10" s="70">
        <f t="shared" si="3"/>
        <v>3.6</v>
      </c>
      <c r="P10" s="70">
        <f t="shared" si="3"/>
        <v>4.5</v>
      </c>
      <c r="Q10" s="70">
        <f t="shared" si="3"/>
        <v>16</v>
      </c>
      <c r="R10" s="70">
        <f t="shared" si="3"/>
        <v>0</v>
      </c>
      <c r="S10" s="70">
        <f t="shared" si="3"/>
        <v>15</v>
      </c>
      <c r="T10" s="70">
        <f t="shared" si="3"/>
        <v>70</v>
      </c>
      <c r="U10" s="70">
        <f t="shared" si="3"/>
        <v>120</v>
      </c>
      <c r="V10" s="70">
        <f t="shared" si="3"/>
        <v>50</v>
      </c>
      <c r="W10" s="70">
        <f>SUM(M10:V10)</f>
        <v>286.3</v>
      </c>
      <c r="X10" s="96">
        <f>W10-J10</f>
        <v>240.05</v>
      </c>
      <c r="Y10" s="94">
        <v>105.8</v>
      </c>
      <c r="Z10" s="94">
        <v>110.5</v>
      </c>
      <c r="AA10" s="97">
        <f>X10+Z10</f>
        <v>350.55</v>
      </c>
      <c r="AB10" s="85">
        <v>105.8</v>
      </c>
      <c r="AC10" s="96">
        <f>Y10-AB10</f>
        <v>0</v>
      </c>
      <c r="AD10" s="96">
        <f>X10-Y10</f>
        <v>134.25</v>
      </c>
      <c r="AE10" s="85"/>
      <c r="AF10" s="96">
        <f>AD10-AE10</f>
        <v>134.25</v>
      </c>
      <c r="AG10" s="49"/>
      <c r="AH10" s="98">
        <f>(SUM(Y10:Z10)/(1+10/100))*(10/100)</f>
        <v>19.663636363636364</v>
      </c>
      <c r="AI10" s="49"/>
    </row>
    <row r="12" spans="1:35" ht="51" x14ac:dyDescent="0.2">
      <c r="A12" s="83" t="s">
        <v>135</v>
      </c>
      <c r="B12" s="84">
        <v>45782</v>
      </c>
      <c r="C12" s="85"/>
      <c r="D12" s="85"/>
      <c r="E12" s="85"/>
      <c r="F12" s="85"/>
      <c r="G12" s="85"/>
      <c r="H12" s="85"/>
      <c r="I12" s="85"/>
      <c r="J12" s="85"/>
      <c r="K12" s="86"/>
      <c r="L12" s="83" t="s">
        <v>136</v>
      </c>
      <c r="M12" s="84">
        <v>45782</v>
      </c>
      <c r="N12" s="85"/>
      <c r="O12" s="85"/>
      <c r="P12" s="85"/>
      <c r="Q12" s="85"/>
      <c r="R12" s="85"/>
      <c r="S12" s="85"/>
      <c r="T12" s="85"/>
      <c r="U12" s="85"/>
      <c r="V12" s="85"/>
      <c r="W12" s="87" t="s">
        <v>141</v>
      </c>
      <c r="X12" s="88" t="s">
        <v>192</v>
      </c>
      <c r="Y12" s="89" t="s">
        <v>142</v>
      </c>
      <c r="Z12" s="90" t="s">
        <v>193</v>
      </c>
      <c r="AA12" s="91" t="s">
        <v>194</v>
      </c>
      <c r="AB12" s="88" t="s">
        <v>288</v>
      </c>
      <c r="AC12" s="87" t="s">
        <v>195</v>
      </c>
      <c r="AD12" s="87" t="s">
        <v>196</v>
      </c>
      <c r="AE12" s="88" t="s">
        <v>197</v>
      </c>
      <c r="AF12" s="87" t="s">
        <v>198</v>
      </c>
      <c r="AG12" s="49"/>
      <c r="AH12" s="92"/>
      <c r="AI12" s="49"/>
    </row>
    <row r="13" spans="1:35" ht="12.75" x14ac:dyDescent="0.2">
      <c r="A13" s="87" t="s">
        <v>199</v>
      </c>
      <c r="B13" s="93">
        <v>0.05</v>
      </c>
      <c r="C13" s="93">
        <v>0.1</v>
      </c>
      <c r="D13" s="93">
        <v>0.2</v>
      </c>
      <c r="E13" s="93">
        <v>0.5</v>
      </c>
      <c r="F13" s="93">
        <v>1</v>
      </c>
      <c r="G13" s="93">
        <v>2</v>
      </c>
      <c r="H13" s="93">
        <v>5</v>
      </c>
      <c r="I13" s="93">
        <v>10</v>
      </c>
      <c r="J13" s="49"/>
      <c r="K13" s="86"/>
      <c r="L13" s="87" t="s">
        <v>199</v>
      </c>
      <c r="M13" s="93">
        <v>0.05</v>
      </c>
      <c r="N13" s="93">
        <v>0.1</v>
      </c>
      <c r="O13" s="93">
        <v>0.2</v>
      </c>
      <c r="P13" s="93">
        <v>0.5</v>
      </c>
      <c r="Q13" s="93">
        <v>1</v>
      </c>
      <c r="R13" s="93">
        <v>2</v>
      </c>
      <c r="S13" s="93">
        <v>5</v>
      </c>
      <c r="T13" s="93">
        <v>10</v>
      </c>
      <c r="U13" s="93">
        <v>20</v>
      </c>
      <c r="V13" s="93">
        <v>50</v>
      </c>
      <c r="W13" s="85"/>
      <c r="X13" s="85"/>
      <c r="Y13" s="49"/>
      <c r="Z13" s="94"/>
      <c r="AA13" s="95"/>
      <c r="AB13" s="85"/>
      <c r="AC13" s="85"/>
      <c r="AD13" s="85"/>
      <c r="AE13" s="85"/>
      <c r="AF13" s="85"/>
      <c r="AG13" s="49"/>
      <c r="AH13" s="92"/>
      <c r="AI13" s="49"/>
    </row>
    <row r="14" spans="1:35" ht="12.75" x14ac:dyDescent="0.2">
      <c r="A14" s="87" t="s">
        <v>200</v>
      </c>
      <c r="B14" s="38">
        <v>52</v>
      </c>
      <c r="C14" s="38">
        <v>46</v>
      </c>
      <c r="D14" s="49">
        <v>18</v>
      </c>
      <c r="E14" s="49">
        <v>9</v>
      </c>
      <c r="F14" s="85">
        <v>10</v>
      </c>
      <c r="G14" s="85">
        <v>5</v>
      </c>
      <c r="H14" s="85">
        <v>2</v>
      </c>
      <c r="I14" s="85"/>
      <c r="J14" s="85"/>
      <c r="K14" s="86"/>
      <c r="L14" s="87" t="s">
        <v>200</v>
      </c>
      <c r="M14" s="38">
        <v>50</v>
      </c>
      <c r="N14" s="38">
        <v>35</v>
      </c>
      <c r="O14" s="49">
        <v>15</v>
      </c>
      <c r="P14" s="49">
        <v>7</v>
      </c>
      <c r="Q14" s="85">
        <v>16</v>
      </c>
      <c r="R14" s="85">
        <v>14</v>
      </c>
      <c r="S14" s="85">
        <v>17</v>
      </c>
      <c r="T14" s="85">
        <v>3</v>
      </c>
      <c r="U14" s="85">
        <v>4</v>
      </c>
      <c r="V14" s="85">
        <v>2</v>
      </c>
      <c r="W14" s="85"/>
      <c r="X14" s="85"/>
      <c r="Y14" s="49"/>
      <c r="Z14" s="94"/>
      <c r="AA14" s="95"/>
      <c r="AB14" s="85"/>
      <c r="AC14" s="85"/>
      <c r="AD14" s="85"/>
      <c r="AE14" s="85"/>
      <c r="AF14" s="85"/>
      <c r="AG14" s="49"/>
      <c r="AH14" s="92"/>
      <c r="AI14" s="49"/>
    </row>
    <row r="15" spans="1:35" ht="12.75" x14ac:dyDescent="0.2">
      <c r="A15" s="87" t="s">
        <v>141</v>
      </c>
      <c r="B15" s="70">
        <f t="shared" ref="B15:I15" si="4">B14*B13</f>
        <v>2.6</v>
      </c>
      <c r="C15" s="70">
        <f t="shared" si="4"/>
        <v>4.6000000000000005</v>
      </c>
      <c r="D15" s="70">
        <f t="shared" si="4"/>
        <v>3.6</v>
      </c>
      <c r="E15" s="70">
        <f t="shared" si="4"/>
        <v>4.5</v>
      </c>
      <c r="F15" s="70">
        <f t="shared" si="4"/>
        <v>10</v>
      </c>
      <c r="G15" s="70">
        <f t="shared" si="4"/>
        <v>10</v>
      </c>
      <c r="H15" s="70">
        <f t="shared" si="4"/>
        <v>10</v>
      </c>
      <c r="I15" s="70">
        <f t="shared" si="4"/>
        <v>0</v>
      </c>
      <c r="J15" s="70">
        <f>SUM(B15:I15)</f>
        <v>45.3</v>
      </c>
      <c r="K15" s="86"/>
      <c r="L15" s="87" t="s">
        <v>141</v>
      </c>
      <c r="M15" s="70">
        <f t="shared" ref="M15:V15" si="5">M14*M13</f>
        <v>2.5</v>
      </c>
      <c r="N15" s="70">
        <f t="shared" si="5"/>
        <v>3.5</v>
      </c>
      <c r="O15" s="70">
        <f t="shared" si="5"/>
        <v>3</v>
      </c>
      <c r="P15" s="70">
        <f t="shared" si="5"/>
        <v>3.5</v>
      </c>
      <c r="Q15" s="70">
        <f t="shared" si="5"/>
        <v>16</v>
      </c>
      <c r="R15" s="70">
        <f t="shared" si="5"/>
        <v>28</v>
      </c>
      <c r="S15" s="70">
        <f t="shared" si="5"/>
        <v>85</v>
      </c>
      <c r="T15" s="70">
        <f t="shared" si="5"/>
        <v>30</v>
      </c>
      <c r="U15" s="70">
        <f t="shared" si="5"/>
        <v>80</v>
      </c>
      <c r="V15" s="70">
        <f t="shared" si="5"/>
        <v>100</v>
      </c>
      <c r="W15" s="70">
        <f>SUM(M15:V15)</f>
        <v>351.5</v>
      </c>
      <c r="X15" s="96">
        <f>W15-J15</f>
        <v>306.2</v>
      </c>
      <c r="Y15" s="94">
        <v>137.19999999999999</v>
      </c>
      <c r="Z15" s="94">
        <v>47.4</v>
      </c>
      <c r="AA15" s="97">
        <f>X15+Z15</f>
        <v>353.59999999999997</v>
      </c>
      <c r="AB15" s="85">
        <v>95</v>
      </c>
      <c r="AC15" s="96">
        <f>Y15-AB15</f>
        <v>42.199999999999989</v>
      </c>
      <c r="AD15" s="96">
        <f>X15-Y15</f>
        <v>169</v>
      </c>
      <c r="AE15" s="85">
        <v>21</v>
      </c>
      <c r="AF15" s="96">
        <f>AD15-AE15</f>
        <v>148</v>
      </c>
      <c r="AG15" s="49"/>
      <c r="AH15" s="98">
        <f>(SUM(Y15:Z15)/(1+10/100))*(10/100)</f>
        <v>16.781818181818181</v>
      </c>
      <c r="AI15" s="49"/>
    </row>
    <row r="17" spans="1:35" ht="51" x14ac:dyDescent="0.2">
      <c r="A17" s="83" t="s">
        <v>135</v>
      </c>
      <c r="B17" s="84">
        <v>45783</v>
      </c>
      <c r="C17" s="85"/>
      <c r="D17" s="85"/>
      <c r="E17" s="85"/>
      <c r="F17" s="85"/>
      <c r="G17" s="85"/>
      <c r="H17" s="85"/>
      <c r="I17" s="85"/>
      <c r="J17" s="85"/>
      <c r="K17" s="86"/>
      <c r="L17" s="83" t="s">
        <v>136</v>
      </c>
      <c r="M17" s="84">
        <v>45783</v>
      </c>
      <c r="N17" s="85"/>
      <c r="O17" s="85"/>
      <c r="P17" s="85"/>
      <c r="Q17" s="85"/>
      <c r="R17" s="85"/>
      <c r="S17" s="85"/>
      <c r="T17" s="85"/>
      <c r="U17" s="85"/>
      <c r="V17" s="85"/>
      <c r="W17" s="87" t="s">
        <v>141</v>
      </c>
      <c r="X17" s="88" t="s">
        <v>192</v>
      </c>
      <c r="Y17" s="89" t="s">
        <v>142</v>
      </c>
      <c r="Z17" s="90" t="s">
        <v>193</v>
      </c>
      <c r="AA17" s="91" t="s">
        <v>194</v>
      </c>
      <c r="AB17" s="88" t="s">
        <v>288</v>
      </c>
      <c r="AC17" s="87" t="s">
        <v>195</v>
      </c>
      <c r="AD17" s="87" t="s">
        <v>196</v>
      </c>
      <c r="AE17" s="88" t="s">
        <v>197</v>
      </c>
      <c r="AF17" s="87" t="s">
        <v>198</v>
      </c>
      <c r="AG17" s="49"/>
      <c r="AH17" s="92"/>
      <c r="AI17" s="49"/>
    </row>
    <row r="18" spans="1:35" ht="12.75" x14ac:dyDescent="0.2">
      <c r="A18" s="87" t="s">
        <v>199</v>
      </c>
      <c r="B18" s="93">
        <v>0.05</v>
      </c>
      <c r="C18" s="93">
        <v>0.1</v>
      </c>
      <c r="D18" s="93">
        <v>0.2</v>
      </c>
      <c r="E18" s="93">
        <v>0.5</v>
      </c>
      <c r="F18" s="93">
        <v>1</v>
      </c>
      <c r="G18" s="93">
        <v>2</v>
      </c>
      <c r="H18" s="93">
        <v>5</v>
      </c>
      <c r="I18" s="93">
        <v>10</v>
      </c>
      <c r="J18" s="49"/>
      <c r="K18" s="86"/>
      <c r="L18" s="87" t="s">
        <v>199</v>
      </c>
      <c r="M18" s="93">
        <v>0.05</v>
      </c>
      <c r="N18" s="93">
        <v>0.1</v>
      </c>
      <c r="O18" s="93">
        <v>0.2</v>
      </c>
      <c r="P18" s="93">
        <v>0.5</v>
      </c>
      <c r="Q18" s="93">
        <v>1</v>
      </c>
      <c r="R18" s="93">
        <v>2</v>
      </c>
      <c r="S18" s="93">
        <v>5</v>
      </c>
      <c r="T18" s="93">
        <v>10</v>
      </c>
      <c r="U18" s="93">
        <v>20</v>
      </c>
      <c r="V18" s="93">
        <v>50</v>
      </c>
      <c r="W18" s="85"/>
      <c r="X18" s="85"/>
      <c r="Y18" s="49"/>
      <c r="Z18" s="94"/>
      <c r="AA18" s="95"/>
      <c r="AB18" s="85"/>
      <c r="AC18" s="85"/>
      <c r="AD18" s="85"/>
      <c r="AE18" s="85"/>
      <c r="AF18" s="85"/>
      <c r="AG18" s="49"/>
      <c r="AH18" s="92"/>
      <c r="AI18" s="49"/>
    </row>
    <row r="19" spans="1:35" ht="12.75" x14ac:dyDescent="0.2">
      <c r="A19" s="87" t="s">
        <v>200</v>
      </c>
      <c r="B19" s="38">
        <v>50</v>
      </c>
      <c r="C19" s="38">
        <v>35</v>
      </c>
      <c r="D19" s="49">
        <v>15</v>
      </c>
      <c r="E19" s="49">
        <v>7</v>
      </c>
      <c r="F19" s="85">
        <v>10</v>
      </c>
      <c r="G19" s="85">
        <v>5</v>
      </c>
      <c r="H19" s="85">
        <v>2</v>
      </c>
      <c r="I19" s="85"/>
      <c r="J19" s="85"/>
      <c r="K19" s="86"/>
      <c r="L19" s="87" t="s">
        <v>200</v>
      </c>
      <c r="M19" s="38">
        <v>48</v>
      </c>
      <c r="N19" s="38">
        <v>30</v>
      </c>
      <c r="O19" s="49">
        <v>13</v>
      </c>
      <c r="P19" s="49">
        <v>11</v>
      </c>
      <c r="Q19" s="85">
        <v>16</v>
      </c>
      <c r="R19" s="85">
        <v>8</v>
      </c>
      <c r="S19" s="85">
        <v>4</v>
      </c>
      <c r="T19" s="85">
        <v>4</v>
      </c>
      <c r="U19" s="85">
        <v>2</v>
      </c>
      <c r="V19" s="85">
        <v>3</v>
      </c>
      <c r="W19" s="85"/>
      <c r="X19" s="85"/>
      <c r="Y19" s="49"/>
      <c r="Z19" s="94"/>
      <c r="AA19" s="95"/>
      <c r="AB19" s="85"/>
      <c r="AC19" s="85"/>
      <c r="AD19" s="85"/>
      <c r="AE19" s="85"/>
      <c r="AF19" s="85"/>
      <c r="AG19" s="49"/>
      <c r="AH19" s="92"/>
      <c r="AI19" s="49"/>
    </row>
    <row r="20" spans="1:35" ht="12.75" x14ac:dyDescent="0.2">
      <c r="A20" s="87" t="s">
        <v>141</v>
      </c>
      <c r="B20" s="70">
        <f t="shared" ref="B20:I20" si="6">B19*B18</f>
        <v>2.5</v>
      </c>
      <c r="C20" s="70">
        <f t="shared" si="6"/>
        <v>3.5</v>
      </c>
      <c r="D20" s="70">
        <f t="shared" si="6"/>
        <v>3</v>
      </c>
      <c r="E20" s="70">
        <f t="shared" si="6"/>
        <v>3.5</v>
      </c>
      <c r="F20" s="70">
        <f t="shared" si="6"/>
        <v>10</v>
      </c>
      <c r="G20" s="70">
        <f t="shared" si="6"/>
        <v>10</v>
      </c>
      <c r="H20" s="70">
        <f t="shared" si="6"/>
        <v>10</v>
      </c>
      <c r="I20" s="70">
        <f t="shared" si="6"/>
        <v>0</v>
      </c>
      <c r="J20" s="70">
        <f>SUM(B20:I20)</f>
        <v>42.5</v>
      </c>
      <c r="K20" s="86"/>
      <c r="L20" s="87" t="s">
        <v>141</v>
      </c>
      <c r="M20" s="70">
        <f t="shared" ref="M20:V20" si="7">M19*M18</f>
        <v>2.4000000000000004</v>
      </c>
      <c r="N20" s="70">
        <f t="shared" si="7"/>
        <v>3</v>
      </c>
      <c r="O20" s="70">
        <f t="shared" si="7"/>
        <v>2.6</v>
      </c>
      <c r="P20" s="70">
        <f t="shared" si="7"/>
        <v>5.5</v>
      </c>
      <c r="Q20" s="70">
        <f t="shared" si="7"/>
        <v>16</v>
      </c>
      <c r="R20" s="70">
        <f t="shared" si="7"/>
        <v>16</v>
      </c>
      <c r="S20" s="70">
        <f t="shared" si="7"/>
        <v>20</v>
      </c>
      <c r="T20" s="70">
        <f t="shared" si="7"/>
        <v>40</v>
      </c>
      <c r="U20" s="70">
        <f t="shared" si="7"/>
        <v>40</v>
      </c>
      <c r="V20" s="70">
        <f t="shared" si="7"/>
        <v>150</v>
      </c>
      <c r="W20" s="70">
        <f>SUM(M20:V20)</f>
        <v>295.5</v>
      </c>
      <c r="X20" s="96">
        <f>W20-J20</f>
        <v>253</v>
      </c>
      <c r="Y20" s="94">
        <v>104</v>
      </c>
      <c r="Z20" s="94">
        <v>39.1</v>
      </c>
      <c r="AA20" s="97">
        <f>X20+Z20</f>
        <v>292.10000000000002</v>
      </c>
      <c r="AB20" s="85">
        <v>50</v>
      </c>
      <c r="AC20" s="96">
        <f>Y20-AB20</f>
        <v>54</v>
      </c>
      <c r="AD20" s="96">
        <f>X20-Y20</f>
        <v>149</v>
      </c>
      <c r="AE20" s="85">
        <v>5</v>
      </c>
      <c r="AF20" s="96">
        <f>AD20-AE20</f>
        <v>144</v>
      </c>
      <c r="AG20" s="49"/>
      <c r="AH20" s="98">
        <f>(SUM(Y20:Z20)/(1+10/100))*(10/100)</f>
        <v>13.009090909090908</v>
      </c>
      <c r="AI20" s="49"/>
    </row>
    <row r="21" spans="1:35" ht="12.75" x14ac:dyDescent="0.2">
      <c r="Z21" s="38">
        <v>75.2</v>
      </c>
    </row>
    <row r="22" spans="1:35" ht="51" x14ac:dyDescent="0.2">
      <c r="A22" s="83" t="s">
        <v>135</v>
      </c>
      <c r="B22" s="84">
        <v>45784</v>
      </c>
      <c r="C22" s="85"/>
      <c r="D22" s="85"/>
      <c r="E22" s="85"/>
      <c r="F22" s="85"/>
      <c r="G22" s="85"/>
      <c r="H22" s="85"/>
      <c r="I22" s="85"/>
      <c r="J22" s="85"/>
      <c r="K22" s="86"/>
      <c r="L22" s="83" t="s">
        <v>136</v>
      </c>
      <c r="M22" s="84">
        <v>45784</v>
      </c>
      <c r="N22" s="85"/>
      <c r="O22" s="85"/>
      <c r="P22" s="85"/>
      <c r="Q22" s="85"/>
      <c r="R22" s="85"/>
      <c r="S22" s="85"/>
      <c r="T22" s="85"/>
      <c r="U22" s="85"/>
      <c r="V22" s="85"/>
      <c r="W22" s="87" t="s">
        <v>141</v>
      </c>
      <c r="X22" s="88" t="s">
        <v>192</v>
      </c>
      <c r="Y22" s="89" t="s">
        <v>142</v>
      </c>
      <c r="Z22" s="90" t="s">
        <v>193</v>
      </c>
      <c r="AA22" s="91" t="s">
        <v>194</v>
      </c>
      <c r="AB22" s="88" t="s">
        <v>288</v>
      </c>
      <c r="AC22" s="87" t="s">
        <v>195</v>
      </c>
      <c r="AD22" s="87" t="s">
        <v>196</v>
      </c>
      <c r="AE22" s="88" t="s">
        <v>197</v>
      </c>
      <c r="AF22" s="87" t="s">
        <v>198</v>
      </c>
      <c r="AG22" s="49"/>
      <c r="AH22" s="92"/>
      <c r="AI22" s="49"/>
    </row>
    <row r="23" spans="1:35" ht="12.75" x14ac:dyDescent="0.2">
      <c r="A23" s="87" t="s">
        <v>199</v>
      </c>
      <c r="B23" s="93">
        <v>0.05</v>
      </c>
      <c r="C23" s="93">
        <v>0.1</v>
      </c>
      <c r="D23" s="93">
        <v>0.2</v>
      </c>
      <c r="E23" s="93">
        <v>0.5</v>
      </c>
      <c r="F23" s="93">
        <v>1</v>
      </c>
      <c r="G23" s="93">
        <v>2</v>
      </c>
      <c r="H23" s="93">
        <v>5</v>
      </c>
      <c r="I23" s="93">
        <v>10</v>
      </c>
      <c r="J23" s="49"/>
      <c r="K23" s="86"/>
      <c r="L23" s="87" t="s">
        <v>199</v>
      </c>
      <c r="M23" s="93">
        <v>0.05</v>
      </c>
      <c r="N23" s="93">
        <v>0.1</v>
      </c>
      <c r="O23" s="93">
        <v>0.2</v>
      </c>
      <c r="P23" s="93">
        <v>0.5</v>
      </c>
      <c r="Q23" s="93">
        <v>1</v>
      </c>
      <c r="R23" s="93">
        <v>2</v>
      </c>
      <c r="S23" s="93">
        <v>5</v>
      </c>
      <c r="T23" s="93">
        <v>10</v>
      </c>
      <c r="U23" s="93">
        <v>20</v>
      </c>
      <c r="V23" s="93">
        <v>50</v>
      </c>
      <c r="W23" s="85"/>
      <c r="X23" s="85"/>
      <c r="Y23" s="49"/>
      <c r="Z23" s="94"/>
      <c r="AA23" s="95"/>
      <c r="AB23" s="85"/>
      <c r="AC23" s="85"/>
      <c r="AD23" s="85"/>
      <c r="AE23" s="85"/>
      <c r="AF23" s="85"/>
      <c r="AG23" s="49"/>
      <c r="AH23" s="92"/>
      <c r="AI23" s="49"/>
    </row>
    <row r="24" spans="1:35" ht="12.75" x14ac:dyDescent="0.2">
      <c r="A24" s="87" t="s">
        <v>200</v>
      </c>
      <c r="B24" s="38">
        <v>48</v>
      </c>
      <c r="C24" s="38">
        <v>30</v>
      </c>
      <c r="D24" s="49">
        <v>13</v>
      </c>
      <c r="E24" s="49">
        <v>11</v>
      </c>
      <c r="F24" s="85">
        <v>10</v>
      </c>
      <c r="G24" s="85">
        <v>5</v>
      </c>
      <c r="H24" s="85">
        <v>2</v>
      </c>
      <c r="I24" s="85"/>
      <c r="J24" s="85"/>
      <c r="K24" s="86"/>
      <c r="L24" s="87" t="s">
        <v>200</v>
      </c>
      <c r="M24" s="38">
        <v>59</v>
      </c>
      <c r="N24" s="38">
        <v>18</v>
      </c>
      <c r="O24" s="49">
        <v>13</v>
      </c>
      <c r="P24" s="49">
        <v>13</v>
      </c>
      <c r="Q24" s="85">
        <v>16</v>
      </c>
      <c r="R24" s="85">
        <v>8</v>
      </c>
      <c r="S24" s="85">
        <v>6</v>
      </c>
      <c r="T24" s="85">
        <v>6</v>
      </c>
      <c r="U24" s="85">
        <v>7</v>
      </c>
      <c r="V24" s="85">
        <v>2</v>
      </c>
      <c r="W24" s="85"/>
      <c r="X24" s="85"/>
      <c r="Y24" s="49"/>
      <c r="Z24" s="94"/>
      <c r="AA24" s="95"/>
      <c r="AB24" s="85"/>
      <c r="AC24" s="85"/>
      <c r="AD24" s="85"/>
      <c r="AE24" s="85"/>
      <c r="AF24" s="85"/>
      <c r="AG24" s="49"/>
      <c r="AH24" s="92"/>
      <c r="AI24" s="49"/>
    </row>
    <row r="25" spans="1:35" ht="12.75" x14ac:dyDescent="0.2">
      <c r="A25" s="87" t="s">
        <v>141</v>
      </c>
      <c r="B25" s="70">
        <f t="shared" ref="B25:I25" si="8">B24*B23</f>
        <v>2.4000000000000004</v>
      </c>
      <c r="C25" s="70">
        <f t="shared" si="8"/>
        <v>3</v>
      </c>
      <c r="D25" s="70">
        <f t="shared" si="8"/>
        <v>2.6</v>
      </c>
      <c r="E25" s="70">
        <f t="shared" si="8"/>
        <v>5.5</v>
      </c>
      <c r="F25" s="70">
        <f t="shared" si="8"/>
        <v>10</v>
      </c>
      <c r="G25" s="70">
        <f t="shared" si="8"/>
        <v>10</v>
      </c>
      <c r="H25" s="70">
        <f t="shared" si="8"/>
        <v>10</v>
      </c>
      <c r="I25" s="70">
        <f t="shared" si="8"/>
        <v>0</v>
      </c>
      <c r="J25" s="70">
        <f>SUM(B25:I25)</f>
        <v>43.5</v>
      </c>
      <c r="K25" s="86"/>
      <c r="L25" s="87" t="s">
        <v>141</v>
      </c>
      <c r="M25" s="70">
        <f t="shared" ref="M25:V25" si="9">M24*M23</f>
        <v>2.95</v>
      </c>
      <c r="N25" s="70">
        <f t="shared" si="9"/>
        <v>1.8</v>
      </c>
      <c r="O25" s="70">
        <f t="shared" si="9"/>
        <v>2.6</v>
      </c>
      <c r="P25" s="70">
        <f t="shared" si="9"/>
        <v>6.5</v>
      </c>
      <c r="Q25" s="70">
        <f t="shared" si="9"/>
        <v>16</v>
      </c>
      <c r="R25" s="70">
        <f t="shared" si="9"/>
        <v>16</v>
      </c>
      <c r="S25" s="70">
        <f t="shared" si="9"/>
        <v>30</v>
      </c>
      <c r="T25" s="70">
        <f t="shared" si="9"/>
        <v>60</v>
      </c>
      <c r="U25" s="70">
        <f t="shared" si="9"/>
        <v>140</v>
      </c>
      <c r="V25" s="70">
        <f t="shared" si="9"/>
        <v>100</v>
      </c>
      <c r="W25" s="70">
        <f>SUM(M25:V25)</f>
        <v>375.85</v>
      </c>
      <c r="X25" s="96">
        <f>W25-J25</f>
        <v>332.35</v>
      </c>
      <c r="Y25" s="94">
        <v>162.80000000000001</v>
      </c>
      <c r="Z25" s="94">
        <v>50.5</v>
      </c>
      <c r="AA25" s="97">
        <f>X25+Z25</f>
        <v>382.85</v>
      </c>
      <c r="AB25" s="85">
        <v>50</v>
      </c>
      <c r="AC25" s="96">
        <f>Y25-AB25</f>
        <v>112.80000000000001</v>
      </c>
      <c r="AD25" s="96">
        <f>X25-Y25</f>
        <v>169.55</v>
      </c>
      <c r="AE25" s="85">
        <v>29</v>
      </c>
      <c r="AF25" s="96">
        <f>AD25-AE25</f>
        <v>140.55000000000001</v>
      </c>
      <c r="AG25" s="49"/>
      <c r="AH25" s="98">
        <f>(SUM(Y25:Z25)/(1+10/100))*(10/100)</f>
        <v>19.390909090909091</v>
      </c>
      <c r="AI25" s="49"/>
    </row>
    <row r="27" spans="1:35" ht="51" x14ac:dyDescent="0.2">
      <c r="A27" s="83" t="s">
        <v>135</v>
      </c>
      <c r="B27" s="84">
        <v>45785</v>
      </c>
      <c r="C27" s="85"/>
      <c r="D27" s="85"/>
      <c r="E27" s="85"/>
      <c r="F27" s="85"/>
      <c r="G27" s="85"/>
      <c r="H27" s="85"/>
      <c r="I27" s="85"/>
      <c r="J27" s="85"/>
      <c r="K27" s="86"/>
      <c r="L27" s="83" t="s">
        <v>136</v>
      </c>
      <c r="M27" s="84">
        <v>45785</v>
      </c>
      <c r="N27" s="85"/>
      <c r="O27" s="85"/>
      <c r="P27" s="85"/>
      <c r="Q27" s="85"/>
      <c r="R27" s="85"/>
      <c r="S27" s="85"/>
      <c r="T27" s="85"/>
      <c r="U27" s="85"/>
      <c r="V27" s="85"/>
      <c r="W27" s="87" t="s">
        <v>141</v>
      </c>
      <c r="X27" s="88" t="s">
        <v>192</v>
      </c>
      <c r="Y27" s="89" t="s">
        <v>142</v>
      </c>
      <c r="Z27" s="90" t="s">
        <v>193</v>
      </c>
      <c r="AA27" s="91" t="s">
        <v>194</v>
      </c>
      <c r="AB27" s="88" t="s">
        <v>288</v>
      </c>
      <c r="AC27" s="87" t="s">
        <v>195</v>
      </c>
      <c r="AD27" s="87" t="s">
        <v>196</v>
      </c>
      <c r="AE27" s="88" t="s">
        <v>197</v>
      </c>
      <c r="AF27" s="87" t="s">
        <v>198</v>
      </c>
      <c r="AG27" s="49"/>
      <c r="AH27" s="92"/>
      <c r="AI27" s="49"/>
    </row>
    <row r="28" spans="1:35" ht="12.75" x14ac:dyDescent="0.2">
      <c r="A28" s="87" t="s">
        <v>199</v>
      </c>
      <c r="B28" s="93">
        <v>0.05</v>
      </c>
      <c r="C28" s="93">
        <v>0.1</v>
      </c>
      <c r="D28" s="93">
        <v>0.2</v>
      </c>
      <c r="E28" s="93">
        <v>0.5</v>
      </c>
      <c r="F28" s="93">
        <v>1</v>
      </c>
      <c r="G28" s="93">
        <v>2</v>
      </c>
      <c r="H28" s="93">
        <v>5</v>
      </c>
      <c r="I28" s="93">
        <v>10</v>
      </c>
      <c r="J28" s="49"/>
      <c r="K28" s="86"/>
      <c r="L28" s="87" t="s">
        <v>199</v>
      </c>
      <c r="M28" s="93">
        <v>0.05</v>
      </c>
      <c r="N28" s="93">
        <v>0.1</v>
      </c>
      <c r="O28" s="93">
        <v>0.2</v>
      </c>
      <c r="P28" s="93">
        <v>0.5</v>
      </c>
      <c r="Q28" s="93">
        <v>1</v>
      </c>
      <c r="R28" s="93">
        <v>2</v>
      </c>
      <c r="S28" s="93">
        <v>5</v>
      </c>
      <c r="T28" s="93">
        <v>10</v>
      </c>
      <c r="U28" s="93">
        <v>20</v>
      </c>
      <c r="V28" s="93">
        <v>50</v>
      </c>
      <c r="W28" s="85"/>
      <c r="X28" s="85"/>
      <c r="Y28" s="49"/>
      <c r="Z28" s="94"/>
      <c r="AA28" s="95"/>
      <c r="AB28" s="85"/>
      <c r="AC28" s="85"/>
      <c r="AD28" s="85"/>
      <c r="AE28" s="85"/>
      <c r="AF28" s="85"/>
      <c r="AG28" s="49"/>
      <c r="AH28" s="92"/>
      <c r="AI28" s="49"/>
    </row>
    <row r="29" spans="1:35" ht="12.75" x14ac:dyDescent="0.2">
      <c r="A29" s="87" t="s">
        <v>200</v>
      </c>
      <c r="B29" s="38">
        <v>55</v>
      </c>
      <c r="C29" s="38">
        <v>18</v>
      </c>
      <c r="D29" s="49">
        <v>13</v>
      </c>
      <c r="E29" s="49">
        <v>13</v>
      </c>
      <c r="F29" s="85">
        <v>10</v>
      </c>
      <c r="G29" s="85">
        <v>5</v>
      </c>
      <c r="H29" s="85">
        <v>2</v>
      </c>
      <c r="I29" s="85"/>
      <c r="J29" s="85"/>
      <c r="K29" s="86"/>
      <c r="L29" s="87" t="s">
        <v>200</v>
      </c>
      <c r="M29" s="38">
        <v>62</v>
      </c>
      <c r="N29" s="38">
        <v>19</v>
      </c>
      <c r="O29" s="49">
        <v>19</v>
      </c>
      <c r="P29" s="49">
        <v>13</v>
      </c>
      <c r="Q29" s="85">
        <v>16</v>
      </c>
      <c r="R29" s="85">
        <v>17</v>
      </c>
      <c r="S29" s="85">
        <v>5</v>
      </c>
      <c r="T29" s="85">
        <v>4</v>
      </c>
      <c r="U29" s="85">
        <v>8</v>
      </c>
      <c r="V29" s="85">
        <v>2</v>
      </c>
      <c r="W29" s="85"/>
      <c r="X29" s="85"/>
      <c r="Y29" s="49"/>
      <c r="Z29" s="94"/>
      <c r="AA29" s="95"/>
      <c r="AB29" s="85"/>
      <c r="AC29" s="85"/>
      <c r="AD29" s="85"/>
      <c r="AE29" s="85"/>
      <c r="AF29" s="85"/>
      <c r="AG29" s="49"/>
      <c r="AH29" s="92"/>
      <c r="AI29" s="49"/>
    </row>
    <row r="30" spans="1:35" ht="12.75" x14ac:dyDescent="0.2">
      <c r="A30" s="87" t="s">
        <v>141</v>
      </c>
      <c r="B30" s="70">
        <f t="shared" ref="B30:I30" si="10">B29*B28</f>
        <v>2.75</v>
      </c>
      <c r="C30" s="70">
        <f t="shared" si="10"/>
        <v>1.8</v>
      </c>
      <c r="D30" s="70">
        <f t="shared" si="10"/>
        <v>2.6</v>
      </c>
      <c r="E30" s="70">
        <f t="shared" si="10"/>
        <v>6.5</v>
      </c>
      <c r="F30" s="70">
        <f t="shared" si="10"/>
        <v>10</v>
      </c>
      <c r="G30" s="70">
        <f t="shared" si="10"/>
        <v>10</v>
      </c>
      <c r="H30" s="70">
        <f t="shared" si="10"/>
        <v>10</v>
      </c>
      <c r="I30" s="70">
        <f t="shared" si="10"/>
        <v>0</v>
      </c>
      <c r="J30" s="70">
        <f>SUM(B30:I30)</f>
        <v>43.65</v>
      </c>
      <c r="K30" s="86"/>
      <c r="L30" s="87" t="s">
        <v>141</v>
      </c>
      <c r="M30" s="70">
        <f t="shared" ref="M30:V30" si="11">M29*M28</f>
        <v>3.1</v>
      </c>
      <c r="N30" s="70">
        <f t="shared" si="11"/>
        <v>1.9000000000000001</v>
      </c>
      <c r="O30" s="70">
        <f t="shared" si="11"/>
        <v>3.8000000000000003</v>
      </c>
      <c r="P30" s="70">
        <f t="shared" si="11"/>
        <v>6.5</v>
      </c>
      <c r="Q30" s="70">
        <f t="shared" si="11"/>
        <v>16</v>
      </c>
      <c r="R30" s="70">
        <f t="shared" si="11"/>
        <v>34</v>
      </c>
      <c r="S30" s="70">
        <f t="shared" si="11"/>
        <v>25</v>
      </c>
      <c r="T30" s="70">
        <f t="shared" si="11"/>
        <v>40</v>
      </c>
      <c r="U30" s="70">
        <f t="shared" si="11"/>
        <v>160</v>
      </c>
      <c r="V30" s="70">
        <f t="shared" si="11"/>
        <v>100</v>
      </c>
      <c r="W30" s="70">
        <f>SUM(M30:V30)</f>
        <v>390.3</v>
      </c>
      <c r="X30" s="96">
        <f>W30-J30</f>
        <v>346.65000000000003</v>
      </c>
      <c r="Y30" s="94">
        <v>214.9</v>
      </c>
      <c r="Z30" s="94">
        <v>43.9</v>
      </c>
      <c r="AA30" s="97">
        <f>X30+Z30</f>
        <v>390.55</v>
      </c>
      <c r="AB30" s="85">
        <v>110</v>
      </c>
      <c r="AC30" s="96">
        <f>Y30-AB30</f>
        <v>104.9</v>
      </c>
      <c r="AD30" s="96">
        <f>X30-Y30</f>
        <v>131.75000000000003</v>
      </c>
      <c r="AE30" s="85">
        <v>20</v>
      </c>
      <c r="AF30" s="96">
        <f>AD30-AE30</f>
        <v>111.75000000000003</v>
      </c>
      <c r="AG30" s="49"/>
      <c r="AH30" s="98">
        <f>(SUM(Y30:Z30)/(1+10/100))*(10/100)</f>
        <v>23.527272727272727</v>
      </c>
      <c r="AI30" s="49"/>
    </row>
    <row r="32" spans="1:35" ht="51" x14ac:dyDescent="0.2">
      <c r="A32" s="83" t="s">
        <v>135</v>
      </c>
      <c r="B32" s="84">
        <v>45786</v>
      </c>
      <c r="C32" s="85"/>
      <c r="D32" s="85"/>
      <c r="E32" s="85"/>
      <c r="F32" s="85"/>
      <c r="G32" s="85"/>
      <c r="H32" s="85"/>
      <c r="I32" s="85"/>
      <c r="J32" s="85"/>
      <c r="K32" s="86"/>
      <c r="L32" s="83" t="s">
        <v>136</v>
      </c>
      <c r="M32" s="84">
        <v>45786</v>
      </c>
      <c r="N32" s="85"/>
      <c r="O32" s="85"/>
      <c r="P32" s="85"/>
      <c r="Q32" s="85"/>
      <c r="R32" s="85"/>
      <c r="S32" s="85"/>
      <c r="T32" s="85"/>
      <c r="U32" s="85"/>
      <c r="V32" s="85"/>
      <c r="W32" s="87" t="s">
        <v>141</v>
      </c>
      <c r="X32" s="88" t="s">
        <v>192</v>
      </c>
      <c r="Y32" s="89" t="s">
        <v>142</v>
      </c>
      <c r="Z32" s="90" t="s">
        <v>193</v>
      </c>
      <c r="AA32" s="91" t="s">
        <v>194</v>
      </c>
      <c r="AB32" s="88" t="s">
        <v>288</v>
      </c>
      <c r="AC32" s="87" t="s">
        <v>195</v>
      </c>
      <c r="AD32" s="87" t="s">
        <v>196</v>
      </c>
      <c r="AE32" s="88" t="s">
        <v>197</v>
      </c>
      <c r="AF32" s="87" t="s">
        <v>198</v>
      </c>
      <c r="AG32" s="49"/>
      <c r="AH32" s="92"/>
      <c r="AI32" s="49"/>
    </row>
    <row r="33" spans="1:35" ht="12.75" x14ac:dyDescent="0.2">
      <c r="A33" s="87" t="s">
        <v>199</v>
      </c>
      <c r="B33" s="93">
        <v>0.05</v>
      </c>
      <c r="C33" s="93">
        <v>0.1</v>
      </c>
      <c r="D33" s="93">
        <v>0.2</v>
      </c>
      <c r="E33" s="93">
        <v>0.5</v>
      </c>
      <c r="F33" s="93">
        <v>1</v>
      </c>
      <c r="G33" s="93">
        <v>2</v>
      </c>
      <c r="H33" s="93">
        <v>5</v>
      </c>
      <c r="I33" s="93">
        <v>10</v>
      </c>
      <c r="J33" s="49"/>
      <c r="K33" s="86"/>
      <c r="L33" s="87" t="s">
        <v>199</v>
      </c>
      <c r="M33" s="93">
        <v>0.05</v>
      </c>
      <c r="N33" s="93">
        <v>0.1</v>
      </c>
      <c r="O33" s="93">
        <v>0.2</v>
      </c>
      <c r="P33" s="93">
        <v>0.5</v>
      </c>
      <c r="Q33" s="93">
        <v>1</v>
      </c>
      <c r="R33" s="93">
        <v>2</v>
      </c>
      <c r="S33" s="93">
        <v>5</v>
      </c>
      <c r="T33" s="93">
        <v>10</v>
      </c>
      <c r="U33" s="93">
        <v>20</v>
      </c>
      <c r="V33" s="93">
        <v>50</v>
      </c>
      <c r="W33" s="85"/>
      <c r="X33" s="85"/>
      <c r="Y33" s="49"/>
      <c r="Z33" s="94"/>
      <c r="AA33" s="95"/>
      <c r="AB33" s="85"/>
      <c r="AC33" s="85"/>
      <c r="AD33" s="85"/>
      <c r="AE33" s="85"/>
      <c r="AF33" s="85"/>
      <c r="AG33" s="49"/>
      <c r="AH33" s="92"/>
      <c r="AI33" s="49"/>
    </row>
    <row r="34" spans="1:35" ht="12.75" x14ac:dyDescent="0.2">
      <c r="A34" s="87" t="s">
        <v>200</v>
      </c>
      <c r="B34" s="38">
        <v>62</v>
      </c>
      <c r="C34" s="38">
        <v>19</v>
      </c>
      <c r="D34" s="49">
        <v>19</v>
      </c>
      <c r="E34" s="49">
        <v>13</v>
      </c>
      <c r="F34" s="85">
        <v>10</v>
      </c>
      <c r="G34" s="85">
        <v>5</v>
      </c>
      <c r="H34" s="85">
        <v>2</v>
      </c>
      <c r="I34" s="85"/>
      <c r="J34" s="85"/>
      <c r="K34" s="86"/>
      <c r="L34" s="87" t="s">
        <v>200</v>
      </c>
      <c r="M34" s="38">
        <v>63</v>
      </c>
      <c r="N34" s="38">
        <v>30</v>
      </c>
      <c r="O34" s="49">
        <v>10</v>
      </c>
      <c r="P34" s="49">
        <v>25</v>
      </c>
      <c r="Q34" s="85">
        <v>18</v>
      </c>
      <c r="R34" s="85">
        <v>16</v>
      </c>
      <c r="S34" s="85">
        <v>11</v>
      </c>
      <c r="T34" s="85">
        <v>9</v>
      </c>
      <c r="U34" s="85">
        <v>2</v>
      </c>
      <c r="V34" s="85">
        <v>1</v>
      </c>
      <c r="W34" s="85"/>
      <c r="X34" s="85"/>
      <c r="Y34" s="49"/>
      <c r="Z34" s="94"/>
      <c r="AA34" s="95"/>
      <c r="AB34" s="85"/>
      <c r="AC34" s="85"/>
      <c r="AD34" s="85"/>
      <c r="AE34" s="85"/>
      <c r="AF34" s="85"/>
      <c r="AG34" s="49"/>
      <c r="AH34" s="92"/>
      <c r="AI34" s="49"/>
    </row>
    <row r="35" spans="1:35" ht="12.75" x14ac:dyDescent="0.2">
      <c r="A35" s="87" t="s">
        <v>141</v>
      </c>
      <c r="B35" s="70">
        <f t="shared" ref="B35:I35" si="12">B34*B33</f>
        <v>3.1</v>
      </c>
      <c r="C35" s="70">
        <f t="shared" si="12"/>
        <v>1.9000000000000001</v>
      </c>
      <c r="D35" s="70">
        <f t="shared" si="12"/>
        <v>3.8000000000000003</v>
      </c>
      <c r="E35" s="70">
        <f t="shared" si="12"/>
        <v>6.5</v>
      </c>
      <c r="F35" s="70">
        <f t="shared" si="12"/>
        <v>10</v>
      </c>
      <c r="G35" s="70">
        <f t="shared" si="12"/>
        <v>10</v>
      </c>
      <c r="H35" s="70">
        <f t="shared" si="12"/>
        <v>10</v>
      </c>
      <c r="I35" s="70">
        <f t="shared" si="12"/>
        <v>0</v>
      </c>
      <c r="J35" s="70">
        <f>SUM(B35:I35)</f>
        <v>45.3</v>
      </c>
      <c r="K35" s="86"/>
      <c r="L35" s="87" t="s">
        <v>141</v>
      </c>
      <c r="M35" s="70">
        <f t="shared" ref="M35:V35" si="13">M34*M33</f>
        <v>3.1500000000000004</v>
      </c>
      <c r="N35" s="70">
        <f t="shared" si="13"/>
        <v>3</v>
      </c>
      <c r="O35" s="70">
        <f t="shared" si="13"/>
        <v>2</v>
      </c>
      <c r="P35" s="70">
        <f t="shared" si="13"/>
        <v>12.5</v>
      </c>
      <c r="Q35" s="70">
        <f t="shared" si="13"/>
        <v>18</v>
      </c>
      <c r="R35" s="70">
        <f t="shared" si="13"/>
        <v>32</v>
      </c>
      <c r="S35" s="70">
        <f t="shared" si="13"/>
        <v>55</v>
      </c>
      <c r="T35" s="70">
        <f t="shared" si="13"/>
        <v>90</v>
      </c>
      <c r="U35" s="70">
        <f t="shared" si="13"/>
        <v>40</v>
      </c>
      <c r="V35" s="70">
        <f t="shared" si="13"/>
        <v>50</v>
      </c>
      <c r="W35" s="70">
        <f>SUM(M35:V35)</f>
        <v>305.64999999999998</v>
      </c>
      <c r="X35" s="96">
        <f>W35-J35</f>
        <v>260.34999999999997</v>
      </c>
      <c r="Y35" s="94">
        <v>88</v>
      </c>
      <c r="Z35" s="94">
        <v>108.7</v>
      </c>
      <c r="AA35" s="97">
        <f>X35+Z35</f>
        <v>369.04999999999995</v>
      </c>
      <c r="AB35" s="85">
        <v>50</v>
      </c>
      <c r="AC35" s="96">
        <f>Y35-AB35</f>
        <v>38</v>
      </c>
      <c r="AD35" s="96">
        <f>X35-Y35</f>
        <v>172.34999999999997</v>
      </c>
      <c r="AE35" s="85">
        <v>17</v>
      </c>
      <c r="AF35" s="96">
        <f>AD35-AE35</f>
        <v>155.34999999999997</v>
      </c>
      <c r="AG35" s="49"/>
      <c r="AH35" s="98">
        <f>(SUM(Y35:Z35)/(1+10/100))*(10/100)</f>
        <v>17.881818181818179</v>
      </c>
      <c r="AI35" s="49"/>
    </row>
    <row r="37" spans="1:35" ht="51" x14ac:dyDescent="0.2">
      <c r="A37" s="83" t="s">
        <v>135</v>
      </c>
      <c r="B37" s="84">
        <v>45787</v>
      </c>
      <c r="C37" s="85"/>
      <c r="D37" s="85"/>
      <c r="E37" s="85"/>
      <c r="F37" s="85"/>
      <c r="G37" s="85"/>
      <c r="H37" s="85"/>
      <c r="I37" s="85"/>
      <c r="J37" s="85"/>
      <c r="K37" s="86"/>
      <c r="L37" s="83" t="s">
        <v>136</v>
      </c>
      <c r="M37" s="84">
        <v>45787</v>
      </c>
      <c r="N37" s="85"/>
      <c r="O37" s="85"/>
      <c r="P37" s="85"/>
      <c r="Q37" s="85"/>
      <c r="R37" s="85"/>
      <c r="S37" s="85"/>
      <c r="T37" s="85"/>
      <c r="U37" s="85"/>
      <c r="V37" s="85"/>
      <c r="W37" s="87" t="s">
        <v>141</v>
      </c>
      <c r="X37" s="88" t="s">
        <v>192</v>
      </c>
      <c r="Y37" s="89" t="s">
        <v>142</v>
      </c>
      <c r="Z37" s="90" t="s">
        <v>193</v>
      </c>
      <c r="AA37" s="91" t="s">
        <v>194</v>
      </c>
      <c r="AB37" s="88" t="s">
        <v>288</v>
      </c>
      <c r="AC37" s="87" t="s">
        <v>195</v>
      </c>
      <c r="AD37" s="87" t="s">
        <v>196</v>
      </c>
      <c r="AE37" s="88" t="s">
        <v>197</v>
      </c>
      <c r="AF37" s="87" t="s">
        <v>198</v>
      </c>
      <c r="AG37" s="49"/>
      <c r="AH37" s="92"/>
      <c r="AI37" s="49"/>
    </row>
    <row r="38" spans="1:35" ht="12.75" x14ac:dyDescent="0.2">
      <c r="A38" s="87" t="s">
        <v>199</v>
      </c>
      <c r="B38" s="93">
        <v>0.05</v>
      </c>
      <c r="C38" s="93">
        <v>0.1</v>
      </c>
      <c r="D38" s="93">
        <v>0.2</v>
      </c>
      <c r="E38" s="93">
        <v>0.5</v>
      </c>
      <c r="F38" s="93">
        <v>1</v>
      </c>
      <c r="G38" s="93">
        <v>2</v>
      </c>
      <c r="H38" s="93">
        <v>5</v>
      </c>
      <c r="I38" s="93">
        <v>10</v>
      </c>
      <c r="J38" s="49"/>
      <c r="K38" s="86"/>
      <c r="L38" s="87" t="s">
        <v>199</v>
      </c>
      <c r="M38" s="93">
        <v>0.05</v>
      </c>
      <c r="N38" s="93">
        <v>0.1</v>
      </c>
      <c r="O38" s="93">
        <v>0.2</v>
      </c>
      <c r="P38" s="93">
        <v>0.5</v>
      </c>
      <c r="Q38" s="93">
        <v>1</v>
      </c>
      <c r="R38" s="93">
        <v>2</v>
      </c>
      <c r="S38" s="93">
        <v>5</v>
      </c>
      <c r="T38" s="93">
        <v>10</v>
      </c>
      <c r="U38" s="93">
        <v>20</v>
      </c>
      <c r="V38" s="93">
        <v>50</v>
      </c>
      <c r="W38" s="85"/>
      <c r="X38" s="85"/>
      <c r="Y38" s="49"/>
      <c r="Z38" s="94"/>
      <c r="AA38" s="95"/>
      <c r="AB38" s="85"/>
      <c r="AC38" s="85"/>
      <c r="AD38" s="85"/>
      <c r="AE38" s="85"/>
      <c r="AF38" s="85"/>
      <c r="AG38" s="49"/>
      <c r="AH38" s="92"/>
      <c r="AI38" s="49"/>
    </row>
    <row r="39" spans="1:35" ht="12.75" x14ac:dyDescent="0.2">
      <c r="A39" s="87" t="s">
        <v>200</v>
      </c>
      <c r="B39" s="38">
        <v>63</v>
      </c>
      <c r="C39" s="38">
        <v>30</v>
      </c>
      <c r="D39" s="49">
        <v>10</v>
      </c>
      <c r="E39" s="49">
        <v>13</v>
      </c>
      <c r="F39" s="85">
        <v>10</v>
      </c>
      <c r="G39" s="85">
        <v>5</v>
      </c>
      <c r="H39" s="85">
        <v>1</v>
      </c>
      <c r="I39" s="85"/>
      <c r="J39" s="85"/>
      <c r="K39" s="86"/>
      <c r="L39" s="87" t="s">
        <v>200</v>
      </c>
      <c r="M39" s="38">
        <v>63</v>
      </c>
      <c r="N39" s="38">
        <v>39</v>
      </c>
      <c r="O39" s="49">
        <v>11</v>
      </c>
      <c r="P39" s="49">
        <v>16</v>
      </c>
      <c r="Q39" s="85">
        <v>11</v>
      </c>
      <c r="R39" s="85">
        <v>4</v>
      </c>
      <c r="S39" s="85">
        <v>3</v>
      </c>
      <c r="T39" s="85">
        <v>7</v>
      </c>
      <c r="U39" s="85">
        <v>3</v>
      </c>
      <c r="V39" s="85">
        <v>2</v>
      </c>
      <c r="W39" s="85"/>
      <c r="X39" s="85"/>
      <c r="Y39" s="49"/>
      <c r="Z39" s="94"/>
      <c r="AA39" s="95"/>
      <c r="AB39" s="85"/>
      <c r="AC39" s="85"/>
      <c r="AD39" s="85"/>
      <c r="AE39" s="85"/>
      <c r="AF39" s="85"/>
      <c r="AG39" s="49"/>
      <c r="AH39" s="92"/>
      <c r="AI39" s="49"/>
    </row>
    <row r="40" spans="1:35" ht="12.75" x14ac:dyDescent="0.2">
      <c r="A40" s="87" t="s">
        <v>141</v>
      </c>
      <c r="B40" s="70">
        <f t="shared" ref="B40:I40" si="14">B39*B38</f>
        <v>3.1500000000000004</v>
      </c>
      <c r="C40" s="70">
        <f t="shared" si="14"/>
        <v>3</v>
      </c>
      <c r="D40" s="70">
        <f t="shared" si="14"/>
        <v>2</v>
      </c>
      <c r="E40" s="70">
        <f t="shared" si="14"/>
        <v>6.5</v>
      </c>
      <c r="F40" s="70">
        <f t="shared" si="14"/>
        <v>10</v>
      </c>
      <c r="G40" s="70">
        <f t="shared" si="14"/>
        <v>10</v>
      </c>
      <c r="H40" s="70">
        <f t="shared" si="14"/>
        <v>5</v>
      </c>
      <c r="I40" s="70">
        <f t="shared" si="14"/>
        <v>0</v>
      </c>
      <c r="J40" s="70">
        <f>SUM(B40:I40)</f>
        <v>39.65</v>
      </c>
      <c r="K40" s="86"/>
      <c r="L40" s="87" t="s">
        <v>141</v>
      </c>
      <c r="M40" s="70">
        <f t="shared" ref="M40:V40" si="15">M39*M38</f>
        <v>3.1500000000000004</v>
      </c>
      <c r="N40" s="70">
        <f t="shared" si="15"/>
        <v>3.9000000000000004</v>
      </c>
      <c r="O40" s="70">
        <f t="shared" si="15"/>
        <v>2.2000000000000002</v>
      </c>
      <c r="P40" s="70">
        <f t="shared" si="15"/>
        <v>8</v>
      </c>
      <c r="Q40" s="70">
        <f t="shared" si="15"/>
        <v>11</v>
      </c>
      <c r="R40" s="70">
        <f t="shared" si="15"/>
        <v>8</v>
      </c>
      <c r="S40" s="70">
        <f t="shared" si="15"/>
        <v>15</v>
      </c>
      <c r="T40" s="70">
        <f t="shared" si="15"/>
        <v>70</v>
      </c>
      <c r="U40" s="70">
        <f t="shared" si="15"/>
        <v>60</v>
      </c>
      <c r="V40" s="70">
        <f t="shared" si="15"/>
        <v>100</v>
      </c>
      <c r="W40" s="70">
        <f>SUM(M40:V40)</f>
        <v>281.25</v>
      </c>
      <c r="X40" s="96">
        <f>W40-J40</f>
        <v>241.6</v>
      </c>
      <c r="Y40" s="94">
        <v>128.69999999999999</v>
      </c>
      <c r="Z40" s="94">
        <v>47</v>
      </c>
      <c r="AA40" s="97">
        <f>X40+Z40</f>
        <v>288.60000000000002</v>
      </c>
      <c r="AB40" s="85">
        <v>100</v>
      </c>
      <c r="AC40" s="96">
        <f>Y40-AB40</f>
        <v>28.699999999999989</v>
      </c>
      <c r="AD40" s="96">
        <f>X40-Y40</f>
        <v>112.9</v>
      </c>
      <c r="AE40" s="85">
        <v>12.9</v>
      </c>
      <c r="AF40" s="96">
        <f>AD40-AE40</f>
        <v>100</v>
      </c>
      <c r="AG40" s="49"/>
      <c r="AH40" s="98">
        <f>(SUM(Y40:Z40)/(1+10/100))*(10/100)</f>
        <v>15.972727272727269</v>
      </c>
      <c r="AI40" s="49"/>
    </row>
    <row r="42" spans="1:35" ht="51" x14ac:dyDescent="0.2">
      <c r="A42" s="83" t="s">
        <v>135</v>
      </c>
      <c r="B42" s="84">
        <v>45789</v>
      </c>
      <c r="C42" s="85"/>
      <c r="D42" s="85"/>
      <c r="E42" s="85"/>
      <c r="F42" s="85"/>
      <c r="G42" s="85"/>
      <c r="H42" s="85"/>
      <c r="I42" s="85"/>
      <c r="J42" s="85"/>
      <c r="K42" s="86"/>
      <c r="L42" s="83" t="s">
        <v>136</v>
      </c>
      <c r="M42" s="84">
        <v>45789</v>
      </c>
      <c r="N42" s="85"/>
      <c r="O42" s="85"/>
      <c r="P42" s="85"/>
      <c r="Q42" s="85"/>
      <c r="R42" s="85"/>
      <c r="S42" s="85"/>
      <c r="T42" s="85"/>
      <c r="U42" s="85"/>
      <c r="V42" s="85"/>
      <c r="W42" s="87" t="s">
        <v>141</v>
      </c>
      <c r="X42" s="88" t="s">
        <v>192</v>
      </c>
      <c r="Y42" s="89" t="s">
        <v>142</v>
      </c>
      <c r="Z42" s="90" t="s">
        <v>193</v>
      </c>
      <c r="AA42" s="91" t="s">
        <v>194</v>
      </c>
      <c r="AB42" s="88" t="s">
        <v>288</v>
      </c>
      <c r="AC42" s="87" t="s">
        <v>195</v>
      </c>
      <c r="AD42" s="87" t="s">
        <v>196</v>
      </c>
      <c r="AE42" s="88" t="s">
        <v>197</v>
      </c>
      <c r="AF42" s="87" t="s">
        <v>198</v>
      </c>
      <c r="AG42" s="49"/>
      <c r="AH42" s="92"/>
      <c r="AI42" s="49"/>
    </row>
    <row r="43" spans="1:35" ht="12.75" x14ac:dyDescent="0.2">
      <c r="A43" s="87" t="s">
        <v>199</v>
      </c>
      <c r="B43" s="93">
        <v>0.05</v>
      </c>
      <c r="C43" s="93">
        <v>0.1</v>
      </c>
      <c r="D43" s="93">
        <v>0.2</v>
      </c>
      <c r="E43" s="93">
        <v>0.5</v>
      </c>
      <c r="F43" s="93">
        <v>1</v>
      </c>
      <c r="G43" s="93">
        <v>2</v>
      </c>
      <c r="H43" s="93">
        <v>5</v>
      </c>
      <c r="I43" s="93">
        <v>10</v>
      </c>
      <c r="J43" s="49"/>
      <c r="K43" s="86"/>
      <c r="L43" s="87" t="s">
        <v>199</v>
      </c>
      <c r="M43" s="93">
        <v>0.05</v>
      </c>
      <c r="N43" s="93">
        <v>0.1</v>
      </c>
      <c r="O43" s="93">
        <v>0.2</v>
      </c>
      <c r="P43" s="93">
        <v>0.5</v>
      </c>
      <c r="Q43" s="93">
        <v>1</v>
      </c>
      <c r="R43" s="93">
        <v>2</v>
      </c>
      <c r="S43" s="93">
        <v>5</v>
      </c>
      <c r="T43" s="93">
        <v>10</v>
      </c>
      <c r="U43" s="93">
        <v>20</v>
      </c>
      <c r="V43" s="93">
        <v>50</v>
      </c>
      <c r="W43" s="85"/>
      <c r="X43" s="85"/>
      <c r="Y43" s="49"/>
      <c r="Z43" s="94"/>
      <c r="AA43" s="95"/>
      <c r="AB43" s="85"/>
      <c r="AC43" s="85"/>
      <c r="AD43" s="85"/>
      <c r="AE43" s="85"/>
      <c r="AF43" s="85"/>
      <c r="AG43" s="49"/>
      <c r="AH43" s="92"/>
      <c r="AI43" s="49"/>
    </row>
    <row r="44" spans="1:35" ht="12.75" x14ac:dyDescent="0.2">
      <c r="A44" s="87" t="s">
        <v>200</v>
      </c>
      <c r="B44" s="38">
        <v>63</v>
      </c>
      <c r="C44" s="38">
        <v>39</v>
      </c>
      <c r="D44" s="49">
        <v>11</v>
      </c>
      <c r="E44" s="49">
        <v>16</v>
      </c>
      <c r="F44" s="85">
        <v>11</v>
      </c>
      <c r="G44" s="85">
        <v>4</v>
      </c>
      <c r="H44" s="85">
        <v>2</v>
      </c>
      <c r="I44" s="85"/>
      <c r="J44" s="85"/>
      <c r="K44" s="86"/>
      <c r="L44" s="87" t="s">
        <v>200</v>
      </c>
      <c r="M44" s="38">
        <v>70</v>
      </c>
      <c r="N44" s="38">
        <v>40</v>
      </c>
      <c r="O44" s="49">
        <v>21</v>
      </c>
      <c r="P44" s="49">
        <v>21</v>
      </c>
      <c r="Q44" s="85">
        <v>15</v>
      </c>
      <c r="R44" s="85">
        <v>10</v>
      </c>
      <c r="S44" s="85">
        <v>6</v>
      </c>
      <c r="T44" s="85">
        <v>5</v>
      </c>
      <c r="U44" s="85">
        <v>7</v>
      </c>
      <c r="V44" s="85"/>
      <c r="W44" s="85"/>
      <c r="X44" s="85"/>
      <c r="Y44" s="49"/>
      <c r="Z44" s="94"/>
      <c r="AA44" s="95"/>
      <c r="AB44" s="85"/>
      <c r="AC44" s="85"/>
      <c r="AD44" s="85"/>
      <c r="AE44" s="85"/>
      <c r="AF44" s="85"/>
      <c r="AG44" s="49"/>
      <c r="AH44" s="92"/>
      <c r="AI44" s="49"/>
    </row>
    <row r="45" spans="1:35" ht="12.75" x14ac:dyDescent="0.2">
      <c r="A45" s="87" t="s">
        <v>141</v>
      </c>
      <c r="B45" s="70">
        <f t="shared" ref="B45:I45" si="16">B44*B43</f>
        <v>3.1500000000000004</v>
      </c>
      <c r="C45" s="70">
        <f t="shared" si="16"/>
        <v>3.9000000000000004</v>
      </c>
      <c r="D45" s="70">
        <f t="shared" si="16"/>
        <v>2.2000000000000002</v>
      </c>
      <c r="E45" s="70">
        <f t="shared" si="16"/>
        <v>8</v>
      </c>
      <c r="F45" s="70">
        <f t="shared" si="16"/>
        <v>11</v>
      </c>
      <c r="G45" s="70">
        <f t="shared" si="16"/>
        <v>8</v>
      </c>
      <c r="H45" s="70">
        <f t="shared" si="16"/>
        <v>10</v>
      </c>
      <c r="I45" s="70">
        <f t="shared" si="16"/>
        <v>0</v>
      </c>
      <c r="J45" s="70">
        <f>SUM(B45:I45)</f>
        <v>46.25</v>
      </c>
      <c r="K45" s="86"/>
      <c r="L45" s="87" t="s">
        <v>141</v>
      </c>
      <c r="M45" s="70">
        <f t="shared" ref="M45:V45" si="17">M44*M43</f>
        <v>3.5</v>
      </c>
      <c r="N45" s="70">
        <f t="shared" si="17"/>
        <v>4</v>
      </c>
      <c r="O45" s="70">
        <f t="shared" si="17"/>
        <v>4.2</v>
      </c>
      <c r="P45" s="70">
        <f t="shared" si="17"/>
        <v>10.5</v>
      </c>
      <c r="Q45" s="70">
        <f t="shared" si="17"/>
        <v>15</v>
      </c>
      <c r="R45" s="70">
        <f t="shared" si="17"/>
        <v>20</v>
      </c>
      <c r="S45" s="70">
        <f t="shared" si="17"/>
        <v>30</v>
      </c>
      <c r="T45" s="70">
        <f t="shared" si="17"/>
        <v>50</v>
      </c>
      <c r="U45" s="70">
        <f t="shared" si="17"/>
        <v>140</v>
      </c>
      <c r="V45" s="70">
        <f t="shared" si="17"/>
        <v>0</v>
      </c>
      <c r="W45" s="70">
        <f>SUM(M45:V45)</f>
        <v>277.2</v>
      </c>
      <c r="X45" s="96">
        <f>W45-J45</f>
        <v>230.95</v>
      </c>
      <c r="Y45" s="94">
        <v>69.599999999999994</v>
      </c>
      <c r="Z45" s="94">
        <v>40</v>
      </c>
      <c r="AA45" s="97">
        <f>X45+Z45</f>
        <v>270.95</v>
      </c>
      <c r="AB45" s="85">
        <v>69.599999999999994</v>
      </c>
      <c r="AC45" s="96">
        <f>Y45-AB45</f>
        <v>0</v>
      </c>
      <c r="AD45" s="96">
        <f>X45-Y45</f>
        <v>161.35</v>
      </c>
      <c r="AE45" s="85">
        <v>23</v>
      </c>
      <c r="AF45" s="96">
        <f>AD45-AE45</f>
        <v>138.35</v>
      </c>
      <c r="AG45" s="49"/>
      <c r="AH45" s="98">
        <f>(SUM(Y45:Z45)/(1+10/100))*(10/100)</f>
        <v>9.963636363636363</v>
      </c>
      <c r="AI45" s="49"/>
    </row>
    <row r="47" spans="1:35" ht="51" x14ac:dyDescent="0.2">
      <c r="A47" s="83" t="s">
        <v>135</v>
      </c>
      <c r="B47" s="84">
        <v>45790</v>
      </c>
      <c r="C47" s="85"/>
      <c r="D47" s="85"/>
      <c r="E47" s="85"/>
      <c r="F47" s="85"/>
      <c r="G47" s="85"/>
      <c r="H47" s="85"/>
      <c r="I47" s="85"/>
      <c r="J47" s="85"/>
      <c r="K47" s="86"/>
      <c r="L47" s="83" t="s">
        <v>136</v>
      </c>
      <c r="M47" s="84">
        <v>45790</v>
      </c>
      <c r="N47" s="85"/>
      <c r="O47" s="85"/>
      <c r="P47" s="85"/>
      <c r="Q47" s="85"/>
      <c r="R47" s="85"/>
      <c r="S47" s="85"/>
      <c r="T47" s="85"/>
      <c r="U47" s="85"/>
      <c r="V47" s="85"/>
      <c r="W47" s="87" t="s">
        <v>141</v>
      </c>
      <c r="X47" s="88" t="s">
        <v>192</v>
      </c>
      <c r="Y47" s="89" t="s">
        <v>142</v>
      </c>
      <c r="Z47" s="90" t="s">
        <v>193</v>
      </c>
      <c r="AA47" s="91" t="s">
        <v>194</v>
      </c>
      <c r="AB47" s="88" t="s">
        <v>288</v>
      </c>
      <c r="AC47" s="87" t="s">
        <v>195</v>
      </c>
      <c r="AD47" s="87" t="s">
        <v>196</v>
      </c>
      <c r="AE47" s="88" t="s">
        <v>197</v>
      </c>
      <c r="AF47" s="87" t="s">
        <v>198</v>
      </c>
      <c r="AG47" s="49"/>
      <c r="AH47" s="92"/>
      <c r="AI47" s="49"/>
    </row>
    <row r="48" spans="1:35" ht="12.75" x14ac:dyDescent="0.2">
      <c r="A48" s="87" t="s">
        <v>199</v>
      </c>
      <c r="B48" s="93">
        <v>0.05</v>
      </c>
      <c r="C48" s="93">
        <v>0.1</v>
      </c>
      <c r="D48" s="93">
        <v>0.2</v>
      </c>
      <c r="E48" s="93">
        <v>0.5</v>
      </c>
      <c r="F48" s="93">
        <v>1</v>
      </c>
      <c r="G48" s="93">
        <v>2</v>
      </c>
      <c r="H48" s="93">
        <v>5</v>
      </c>
      <c r="I48" s="93">
        <v>10</v>
      </c>
      <c r="J48" s="49"/>
      <c r="K48" s="86"/>
      <c r="L48" s="87" t="s">
        <v>199</v>
      </c>
      <c r="M48" s="93">
        <v>0.05</v>
      </c>
      <c r="N48" s="93">
        <v>0.1</v>
      </c>
      <c r="O48" s="93">
        <v>0.2</v>
      </c>
      <c r="P48" s="93">
        <v>0.5</v>
      </c>
      <c r="Q48" s="93">
        <v>1</v>
      </c>
      <c r="R48" s="93">
        <v>2</v>
      </c>
      <c r="S48" s="93">
        <v>5</v>
      </c>
      <c r="T48" s="93">
        <v>10</v>
      </c>
      <c r="U48" s="93">
        <v>20</v>
      </c>
      <c r="V48" s="93">
        <v>50</v>
      </c>
      <c r="W48" s="85"/>
      <c r="X48" s="85"/>
      <c r="Y48" s="49"/>
      <c r="Z48" s="94"/>
      <c r="AA48" s="95"/>
      <c r="AB48" s="85"/>
      <c r="AC48" s="85"/>
      <c r="AD48" s="85"/>
      <c r="AE48" s="85"/>
      <c r="AF48" s="85"/>
      <c r="AG48" s="49"/>
      <c r="AH48" s="92"/>
      <c r="AI48" s="49"/>
    </row>
    <row r="49" spans="1:35" ht="12.75" x14ac:dyDescent="0.2">
      <c r="A49" s="87" t="s">
        <v>200</v>
      </c>
      <c r="B49" s="38">
        <v>70</v>
      </c>
      <c r="C49" s="38">
        <v>40</v>
      </c>
      <c r="D49" s="49">
        <v>15</v>
      </c>
      <c r="E49" s="49">
        <v>11</v>
      </c>
      <c r="F49" s="85">
        <v>10</v>
      </c>
      <c r="G49" s="85">
        <v>5</v>
      </c>
      <c r="H49" s="85">
        <v>1</v>
      </c>
      <c r="I49" s="85"/>
      <c r="J49" s="85"/>
      <c r="K49" s="86"/>
      <c r="L49" s="87" t="s">
        <v>200</v>
      </c>
      <c r="M49" s="38">
        <v>41</v>
      </c>
      <c r="N49" s="38">
        <v>41</v>
      </c>
      <c r="O49" s="49">
        <v>32</v>
      </c>
      <c r="P49" s="49">
        <v>20</v>
      </c>
      <c r="Q49" s="85">
        <v>24</v>
      </c>
      <c r="R49" s="85">
        <v>11</v>
      </c>
      <c r="S49" s="85">
        <v>12</v>
      </c>
      <c r="T49" s="85">
        <v>5</v>
      </c>
      <c r="U49" s="85">
        <v>3</v>
      </c>
      <c r="V49" s="85">
        <v>1</v>
      </c>
      <c r="W49" s="85"/>
      <c r="X49" s="85"/>
      <c r="Y49" s="49"/>
      <c r="Z49" s="94"/>
      <c r="AA49" s="95"/>
      <c r="AB49" s="85"/>
      <c r="AC49" s="85"/>
      <c r="AD49" s="85"/>
      <c r="AE49" s="85"/>
      <c r="AF49" s="85"/>
      <c r="AG49" s="49"/>
      <c r="AH49" s="92"/>
      <c r="AI49" s="49"/>
    </row>
    <row r="50" spans="1:35" ht="12.75" x14ac:dyDescent="0.2">
      <c r="A50" s="87" t="s">
        <v>141</v>
      </c>
      <c r="B50" s="70">
        <f t="shared" ref="B50:I50" si="18">B49*B48</f>
        <v>3.5</v>
      </c>
      <c r="C50" s="70">
        <f t="shared" si="18"/>
        <v>4</v>
      </c>
      <c r="D50" s="70">
        <f t="shared" si="18"/>
        <v>3</v>
      </c>
      <c r="E50" s="70">
        <f t="shared" si="18"/>
        <v>5.5</v>
      </c>
      <c r="F50" s="70">
        <f t="shared" si="18"/>
        <v>10</v>
      </c>
      <c r="G50" s="70">
        <f t="shared" si="18"/>
        <v>10</v>
      </c>
      <c r="H50" s="70">
        <f t="shared" si="18"/>
        <v>5</v>
      </c>
      <c r="I50" s="70">
        <f t="shared" si="18"/>
        <v>0</v>
      </c>
      <c r="J50" s="70">
        <f>SUM(B50:I50)</f>
        <v>41</v>
      </c>
      <c r="K50" s="86"/>
      <c r="L50" s="87" t="s">
        <v>141</v>
      </c>
      <c r="M50" s="70">
        <f t="shared" ref="M50:V50" si="19">M49*M48</f>
        <v>2.0500000000000003</v>
      </c>
      <c r="N50" s="70">
        <f t="shared" si="19"/>
        <v>4.1000000000000005</v>
      </c>
      <c r="O50" s="70">
        <f t="shared" si="19"/>
        <v>6.4</v>
      </c>
      <c r="P50" s="70">
        <f t="shared" si="19"/>
        <v>10</v>
      </c>
      <c r="Q50" s="70">
        <f t="shared" si="19"/>
        <v>24</v>
      </c>
      <c r="R50" s="70">
        <f t="shared" si="19"/>
        <v>22</v>
      </c>
      <c r="S50" s="70">
        <f t="shared" si="19"/>
        <v>60</v>
      </c>
      <c r="T50" s="70">
        <f t="shared" si="19"/>
        <v>50</v>
      </c>
      <c r="U50" s="70">
        <f t="shared" si="19"/>
        <v>60</v>
      </c>
      <c r="V50" s="70">
        <f t="shared" si="19"/>
        <v>50</v>
      </c>
      <c r="W50" s="70">
        <f>SUM(M50:V50)</f>
        <v>288.55</v>
      </c>
      <c r="X50" s="96">
        <f>W50-J50</f>
        <v>247.55</v>
      </c>
      <c r="Y50" s="94">
        <v>125.1</v>
      </c>
      <c r="Z50" s="94">
        <v>105.9</v>
      </c>
      <c r="AA50" s="97">
        <f>X50+Z50</f>
        <v>353.45000000000005</v>
      </c>
      <c r="AB50" s="85">
        <v>70</v>
      </c>
      <c r="AC50" s="96">
        <f>Y50-AB50</f>
        <v>55.099999999999994</v>
      </c>
      <c r="AD50" s="96">
        <f>X50-Y50</f>
        <v>122.45000000000002</v>
      </c>
      <c r="AE50" s="85">
        <v>22</v>
      </c>
      <c r="AF50" s="96">
        <f>AD50-AE50</f>
        <v>100.45000000000002</v>
      </c>
      <c r="AG50" s="49"/>
      <c r="AH50" s="98">
        <f>(SUM(Y50:Z50)/(1+10/100))*(10/100)</f>
        <v>21</v>
      </c>
      <c r="AI50" s="49"/>
    </row>
    <row r="52" spans="1:35" ht="51" x14ac:dyDescent="0.2">
      <c r="A52" s="83" t="s">
        <v>135</v>
      </c>
      <c r="B52" s="84">
        <v>45791</v>
      </c>
      <c r="C52" s="85"/>
      <c r="D52" s="85"/>
      <c r="E52" s="85"/>
      <c r="F52" s="85"/>
      <c r="G52" s="85"/>
      <c r="H52" s="85"/>
      <c r="I52" s="85"/>
      <c r="J52" s="85"/>
      <c r="K52" s="86"/>
      <c r="L52" s="83" t="s">
        <v>136</v>
      </c>
      <c r="M52" s="84">
        <v>45791</v>
      </c>
      <c r="N52" s="85"/>
      <c r="O52" s="85"/>
      <c r="P52" s="85"/>
      <c r="Q52" s="85"/>
      <c r="R52" s="85"/>
      <c r="S52" s="85"/>
      <c r="T52" s="85"/>
      <c r="U52" s="85"/>
      <c r="V52" s="85"/>
      <c r="W52" s="87" t="s">
        <v>141</v>
      </c>
      <c r="X52" s="88" t="s">
        <v>192</v>
      </c>
      <c r="Y52" s="89" t="s">
        <v>142</v>
      </c>
      <c r="Z52" s="90" t="s">
        <v>193</v>
      </c>
      <c r="AA52" s="91" t="s">
        <v>194</v>
      </c>
      <c r="AB52" s="88" t="s">
        <v>288</v>
      </c>
      <c r="AC52" s="87" t="s">
        <v>195</v>
      </c>
      <c r="AD52" s="87" t="s">
        <v>196</v>
      </c>
      <c r="AE52" s="88" t="s">
        <v>197</v>
      </c>
      <c r="AF52" s="87" t="s">
        <v>198</v>
      </c>
      <c r="AG52" s="49"/>
      <c r="AH52" s="92"/>
      <c r="AI52" s="49"/>
    </row>
    <row r="53" spans="1:35" ht="12.75" x14ac:dyDescent="0.2">
      <c r="A53" s="87" t="s">
        <v>199</v>
      </c>
      <c r="B53" s="93">
        <v>0.05</v>
      </c>
      <c r="C53" s="93">
        <v>0.1</v>
      </c>
      <c r="D53" s="93">
        <v>0.2</v>
      </c>
      <c r="E53" s="93">
        <v>0.5</v>
      </c>
      <c r="F53" s="93">
        <v>1</v>
      </c>
      <c r="G53" s="93">
        <v>2</v>
      </c>
      <c r="H53" s="93">
        <v>5</v>
      </c>
      <c r="I53" s="93">
        <v>10</v>
      </c>
      <c r="J53" s="49"/>
      <c r="K53" s="86"/>
      <c r="L53" s="87" t="s">
        <v>199</v>
      </c>
      <c r="M53" s="93">
        <v>0.05</v>
      </c>
      <c r="N53" s="93">
        <v>0.1</v>
      </c>
      <c r="O53" s="93">
        <v>0.2</v>
      </c>
      <c r="P53" s="93">
        <v>0.5</v>
      </c>
      <c r="Q53" s="93">
        <v>1</v>
      </c>
      <c r="R53" s="93">
        <v>2</v>
      </c>
      <c r="S53" s="93">
        <v>5</v>
      </c>
      <c r="T53" s="93">
        <v>10</v>
      </c>
      <c r="U53" s="93">
        <v>20</v>
      </c>
      <c r="V53" s="93">
        <v>50</v>
      </c>
      <c r="W53" s="85"/>
      <c r="X53" s="85"/>
      <c r="Y53" s="49"/>
      <c r="Z53" s="94"/>
      <c r="AA53" s="95"/>
      <c r="AB53" s="85"/>
      <c r="AC53" s="85"/>
      <c r="AD53" s="85"/>
      <c r="AE53" s="85"/>
      <c r="AF53" s="85"/>
      <c r="AG53" s="49"/>
      <c r="AH53" s="92"/>
      <c r="AI53" s="49"/>
    </row>
    <row r="54" spans="1:35" ht="12.75" x14ac:dyDescent="0.2">
      <c r="A54" s="87" t="s">
        <v>200</v>
      </c>
      <c r="B54" s="38">
        <v>41</v>
      </c>
      <c r="C54" s="38">
        <v>41</v>
      </c>
      <c r="D54" s="49">
        <v>32</v>
      </c>
      <c r="E54" s="49">
        <v>10</v>
      </c>
      <c r="F54" s="85">
        <v>10</v>
      </c>
      <c r="G54" s="85">
        <v>5</v>
      </c>
      <c r="H54" s="85"/>
      <c r="I54" s="85"/>
      <c r="J54" s="85"/>
      <c r="K54" s="86"/>
      <c r="L54" s="87" t="s">
        <v>200</v>
      </c>
      <c r="M54" s="38">
        <v>46</v>
      </c>
      <c r="N54" s="38">
        <v>45</v>
      </c>
      <c r="O54" s="49">
        <v>35</v>
      </c>
      <c r="P54" s="49">
        <v>19</v>
      </c>
      <c r="Q54" s="85">
        <v>9</v>
      </c>
      <c r="R54" s="85">
        <v>13</v>
      </c>
      <c r="S54" s="85">
        <v>7</v>
      </c>
      <c r="T54" s="85">
        <v>5</v>
      </c>
      <c r="U54" s="85">
        <v>2</v>
      </c>
      <c r="V54" s="85">
        <v>3</v>
      </c>
      <c r="W54" s="85"/>
      <c r="X54" s="85"/>
      <c r="Y54" s="49"/>
      <c r="Z54" s="94"/>
      <c r="AA54" s="95"/>
      <c r="AB54" s="85"/>
      <c r="AC54" s="85"/>
      <c r="AD54" s="85"/>
      <c r="AE54" s="85"/>
      <c r="AF54" s="85"/>
      <c r="AG54" s="49"/>
      <c r="AH54" s="92"/>
      <c r="AI54" s="49"/>
    </row>
    <row r="55" spans="1:35" ht="12.75" x14ac:dyDescent="0.2">
      <c r="A55" s="87" t="s">
        <v>141</v>
      </c>
      <c r="B55" s="70">
        <f t="shared" ref="B55:I55" si="20">B54*B53</f>
        <v>2.0500000000000003</v>
      </c>
      <c r="C55" s="70">
        <f t="shared" si="20"/>
        <v>4.1000000000000005</v>
      </c>
      <c r="D55" s="70">
        <f t="shared" si="20"/>
        <v>6.4</v>
      </c>
      <c r="E55" s="70">
        <f t="shared" si="20"/>
        <v>5</v>
      </c>
      <c r="F55" s="70">
        <f t="shared" si="20"/>
        <v>10</v>
      </c>
      <c r="G55" s="70">
        <f t="shared" si="20"/>
        <v>10</v>
      </c>
      <c r="H55" s="70">
        <f t="shared" si="20"/>
        <v>0</v>
      </c>
      <c r="I55" s="70">
        <f t="shared" si="20"/>
        <v>0</v>
      </c>
      <c r="J55" s="70">
        <f>SUM(B55:I55)</f>
        <v>37.549999999999997</v>
      </c>
      <c r="K55" s="86"/>
      <c r="L55" s="87" t="s">
        <v>141</v>
      </c>
      <c r="M55" s="70">
        <f t="shared" ref="M55:V55" si="21">M54*M53</f>
        <v>2.3000000000000003</v>
      </c>
      <c r="N55" s="70">
        <f t="shared" si="21"/>
        <v>4.5</v>
      </c>
      <c r="O55" s="70">
        <f t="shared" si="21"/>
        <v>7</v>
      </c>
      <c r="P55" s="70">
        <f t="shared" si="21"/>
        <v>9.5</v>
      </c>
      <c r="Q55" s="70">
        <f t="shared" si="21"/>
        <v>9</v>
      </c>
      <c r="R55" s="70">
        <f t="shared" si="21"/>
        <v>26</v>
      </c>
      <c r="S55" s="70">
        <f t="shared" si="21"/>
        <v>35</v>
      </c>
      <c r="T55" s="70">
        <f t="shared" si="21"/>
        <v>50</v>
      </c>
      <c r="U55" s="70">
        <f t="shared" si="21"/>
        <v>40</v>
      </c>
      <c r="V55" s="70">
        <f t="shared" si="21"/>
        <v>150</v>
      </c>
      <c r="W55" s="70">
        <f>SUM(M55:V55)</f>
        <v>333.3</v>
      </c>
      <c r="X55" s="96">
        <f>W55-J55</f>
        <v>295.75</v>
      </c>
      <c r="Y55" s="94">
        <v>101.3</v>
      </c>
      <c r="Z55" s="94">
        <v>72.3</v>
      </c>
      <c r="AA55" s="97">
        <f>X55+Z55</f>
        <v>368.05</v>
      </c>
      <c r="AB55" s="85">
        <v>50</v>
      </c>
      <c r="AC55" s="96">
        <f>Y55-AB55</f>
        <v>51.3</v>
      </c>
      <c r="AD55" s="96">
        <f>X55-Y55</f>
        <v>194.45</v>
      </c>
      <c r="AE55" s="85">
        <v>50</v>
      </c>
      <c r="AF55" s="96">
        <f>AD55-AE55</f>
        <v>144.44999999999999</v>
      </c>
      <c r="AG55" s="49"/>
      <c r="AH55" s="98">
        <f>(SUM(Y55:Z55)/(1+10/100))*(10/100)</f>
        <v>15.781818181818181</v>
      </c>
      <c r="AI55" s="49"/>
    </row>
    <row r="56" spans="1:35" ht="12.75" x14ac:dyDescent="0.2">
      <c r="AF56" s="38">
        <v>-20</v>
      </c>
    </row>
    <row r="57" spans="1:35" ht="51" x14ac:dyDescent="0.2">
      <c r="A57" s="83" t="s">
        <v>135</v>
      </c>
      <c r="B57" s="84">
        <v>45792</v>
      </c>
      <c r="C57" s="85"/>
      <c r="D57" s="85"/>
      <c r="E57" s="85"/>
      <c r="F57" s="85"/>
      <c r="G57" s="85"/>
      <c r="H57" s="85"/>
      <c r="I57" s="85"/>
      <c r="J57" s="85"/>
      <c r="K57" s="86"/>
      <c r="L57" s="83" t="s">
        <v>136</v>
      </c>
      <c r="M57" s="84">
        <v>45792</v>
      </c>
      <c r="N57" s="85"/>
      <c r="O57" s="85"/>
      <c r="P57" s="85"/>
      <c r="Q57" s="85"/>
      <c r="R57" s="85"/>
      <c r="S57" s="85"/>
      <c r="T57" s="85"/>
      <c r="U57" s="85"/>
      <c r="V57" s="85"/>
      <c r="W57" s="87" t="s">
        <v>141</v>
      </c>
      <c r="X57" s="88" t="s">
        <v>192</v>
      </c>
      <c r="Y57" s="89" t="s">
        <v>142</v>
      </c>
      <c r="Z57" s="90" t="s">
        <v>193</v>
      </c>
      <c r="AA57" s="91" t="s">
        <v>194</v>
      </c>
      <c r="AB57" s="88" t="s">
        <v>288</v>
      </c>
      <c r="AC57" s="87" t="s">
        <v>195</v>
      </c>
      <c r="AD57" s="87" t="s">
        <v>196</v>
      </c>
      <c r="AE57" s="88" t="s">
        <v>197</v>
      </c>
      <c r="AF57" s="87" t="s">
        <v>198</v>
      </c>
      <c r="AG57" s="49"/>
      <c r="AH57" s="92"/>
      <c r="AI57" s="49"/>
    </row>
    <row r="58" spans="1:35" ht="12.75" x14ac:dyDescent="0.2">
      <c r="A58" s="87" t="s">
        <v>199</v>
      </c>
      <c r="B58" s="93">
        <v>0.05</v>
      </c>
      <c r="C58" s="93">
        <v>0.1</v>
      </c>
      <c r="D58" s="93">
        <v>0.2</v>
      </c>
      <c r="E58" s="93">
        <v>0.5</v>
      </c>
      <c r="F58" s="93">
        <v>1</v>
      </c>
      <c r="G58" s="93">
        <v>2</v>
      </c>
      <c r="H58" s="93">
        <v>5</v>
      </c>
      <c r="I58" s="93">
        <v>10</v>
      </c>
      <c r="J58" s="49"/>
      <c r="K58" s="86"/>
      <c r="L58" s="87" t="s">
        <v>199</v>
      </c>
      <c r="M58" s="93">
        <v>0.05</v>
      </c>
      <c r="N58" s="93">
        <v>0.1</v>
      </c>
      <c r="O58" s="93">
        <v>0.2</v>
      </c>
      <c r="P58" s="93">
        <v>0.5</v>
      </c>
      <c r="Q58" s="93">
        <v>1</v>
      </c>
      <c r="R58" s="93">
        <v>2</v>
      </c>
      <c r="S58" s="93">
        <v>5</v>
      </c>
      <c r="T58" s="93">
        <v>10</v>
      </c>
      <c r="U58" s="93">
        <v>20</v>
      </c>
      <c r="V58" s="93">
        <v>50</v>
      </c>
      <c r="W58" s="85"/>
      <c r="X58" s="85"/>
      <c r="Y58" s="49"/>
      <c r="Z58" s="94"/>
      <c r="AA58" s="95"/>
      <c r="AB58" s="85"/>
      <c r="AC58" s="85"/>
      <c r="AD58" s="85"/>
      <c r="AE58" s="85"/>
      <c r="AF58" s="85"/>
      <c r="AG58" s="49"/>
      <c r="AH58" s="92"/>
      <c r="AI58" s="49"/>
    </row>
    <row r="59" spans="1:35" ht="12.75" x14ac:dyDescent="0.2">
      <c r="A59" s="87" t="s">
        <v>200</v>
      </c>
      <c r="B59" s="38">
        <v>46</v>
      </c>
      <c r="C59" s="38">
        <v>45</v>
      </c>
      <c r="D59" s="49">
        <v>35</v>
      </c>
      <c r="E59" s="49">
        <v>19</v>
      </c>
      <c r="F59" s="85">
        <v>9</v>
      </c>
      <c r="G59" s="85">
        <v>5</v>
      </c>
      <c r="H59" s="85">
        <v>2</v>
      </c>
      <c r="I59" s="85"/>
      <c r="J59" s="85"/>
      <c r="K59" s="86"/>
      <c r="L59" s="87" t="s">
        <v>200</v>
      </c>
      <c r="M59" s="38">
        <v>51</v>
      </c>
      <c r="N59" s="38">
        <v>48</v>
      </c>
      <c r="O59" s="49">
        <v>34</v>
      </c>
      <c r="P59" s="49">
        <v>14</v>
      </c>
      <c r="Q59" s="85">
        <v>12</v>
      </c>
      <c r="R59" s="85">
        <v>3</v>
      </c>
      <c r="S59" s="85">
        <v>13</v>
      </c>
      <c r="T59" s="85">
        <v>2</v>
      </c>
      <c r="U59" s="85">
        <v>1</v>
      </c>
      <c r="V59" s="85">
        <v>4</v>
      </c>
      <c r="W59" s="85"/>
      <c r="X59" s="85"/>
      <c r="Y59" s="49"/>
      <c r="Z59" s="94"/>
      <c r="AA59" s="95"/>
      <c r="AB59" s="85"/>
      <c r="AC59" s="85"/>
      <c r="AD59" s="85"/>
      <c r="AE59" s="85"/>
      <c r="AF59" s="85"/>
      <c r="AG59" s="49"/>
      <c r="AH59" s="92"/>
      <c r="AI59" s="49"/>
    </row>
    <row r="60" spans="1:35" ht="12.75" x14ac:dyDescent="0.2">
      <c r="A60" s="87" t="s">
        <v>141</v>
      </c>
      <c r="B60" s="70">
        <f t="shared" ref="B60:I60" si="22">B59*B58</f>
        <v>2.3000000000000003</v>
      </c>
      <c r="C60" s="70">
        <f t="shared" si="22"/>
        <v>4.5</v>
      </c>
      <c r="D60" s="70">
        <f t="shared" si="22"/>
        <v>7</v>
      </c>
      <c r="E60" s="70">
        <f t="shared" si="22"/>
        <v>9.5</v>
      </c>
      <c r="F60" s="70">
        <f t="shared" si="22"/>
        <v>9</v>
      </c>
      <c r="G60" s="70">
        <f t="shared" si="22"/>
        <v>10</v>
      </c>
      <c r="H60" s="70">
        <f t="shared" si="22"/>
        <v>10</v>
      </c>
      <c r="I60" s="70">
        <f t="shared" si="22"/>
        <v>0</v>
      </c>
      <c r="J60" s="70">
        <f>SUM(B60:I60)</f>
        <v>52.3</v>
      </c>
      <c r="K60" s="86"/>
      <c r="L60" s="87" t="s">
        <v>141</v>
      </c>
      <c r="M60" s="70">
        <f t="shared" ref="M60:V60" si="23">M59*M58</f>
        <v>2.5500000000000003</v>
      </c>
      <c r="N60" s="70">
        <f t="shared" si="23"/>
        <v>4.8000000000000007</v>
      </c>
      <c r="O60" s="70">
        <f t="shared" si="23"/>
        <v>6.8000000000000007</v>
      </c>
      <c r="P60" s="70">
        <f t="shared" si="23"/>
        <v>7</v>
      </c>
      <c r="Q60" s="70">
        <f t="shared" si="23"/>
        <v>12</v>
      </c>
      <c r="R60" s="70">
        <f t="shared" si="23"/>
        <v>6</v>
      </c>
      <c r="S60" s="70">
        <f t="shared" si="23"/>
        <v>65</v>
      </c>
      <c r="T60" s="70">
        <f t="shared" si="23"/>
        <v>20</v>
      </c>
      <c r="U60" s="70">
        <f t="shared" si="23"/>
        <v>20</v>
      </c>
      <c r="V60" s="70">
        <f t="shared" si="23"/>
        <v>200</v>
      </c>
      <c r="W60" s="70">
        <f>SUM(M60:V60)</f>
        <v>344.15</v>
      </c>
      <c r="X60" s="96">
        <f>W60-J60</f>
        <v>291.84999999999997</v>
      </c>
      <c r="Y60" s="94">
        <v>148.19999999999999</v>
      </c>
      <c r="Z60" s="94">
        <v>41.9</v>
      </c>
      <c r="AA60" s="97">
        <f>X60+Z60</f>
        <v>333.74999999999994</v>
      </c>
      <c r="AB60" s="85">
        <v>98</v>
      </c>
      <c r="AC60" s="96">
        <f>Y60-AB60</f>
        <v>50.199999999999989</v>
      </c>
      <c r="AD60" s="96">
        <f>X60-Y60</f>
        <v>143.64999999999998</v>
      </c>
      <c r="AE60" s="85">
        <v>23.65</v>
      </c>
      <c r="AF60" s="96">
        <f>AD60-AE60</f>
        <v>119.99999999999997</v>
      </c>
      <c r="AG60" s="49"/>
      <c r="AH60" s="98">
        <f>(SUM(Y60:Z60)/(1+10/100))*(10/100)</f>
        <v>17.281818181818181</v>
      </c>
      <c r="AI60" s="49"/>
    </row>
    <row r="61" spans="1:35" ht="12.75" x14ac:dyDescent="0.2">
      <c r="AE61" s="38"/>
    </row>
    <row r="62" spans="1:35" ht="51" x14ac:dyDescent="0.2">
      <c r="A62" s="83" t="s">
        <v>135</v>
      </c>
      <c r="B62" s="84">
        <v>45793</v>
      </c>
      <c r="C62" s="85"/>
      <c r="D62" s="85"/>
      <c r="E62" s="85"/>
      <c r="F62" s="85"/>
      <c r="G62" s="85"/>
      <c r="H62" s="85"/>
      <c r="I62" s="85"/>
      <c r="J62" s="85"/>
      <c r="K62" s="86"/>
      <c r="L62" s="83" t="s">
        <v>136</v>
      </c>
      <c r="M62" s="84">
        <v>45793</v>
      </c>
      <c r="N62" s="85"/>
      <c r="O62" s="85"/>
      <c r="P62" s="85"/>
      <c r="Q62" s="85"/>
      <c r="R62" s="85"/>
      <c r="S62" s="85"/>
      <c r="T62" s="85"/>
      <c r="U62" s="85"/>
      <c r="V62" s="85"/>
      <c r="W62" s="87" t="s">
        <v>141</v>
      </c>
      <c r="X62" s="88" t="s">
        <v>192</v>
      </c>
      <c r="Y62" s="89" t="s">
        <v>142</v>
      </c>
      <c r="Z62" s="90" t="s">
        <v>193</v>
      </c>
      <c r="AA62" s="91" t="s">
        <v>194</v>
      </c>
      <c r="AB62" s="88" t="s">
        <v>288</v>
      </c>
      <c r="AC62" s="87" t="s">
        <v>195</v>
      </c>
      <c r="AD62" s="87" t="s">
        <v>196</v>
      </c>
      <c r="AE62" s="88" t="s">
        <v>197</v>
      </c>
      <c r="AF62" s="87" t="s">
        <v>198</v>
      </c>
      <c r="AG62" s="49"/>
      <c r="AH62" s="92"/>
      <c r="AI62" s="49"/>
    </row>
    <row r="63" spans="1:35" ht="12.75" x14ac:dyDescent="0.2">
      <c r="A63" s="87" t="s">
        <v>199</v>
      </c>
      <c r="B63" s="93">
        <v>0.05</v>
      </c>
      <c r="C63" s="93">
        <v>0.1</v>
      </c>
      <c r="D63" s="93">
        <v>0.2</v>
      </c>
      <c r="E63" s="93">
        <v>0.5</v>
      </c>
      <c r="F63" s="93">
        <v>1</v>
      </c>
      <c r="G63" s="93">
        <v>2</v>
      </c>
      <c r="H63" s="93">
        <v>5</v>
      </c>
      <c r="I63" s="93">
        <v>10</v>
      </c>
      <c r="J63" s="49"/>
      <c r="K63" s="86"/>
      <c r="L63" s="87" t="s">
        <v>199</v>
      </c>
      <c r="M63" s="93">
        <v>0.05</v>
      </c>
      <c r="N63" s="93">
        <v>0.1</v>
      </c>
      <c r="O63" s="93">
        <v>0.2</v>
      </c>
      <c r="P63" s="93">
        <v>0.5</v>
      </c>
      <c r="Q63" s="93">
        <v>1</v>
      </c>
      <c r="R63" s="93">
        <v>2</v>
      </c>
      <c r="S63" s="93">
        <v>5</v>
      </c>
      <c r="T63" s="93">
        <v>10</v>
      </c>
      <c r="U63" s="93">
        <v>20</v>
      </c>
      <c r="V63" s="93">
        <v>50</v>
      </c>
      <c r="W63" s="85"/>
      <c r="X63" s="85"/>
      <c r="Y63" s="49"/>
      <c r="Z63" s="94"/>
      <c r="AA63" s="95"/>
      <c r="AB63" s="85"/>
      <c r="AC63" s="85"/>
      <c r="AD63" s="85"/>
      <c r="AE63" s="85"/>
      <c r="AF63" s="85"/>
      <c r="AG63" s="49"/>
      <c r="AH63" s="92"/>
      <c r="AI63" s="49"/>
    </row>
    <row r="64" spans="1:35" ht="12.75" x14ac:dyDescent="0.2">
      <c r="A64" s="87" t="s">
        <v>200</v>
      </c>
      <c r="B64" s="38">
        <v>51</v>
      </c>
      <c r="C64" s="38">
        <v>48</v>
      </c>
      <c r="D64" s="49">
        <v>34</v>
      </c>
      <c r="E64" s="49">
        <v>14</v>
      </c>
      <c r="F64" s="85">
        <v>12</v>
      </c>
      <c r="G64" s="85">
        <v>3</v>
      </c>
      <c r="H64" s="85">
        <v>2</v>
      </c>
      <c r="I64" s="85"/>
      <c r="J64" s="85"/>
      <c r="K64" s="86"/>
      <c r="L64" s="87" t="s">
        <v>200</v>
      </c>
      <c r="M64" s="38">
        <v>59</v>
      </c>
      <c r="N64" s="38">
        <v>52</v>
      </c>
      <c r="O64" s="49">
        <v>19</v>
      </c>
      <c r="P64" s="49">
        <v>13</v>
      </c>
      <c r="Q64" s="85">
        <v>14</v>
      </c>
      <c r="R64" s="85">
        <v>10</v>
      </c>
      <c r="S64" s="85">
        <v>6</v>
      </c>
      <c r="T64" s="85">
        <v>18</v>
      </c>
      <c r="U64" s="85">
        <v>4</v>
      </c>
      <c r="V64" s="85">
        <v>4</v>
      </c>
      <c r="W64" s="85"/>
      <c r="X64" s="85"/>
      <c r="Y64" s="49"/>
      <c r="Z64" s="94"/>
      <c r="AA64" s="95"/>
      <c r="AB64" s="85"/>
      <c r="AC64" s="85"/>
      <c r="AD64" s="85"/>
      <c r="AE64" s="85"/>
      <c r="AF64" s="85"/>
      <c r="AG64" s="49"/>
      <c r="AH64" s="92"/>
      <c r="AI64" s="49"/>
    </row>
    <row r="65" spans="1:35" ht="12.75" x14ac:dyDescent="0.2">
      <c r="A65" s="87" t="s">
        <v>141</v>
      </c>
      <c r="B65" s="70">
        <f t="shared" ref="B65:I65" si="24">B64*B63</f>
        <v>2.5500000000000003</v>
      </c>
      <c r="C65" s="70">
        <f t="shared" si="24"/>
        <v>4.8000000000000007</v>
      </c>
      <c r="D65" s="70">
        <f t="shared" si="24"/>
        <v>6.8000000000000007</v>
      </c>
      <c r="E65" s="70">
        <f t="shared" si="24"/>
        <v>7</v>
      </c>
      <c r="F65" s="70">
        <f t="shared" si="24"/>
        <v>12</v>
      </c>
      <c r="G65" s="70">
        <f t="shared" si="24"/>
        <v>6</v>
      </c>
      <c r="H65" s="70">
        <f t="shared" si="24"/>
        <v>10</v>
      </c>
      <c r="I65" s="70">
        <f t="shared" si="24"/>
        <v>0</v>
      </c>
      <c r="J65" s="70">
        <f>SUM(B65:I65)</f>
        <v>49.150000000000006</v>
      </c>
      <c r="K65" s="86"/>
      <c r="L65" s="87" t="s">
        <v>141</v>
      </c>
      <c r="M65" s="70">
        <f t="shared" ref="M65:V65" si="25">M64*M63</f>
        <v>2.95</v>
      </c>
      <c r="N65" s="70">
        <f t="shared" si="25"/>
        <v>5.2</v>
      </c>
      <c r="O65" s="70">
        <f t="shared" si="25"/>
        <v>3.8000000000000003</v>
      </c>
      <c r="P65" s="70">
        <f t="shared" si="25"/>
        <v>6.5</v>
      </c>
      <c r="Q65" s="70">
        <f t="shared" si="25"/>
        <v>14</v>
      </c>
      <c r="R65" s="70">
        <f t="shared" si="25"/>
        <v>20</v>
      </c>
      <c r="S65" s="70">
        <f t="shared" si="25"/>
        <v>30</v>
      </c>
      <c r="T65" s="70">
        <f t="shared" si="25"/>
        <v>180</v>
      </c>
      <c r="U65" s="70">
        <f t="shared" si="25"/>
        <v>80</v>
      </c>
      <c r="V65" s="70">
        <f t="shared" si="25"/>
        <v>200</v>
      </c>
      <c r="W65" s="70">
        <f>SUM(M65:V65)</f>
        <v>542.45000000000005</v>
      </c>
      <c r="X65" s="96">
        <f>W65-J65</f>
        <v>493.30000000000007</v>
      </c>
      <c r="Y65" s="94">
        <v>161.30000000000001</v>
      </c>
      <c r="Z65" s="94">
        <v>70.2</v>
      </c>
      <c r="AA65" s="97">
        <f>X65+Z65</f>
        <v>563.50000000000011</v>
      </c>
      <c r="AB65" s="85">
        <v>130</v>
      </c>
      <c r="AC65" s="96">
        <f>Y65-AB65</f>
        <v>31.300000000000011</v>
      </c>
      <c r="AD65" s="96">
        <f>X65-Y65</f>
        <v>332.00000000000006</v>
      </c>
      <c r="AE65" s="85">
        <v>35</v>
      </c>
      <c r="AF65" s="96">
        <f>AD65-AE65</f>
        <v>297.00000000000006</v>
      </c>
      <c r="AG65" s="49">
        <v>255</v>
      </c>
      <c r="AH65" s="98">
        <f>(SUM(Y65:Z65)/(1+10/100))*(10/100)</f>
        <v>21.045454545454547</v>
      </c>
      <c r="AI65" s="49"/>
    </row>
    <row r="67" spans="1:35" ht="51" x14ac:dyDescent="0.2">
      <c r="A67" s="83" t="s">
        <v>135</v>
      </c>
      <c r="B67" s="84">
        <v>45794</v>
      </c>
      <c r="C67" s="85"/>
      <c r="D67" s="85"/>
      <c r="E67" s="85"/>
      <c r="F67" s="85"/>
      <c r="G67" s="85"/>
      <c r="H67" s="85"/>
      <c r="I67" s="85"/>
      <c r="J67" s="85"/>
      <c r="K67" s="86"/>
      <c r="L67" s="83" t="s">
        <v>136</v>
      </c>
      <c r="M67" s="84">
        <v>45794</v>
      </c>
      <c r="N67" s="85"/>
      <c r="O67" s="85"/>
      <c r="P67" s="85"/>
      <c r="Q67" s="85"/>
      <c r="R67" s="85"/>
      <c r="S67" s="85"/>
      <c r="T67" s="85"/>
      <c r="U67" s="85"/>
      <c r="V67" s="85"/>
      <c r="W67" s="87" t="s">
        <v>141</v>
      </c>
      <c r="X67" s="88" t="s">
        <v>192</v>
      </c>
      <c r="Y67" s="89" t="s">
        <v>142</v>
      </c>
      <c r="Z67" s="90" t="s">
        <v>193</v>
      </c>
      <c r="AA67" s="91" t="s">
        <v>194</v>
      </c>
      <c r="AB67" s="88" t="s">
        <v>288</v>
      </c>
      <c r="AC67" s="87" t="s">
        <v>195</v>
      </c>
      <c r="AD67" s="87" t="s">
        <v>196</v>
      </c>
      <c r="AE67" s="88" t="s">
        <v>197</v>
      </c>
      <c r="AF67" s="87" t="s">
        <v>198</v>
      </c>
      <c r="AG67" s="49"/>
      <c r="AH67" s="92"/>
      <c r="AI67" s="49"/>
    </row>
    <row r="68" spans="1:35" ht="12.75" x14ac:dyDescent="0.2">
      <c r="A68" s="87" t="s">
        <v>199</v>
      </c>
      <c r="B68" s="93">
        <v>0.05</v>
      </c>
      <c r="C68" s="93">
        <v>0.1</v>
      </c>
      <c r="D68" s="93">
        <v>0.2</v>
      </c>
      <c r="E68" s="93">
        <v>0.5</v>
      </c>
      <c r="F68" s="93">
        <v>1</v>
      </c>
      <c r="G68" s="93">
        <v>2</v>
      </c>
      <c r="H68" s="93">
        <v>5</v>
      </c>
      <c r="I68" s="93">
        <v>10</v>
      </c>
      <c r="J68" s="49"/>
      <c r="K68" s="86"/>
      <c r="L68" s="87" t="s">
        <v>199</v>
      </c>
      <c r="M68" s="93">
        <v>0.05</v>
      </c>
      <c r="N68" s="93">
        <v>0.1</v>
      </c>
      <c r="O68" s="93">
        <v>0.2</v>
      </c>
      <c r="P68" s="93">
        <v>0.5</v>
      </c>
      <c r="Q68" s="93">
        <v>1</v>
      </c>
      <c r="R68" s="93">
        <v>2</v>
      </c>
      <c r="S68" s="93">
        <v>5</v>
      </c>
      <c r="T68" s="93">
        <v>10</v>
      </c>
      <c r="U68" s="93">
        <v>20</v>
      </c>
      <c r="V68" s="93">
        <v>50</v>
      </c>
      <c r="W68" s="85"/>
      <c r="X68" s="85"/>
      <c r="Y68" s="49"/>
      <c r="Z68" s="94"/>
      <c r="AA68" s="95"/>
      <c r="AB68" s="85"/>
      <c r="AC68" s="85"/>
      <c r="AD68" s="85"/>
      <c r="AE68" s="85"/>
      <c r="AF68" s="85"/>
      <c r="AG68" s="49"/>
      <c r="AH68" s="92"/>
      <c r="AI68" s="49"/>
    </row>
    <row r="69" spans="1:35" ht="12.75" x14ac:dyDescent="0.2">
      <c r="A69" s="87" t="s">
        <v>200</v>
      </c>
      <c r="B69" s="38">
        <v>59</v>
      </c>
      <c r="C69" s="38">
        <v>52</v>
      </c>
      <c r="D69" s="49">
        <v>13</v>
      </c>
      <c r="E69" s="49">
        <v>13</v>
      </c>
      <c r="F69" s="85">
        <v>10</v>
      </c>
      <c r="G69" s="85">
        <v>5</v>
      </c>
      <c r="H69" s="85">
        <v>2</v>
      </c>
      <c r="I69" s="85"/>
      <c r="J69" s="85"/>
      <c r="K69" s="86"/>
      <c r="L69" s="87" t="s">
        <v>200</v>
      </c>
      <c r="M69" s="38">
        <v>68</v>
      </c>
      <c r="N69" s="38">
        <v>59</v>
      </c>
      <c r="O69" s="49">
        <v>24</v>
      </c>
      <c r="P69" s="49">
        <v>10</v>
      </c>
      <c r="Q69" s="85">
        <v>20</v>
      </c>
      <c r="R69" s="85">
        <v>11</v>
      </c>
      <c r="S69" s="85">
        <v>8</v>
      </c>
      <c r="T69" s="85">
        <v>2</v>
      </c>
      <c r="U69" s="85">
        <v>5</v>
      </c>
      <c r="V69" s="85">
        <v>1</v>
      </c>
      <c r="W69" s="85"/>
      <c r="X69" s="85"/>
      <c r="Y69" s="49"/>
      <c r="Z69" s="94"/>
      <c r="AA69" s="95"/>
      <c r="AB69" s="85"/>
      <c r="AC69" s="85"/>
      <c r="AD69" s="85"/>
      <c r="AE69" s="85"/>
      <c r="AF69" s="85"/>
      <c r="AG69" s="49"/>
      <c r="AH69" s="92"/>
      <c r="AI69" s="49"/>
    </row>
    <row r="70" spans="1:35" ht="12.75" x14ac:dyDescent="0.2">
      <c r="A70" s="87" t="s">
        <v>141</v>
      </c>
      <c r="B70" s="70">
        <f t="shared" ref="B70:I70" si="26">B69*B68</f>
        <v>2.95</v>
      </c>
      <c r="C70" s="70">
        <f t="shared" si="26"/>
        <v>5.2</v>
      </c>
      <c r="D70" s="70">
        <f t="shared" si="26"/>
        <v>2.6</v>
      </c>
      <c r="E70" s="70">
        <f t="shared" si="26"/>
        <v>6.5</v>
      </c>
      <c r="F70" s="70">
        <f t="shared" si="26"/>
        <v>10</v>
      </c>
      <c r="G70" s="70">
        <f t="shared" si="26"/>
        <v>10</v>
      </c>
      <c r="H70" s="70">
        <f t="shared" si="26"/>
        <v>10</v>
      </c>
      <c r="I70" s="70">
        <f t="shared" si="26"/>
        <v>0</v>
      </c>
      <c r="J70" s="70">
        <f>SUM(B70:I70)</f>
        <v>47.25</v>
      </c>
      <c r="K70" s="86"/>
      <c r="L70" s="87" t="s">
        <v>141</v>
      </c>
      <c r="M70" s="70">
        <f t="shared" ref="M70:V70" si="27">M69*M68</f>
        <v>3.4000000000000004</v>
      </c>
      <c r="N70" s="70">
        <f t="shared" si="27"/>
        <v>5.9</v>
      </c>
      <c r="O70" s="70">
        <f t="shared" si="27"/>
        <v>4.8000000000000007</v>
      </c>
      <c r="P70" s="70">
        <f t="shared" si="27"/>
        <v>5</v>
      </c>
      <c r="Q70" s="70">
        <f t="shared" si="27"/>
        <v>20</v>
      </c>
      <c r="R70" s="70">
        <f t="shared" si="27"/>
        <v>22</v>
      </c>
      <c r="S70" s="70">
        <f t="shared" si="27"/>
        <v>40</v>
      </c>
      <c r="T70" s="70">
        <f t="shared" si="27"/>
        <v>20</v>
      </c>
      <c r="U70" s="70">
        <f t="shared" si="27"/>
        <v>100</v>
      </c>
      <c r="V70" s="70">
        <f t="shared" si="27"/>
        <v>50</v>
      </c>
      <c r="W70" s="70">
        <f>SUM(M70:V70)</f>
        <v>271.10000000000002</v>
      </c>
      <c r="X70" s="96">
        <f>W70-J70</f>
        <v>223.85000000000002</v>
      </c>
      <c r="Y70" s="94">
        <v>95.2</v>
      </c>
      <c r="Z70" s="94">
        <v>137.5</v>
      </c>
      <c r="AA70" s="97">
        <f>X70+Z70</f>
        <v>361.35</v>
      </c>
      <c r="AB70" s="85">
        <v>50</v>
      </c>
      <c r="AC70" s="96">
        <f>Y70-AB70</f>
        <v>45.2</v>
      </c>
      <c r="AD70" s="96">
        <f>X70-Y70</f>
        <v>128.65000000000003</v>
      </c>
      <c r="AE70" s="85">
        <v>5</v>
      </c>
      <c r="AF70" s="96">
        <f>AD70-AE70</f>
        <v>123.65000000000003</v>
      </c>
      <c r="AG70" s="49"/>
      <c r="AH70" s="98">
        <f>(SUM(Y70:Z70)/(1+10/100))*(10/100)</f>
        <v>21.154545454545453</v>
      </c>
      <c r="AI70" s="49"/>
    </row>
    <row r="72" spans="1:35" ht="51" x14ac:dyDescent="0.2">
      <c r="A72" s="83" t="s">
        <v>135</v>
      </c>
      <c r="B72" s="84">
        <v>45796</v>
      </c>
      <c r="C72" s="85"/>
      <c r="D72" s="85"/>
      <c r="E72" s="85"/>
      <c r="F72" s="85"/>
      <c r="G72" s="85"/>
      <c r="H72" s="85"/>
      <c r="I72" s="85"/>
      <c r="J72" s="85"/>
      <c r="K72" s="86"/>
      <c r="L72" s="83" t="s">
        <v>136</v>
      </c>
      <c r="M72" s="84">
        <v>45796</v>
      </c>
      <c r="N72" s="85"/>
      <c r="O72" s="85"/>
      <c r="P72" s="85"/>
      <c r="Q72" s="85"/>
      <c r="R72" s="85"/>
      <c r="S72" s="85"/>
      <c r="T72" s="85"/>
      <c r="U72" s="85"/>
      <c r="V72" s="85"/>
      <c r="W72" s="87" t="s">
        <v>141</v>
      </c>
      <c r="X72" s="88" t="s">
        <v>192</v>
      </c>
      <c r="Y72" s="89" t="s">
        <v>142</v>
      </c>
      <c r="Z72" s="90" t="s">
        <v>193</v>
      </c>
      <c r="AA72" s="91" t="s">
        <v>194</v>
      </c>
      <c r="AB72" s="88" t="s">
        <v>288</v>
      </c>
      <c r="AC72" s="87" t="s">
        <v>195</v>
      </c>
      <c r="AD72" s="87" t="s">
        <v>196</v>
      </c>
      <c r="AE72" s="88" t="s">
        <v>197</v>
      </c>
      <c r="AF72" s="87" t="s">
        <v>198</v>
      </c>
      <c r="AG72" s="49"/>
      <c r="AH72" s="92"/>
      <c r="AI72" s="49"/>
    </row>
    <row r="73" spans="1:35" ht="12.75" x14ac:dyDescent="0.2">
      <c r="A73" s="87" t="s">
        <v>199</v>
      </c>
      <c r="B73" s="93">
        <v>0.05</v>
      </c>
      <c r="C73" s="93">
        <v>0.1</v>
      </c>
      <c r="D73" s="93">
        <v>0.2</v>
      </c>
      <c r="E73" s="93">
        <v>0.5</v>
      </c>
      <c r="F73" s="93">
        <v>1</v>
      </c>
      <c r="G73" s="93">
        <v>2</v>
      </c>
      <c r="H73" s="93">
        <v>5</v>
      </c>
      <c r="I73" s="93">
        <v>10</v>
      </c>
      <c r="J73" s="49"/>
      <c r="K73" s="86"/>
      <c r="L73" s="87" t="s">
        <v>199</v>
      </c>
      <c r="M73" s="93">
        <v>0.05</v>
      </c>
      <c r="N73" s="93">
        <v>0.1</v>
      </c>
      <c r="O73" s="93">
        <v>0.2</v>
      </c>
      <c r="P73" s="93">
        <v>0.5</v>
      </c>
      <c r="Q73" s="93">
        <v>1</v>
      </c>
      <c r="R73" s="93">
        <v>2</v>
      </c>
      <c r="S73" s="93">
        <v>5</v>
      </c>
      <c r="T73" s="93">
        <v>10</v>
      </c>
      <c r="U73" s="93">
        <v>20</v>
      </c>
      <c r="V73" s="93">
        <v>50</v>
      </c>
      <c r="W73" s="85"/>
      <c r="X73" s="85"/>
      <c r="Y73" s="49"/>
      <c r="Z73" s="94"/>
      <c r="AA73" s="95"/>
      <c r="AB73" s="85"/>
      <c r="AC73" s="85"/>
      <c r="AD73" s="85"/>
      <c r="AE73" s="85"/>
      <c r="AF73" s="85"/>
      <c r="AG73" s="49"/>
      <c r="AH73" s="92"/>
      <c r="AI73" s="49"/>
    </row>
    <row r="74" spans="1:35" ht="12.75" x14ac:dyDescent="0.2">
      <c r="A74" s="87" t="s">
        <v>200</v>
      </c>
      <c r="B74" s="38">
        <v>68</v>
      </c>
      <c r="C74" s="38">
        <v>59</v>
      </c>
      <c r="D74" s="49">
        <v>24</v>
      </c>
      <c r="E74" s="49">
        <v>10</v>
      </c>
      <c r="F74" s="85">
        <v>10</v>
      </c>
      <c r="G74" s="85">
        <v>5</v>
      </c>
      <c r="H74" s="85">
        <v>2</v>
      </c>
      <c r="I74" s="85"/>
      <c r="J74" s="85"/>
      <c r="K74" s="86"/>
      <c r="L74" s="87" t="s">
        <v>200</v>
      </c>
      <c r="M74" s="38">
        <v>73</v>
      </c>
      <c r="N74" s="38">
        <v>56</v>
      </c>
      <c r="O74" s="49">
        <v>23</v>
      </c>
      <c r="P74" s="49">
        <v>21</v>
      </c>
      <c r="Q74" s="85">
        <v>16</v>
      </c>
      <c r="R74" s="85">
        <v>5</v>
      </c>
      <c r="S74" s="85">
        <v>5</v>
      </c>
      <c r="T74" s="85">
        <v>5</v>
      </c>
      <c r="U74" s="85">
        <v>5</v>
      </c>
      <c r="V74" s="85">
        <v>3</v>
      </c>
      <c r="W74" s="85"/>
      <c r="X74" s="85"/>
      <c r="Y74" s="49"/>
      <c r="Z74" s="94"/>
      <c r="AA74" s="95"/>
      <c r="AB74" s="85"/>
      <c r="AC74" s="85"/>
      <c r="AD74" s="85"/>
      <c r="AE74" s="85"/>
      <c r="AF74" s="85"/>
      <c r="AG74" s="49"/>
      <c r="AH74" s="92"/>
      <c r="AI74" s="49"/>
    </row>
    <row r="75" spans="1:35" ht="12.75" x14ac:dyDescent="0.2">
      <c r="A75" s="87" t="s">
        <v>141</v>
      </c>
      <c r="B75" s="70">
        <f t="shared" ref="B75:I75" si="28">B74*B73</f>
        <v>3.4000000000000004</v>
      </c>
      <c r="C75" s="70">
        <f t="shared" si="28"/>
        <v>5.9</v>
      </c>
      <c r="D75" s="70">
        <f t="shared" si="28"/>
        <v>4.8000000000000007</v>
      </c>
      <c r="E75" s="70">
        <f t="shared" si="28"/>
        <v>5</v>
      </c>
      <c r="F75" s="70">
        <f t="shared" si="28"/>
        <v>10</v>
      </c>
      <c r="G75" s="70">
        <f t="shared" si="28"/>
        <v>10</v>
      </c>
      <c r="H75" s="70">
        <f t="shared" si="28"/>
        <v>10</v>
      </c>
      <c r="I75" s="70">
        <f t="shared" si="28"/>
        <v>0</v>
      </c>
      <c r="J75" s="70">
        <f>SUM(B75:I75)</f>
        <v>49.1</v>
      </c>
      <c r="K75" s="86"/>
      <c r="L75" s="87" t="s">
        <v>141</v>
      </c>
      <c r="M75" s="70">
        <f t="shared" ref="M75:V75" si="29">M74*M73</f>
        <v>3.6500000000000004</v>
      </c>
      <c r="N75" s="70">
        <f t="shared" si="29"/>
        <v>5.6000000000000005</v>
      </c>
      <c r="O75" s="70">
        <f t="shared" si="29"/>
        <v>4.6000000000000005</v>
      </c>
      <c r="P75" s="70">
        <f t="shared" si="29"/>
        <v>10.5</v>
      </c>
      <c r="Q75" s="70">
        <f t="shared" si="29"/>
        <v>16</v>
      </c>
      <c r="R75" s="70">
        <f t="shared" si="29"/>
        <v>10</v>
      </c>
      <c r="S75" s="70">
        <f t="shared" si="29"/>
        <v>25</v>
      </c>
      <c r="T75" s="70">
        <f t="shared" si="29"/>
        <v>50</v>
      </c>
      <c r="U75" s="70">
        <f t="shared" si="29"/>
        <v>100</v>
      </c>
      <c r="V75" s="70">
        <f t="shared" si="29"/>
        <v>150</v>
      </c>
      <c r="W75" s="70">
        <f>SUM(M75:V75)</f>
        <v>375.35</v>
      </c>
      <c r="X75" s="96">
        <f>W75-J75</f>
        <v>326.25</v>
      </c>
      <c r="Y75" s="94">
        <v>152.69999999999999</v>
      </c>
      <c r="Z75" s="94">
        <v>152.4</v>
      </c>
      <c r="AA75" s="97">
        <f>X75+Z75</f>
        <v>478.65</v>
      </c>
      <c r="AB75" s="85">
        <v>90</v>
      </c>
      <c r="AC75" s="96">
        <f>Y75-AB75</f>
        <v>62.699999999999989</v>
      </c>
      <c r="AD75" s="96">
        <f>X75-Y75</f>
        <v>173.55</v>
      </c>
      <c r="AE75" s="85">
        <v>43</v>
      </c>
      <c r="AF75" s="96">
        <f>AD75-AE75</f>
        <v>130.55000000000001</v>
      </c>
      <c r="AG75" s="49"/>
      <c r="AH75" s="98">
        <f>(SUM(Y75:Z75)/(1+10/100))*(10/100)</f>
        <v>27.736363636363638</v>
      </c>
      <c r="AI75" s="49"/>
    </row>
    <row r="77" spans="1:35" ht="51" x14ac:dyDescent="0.2">
      <c r="A77" s="83" t="s">
        <v>135</v>
      </c>
      <c r="B77" s="84">
        <v>45797</v>
      </c>
      <c r="C77" s="85"/>
      <c r="D77" s="85"/>
      <c r="E77" s="85"/>
      <c r="F77" s="85"/>
      <c r="G77" s="85"/>
      <c r="H77" s="85"/>
      <c r="I77" s="85"/>
      <c r="J77" s="85"/>
      <c r="K77" s="86"/>
      <c r="L77" s="83" t="s">
        <v>136</v>
      </c>
      <c r="M77" s="84">
        <v>45797</v>
      </c>
      <c r="N77" s="85"/>
      <c r="O77" s="85"/>
      <c r="P77" s="85"/>
      <c r="Q77" s="85"/>
      <c r="R77" s="85"/>
      <c r="S77" s="85"/>
      <c r="T77" s="85"/>
      <c r="U77" s="85"/>
      <c r="V77" s="85"/>
      <c r="W77" s="87" t="s">
        <v>141</v>
      </c>
      <c r="X77" s="88" t="s">
        <v>192</v>
      </c>
      <c r="Y77" s="89" t="s">
        <v>142</v>
      </c>
      <c r="Z77" s="90" t="s">
        <v>193</v>
      </c>
      <c r="AA77" s="91" t="s">
        <v>194</v>
      </c>
      <c r="AB77" s="88" t="s">
        <v>288</v>
      </c>
      <c r="AC77" s="87" t="s">
        <v>195</v>
      </c>
      <c r="AD77" s="87" t="s">
        <v>196</v>
      </c>
      <c r="AE77" s="88" t="s">
        <v>197</v>
      </c>
      <c r="AF77" s="87" t="s">
        <v>198</v>
      </c>
      <c r="AG77" s="49"/>
      <c r="AH77" s="92"/>
      <c r="AI77" s="49"/>
    </row>
    <row r="78" spans="1:35" ht="12.75" x14ac:dyDescent="0.2">
      <c r="A78" s="87" t="s">
        <v>199</v>
      </c>
      <c r="B78" s="93">
        <v>0.05</v>
      </c>
      <c r="C78" s="93">
        <v>0.1</v>
      </c>
      <c r="D78" s="93">
        <v>0.2</v>
      </c>
      <c r="E78" s="93">
        <v>0.5</v>
      </c>
      <c r="F78" s="93">
        <v>1</v>
      </c>
      <c r="G78" s="93">
        <v>2</v>
      </c>
      <c r="H78" s="93">
        <v>5</v>
      </c>
      <c r="I78" s="93">
        <v>10</v>
      </c>
      <c r="J78" s="49"/>
      <c r="K78" s="86"/>
      <c r="L78" s="87" t="s">
        <v>199</v>
      </c>
      <c r="M78" s="93">
        <v>0.05</v>
      </c>
      <c r="N78" s="93">
        <v>0.1</v>
      </c>
      <c r="O78" s="93">
        <v>0.2</v>
      </c>
      <c r="P78" s="93">
        <v>0.5</v>
      </c>
      <c r="Q78" s="93">
        <v>1</v>
      </c>
      <c r="R78" s="93">
        <v>2</v>
      </c>
      <c r="S78" s="93">
        <v>5</v>
      </c>
      <c r="T78" s="93">
        <v>10</v>
      </c>
      <c r="U78" s="93">
        <v>20</v>
      </c>
      <c r="V78" s="93">
        <v>50</v>
      </c>
      <c r="W78" s="85"/>
      <c r="X78" s="85"/>
      <c r="Y78" s="49"/>
      <c r="Z78" s="94"/>
      <c r="AA78" s="95"/>
      <c r="AB78" s="85"/>
      <c r="AC78" s="85"/>
      <c r="AD78" s="85"/>
      <c r="AE78" s="85"/>
      <c r="AF78" s="85"/>
      <c r="AG78" s="49"/>
      <c r="AH78" s="92"/>
      <c r="AI78" s="49"/>
    </row>
    <row r="79" spans="1:35" ht="12.75" x14ac:dyDescent="0.2">
      <c r="A79" s="87" t="s">
        <v>200</v>
      </c>
      <c r="B79" s="38">
        <v>73</v>
      </c>
      <c r="C79" s="38">
        <v>56</v>
      </c>
      <c r="D79" s="49">
        <v>23</v>
      </c>
      <c r="E79" s="49">
        <v>10</v>
      </c>
      <c r="F79" s="85">
        <v>10</v>
      </c>
      <c r="G79" s="85">
        <v>5</v>
      </c>
      <c r="H79" s="85">
        <v>2</v>
      </c>
      <c r="I79" s="85"/>
      <c r="J79" s="85"/>
      <c r="K79" s="86"/>
      <c r="L79" s="87" t="s">
        <v>200</v>
      </c>
      <c r="M79" s="38">
        <v>74</v>
      </c>
      <c r="N79" s="38">
        <v>56</v>
      </c>
      <c r="O79" s="49">
        <v>19</v>
      </c>
      <c r="P79" s="49">
        <v>21</v>
      </c>
      <c r="Q79" s="85">
        <v>14</v>
      </c>
      <c r="R79" s="85">
        <v>10</v>
      </c>
      <c r="S79" s="85">
        <v>2</v>
      </c>
      <c r="T79" s="85">
        <v>5</v>
      </c>
      <c r="U79" s="85">
        <v>9</v>
      </c>
      <c r="V79" s="85">
        <v>1</v>
      </c>
      <c r="W79" s="85"/>
      <c r="X79" s="85"/>
      <c r="Y79" s="49"/>
      <c r="Z79" s="94"/>
      <c r="AA79" s="95"/>
      <c r="AB79" s="85"/>
      <c r="AC79" s="85"/>
      <c r="AD79" s="85"/>
      <c r="AE79" s="85"/>
      <c r="AF79" s="85"/>
      <c r="AG79" s="49"/>
      <c r="AH79" s="92"/>
      <c r="AI79" s="49"/>
    </row>
    <row r="80" spans="1:35" ht="12.75" x14ac:dyDescent="0.2">
      <c r="A80" s="87" t="s">
        <v>141</v>
      </c>
      <c r="B80" s="70">
        <f t="shared" ref="B80:I80" si="30">B79*B78</f>
        <v>3.6500000000000004</v>
      </c>
      <c r="C80" s="70">
        <f t="shared" si="30"/>
        <v>5.6000000000000005</v>
      </c>
      <c r="D80" s="70">
        <f t="shared" si="30"/>
        <v>4.6000000000000005</v>
      </c>
      <c r="E80" s="70">
        <f t="shared" si="30"/>
        <v>5</v>
      </c>
      <c r="F80" s="70">
        <f t="shared" si="30"/>
        <v>10</v>
      </c>
      <c r="G80" s="70">
        <f t="shared" si="30"/>
        <v>10</v>
      </c>
      <c r="H80" s="70">
        <f t="shared" si="30"/>
        <v>10</v>
      </c>
      <c r="I80" s="70">
        <f t="shared" si="30"/>
        <v>0</v>
      </c>
      <c r="J80" s="70">
        <f>SUM(B80:I80)</f>
        <v>48.85</v>
      </c>
      <c r="K80" s="86"/>
      <c r="L80" s="87" t="s">
        <v>141</v>
      </c>
      <c r="M80" s="70">
        <f t="shared" ref="M80:V80" si="31">M79*M78</f>
        <v>3.7</v>
      </c>
      <c r="N80" s="70">
        <f t="shared" si="31"/>
        <v>5.6000000000000005</v>
      </c>
      <c r="O80" s="70">
        <f t="shared" si="31"/>
        <v>3.8000000000000003</v>
      </c>
      <c r="P80" s="70">
        <f t="shared" si="31"/>
        <v>10.5</v>
      </c>
      <c r="Q80" s="70">
        <f t="shared" si="31"/>
        <v>14</v>
      </c>
      <c r="R80" s="70">
        <f t="shared" si="31"/>
        <v>20</v>
      </c>
      <c r="S80" s="70">
        <f t="shared" si="31"/>
        <v>10</v>
      </c>
      <c r="T80" s="70">
        <f t="shared" si="31"/>
        <v>50</v>
      </c>
      <c r="U80" s="70">
        <f t="shared" si="31"/>
        <v>180</v>
      </c>
      <c r="V80" s="70">
        <f t="shared" si="31"/>
        <v>50</v>
      </c>
      <c r="W80" s="70">
        <f>SUM(M80:V80)</f>
        <v>347.6</v>
      </c>
      <c r="X80" s="96">
        <f>W80-J80</f>
        <v>298.75</v>
      </c>
      <c r="Y80" s="94">
        <v>128.1</v>
      </c>
      <c r="Z80" s="94">
        <v>33.700000000000003</v>
      </c>
      <c r="AA80" s="97">
        <f>X80+Z80</f>
        <v>332.45</v>
      </c>
      <c r="AB80" s="85">
        <v>60</v>
      </c>
      <c r="AC80" s="96">
        <f>Y80-AB80</f>
        <v>68.099999999999994</v>
      </c>
      <c r="AD80" s="96">
        <f>X80-Y80</f>
        <v>170.65</v>
      </c>
      <c r="AE80" s="85">
        <v>10.65</v>
      </c>
      <c r="AF80" s="96">
        <f>AD80-AE80</f>
        <v>160</v>
      </c>
      <c r="AG80" s="49"/>
      <c r="AH80" s="98">
        <f>(SUM(Y80:Z80)/(1+10/100))*(10/100)</f>
        <v>14.709090909090911</v>
      </c>
      <c r="AI80" s="49"/>
    </row>
    <row r="82" spans="1:35" ht="51" x14ac:dyDescent="0.2">
      <c r="A82" s="83" t="s">
        <v>135</v>
      </c>
      <c r="B82" s="84">
        <v>45798</v>
      </c>
      <c r="C82" s="85"/>
      <c r="D82" s="85"/>
      <c r="E82" s="85"/>
      <c r="F82" s="85"/>
      <c r="G82" s="85"/>
      <c r="H82" s="85"/>
      <c r="I82" s="85"/>
      <c r="J82" s="85"/>
      <c r="K82" s="86"/>
      <c r="L82" s="83" t="s">
        <v>136</v>
      </c>
      <c r="M82" s="84">
        <v>45798</v>
      </c>
      <c r="N82" s="85"/>
      <c r="O82" s="85"/>
      <c r="P82" s="85"/>
      <c r="Q82" s="85"/>
      <c r="R82" s="85"/>
      <c r="S82" s="85"/>
      <c r="T82" s="85"/>
      <c r="U82" s="85"/>
      <c r="V82" s="85"/>
      <c r="W82" s="87" t="s">
        <v>141</v>
      </c>
      <c r="X82" s="88" t="s">
        <v>192</v>
      </c>
      <c r="Y82" s="89" t="s">
        <v>142</v>
      </c>
      <c r="Z82" s="90" t="s">
        <v>193</v>
      </c>
      <c r="AA82" s="91" t="s">
        <v>194</v>
      </c>
      <c r="AB82" s="88" t="s">
        <v>288</v>
      </c>
      <c r="AC82" s="87" t="s">
        <v>195</v>
      </c>
      <c r="AD82" s="87" t="s">
        <v>196</v>
      </c>
      <c r="AE82" s="88" t="s">
        <v>197</v>
      </c>
      <c r="AF82" s="87" t="s">
        <v>198</v>
      </c>
      <c r="AG82" s="49"/>
      <c r="AH82" s="92"/>
      <c r="AI82" s="49"/>
    </row>
    <row r="83" spans="1:35" ht="12.75" x14ac:dyDescent="0.2">
      <c r="A83" s="87" t="s">
        <v>199</v>
      </c>
      <c r="B83" s="93">
        <v>0.05</v>
      </c>
      <c r="C83" s="93">
        <v>0.1</v>
      </c>
      <c r="D83" s="93">
        <v>0.2</v>
      </c>
      <c r="E83" s="93">
        <v>0.5</v>
      </c>
      <c r="F83" s="93">
        <v>1</v>
      </c>
      <c r="G83" s="93">
        <v>2</v>
      </c>
      <c r="H83" s="93">
        <v>5</v>
      </c>
      <c r="I83" s="93">
        <v>10</v>
      </c>
      <c r="J83" s="49"/>
      <c r="K83" s="86"/>
      <c r="L83" s="87" t="s">
        <v>199</v>
      </c>
      <c r="M83" s="93">
        <v>0.05</v>
      </c>
      <c r="N83" s="93">
        <v>0.1</v>
      </c>
      <c r="O83" s="93">
        <v>0.2</v>
      </c>
      <c r="P83" s="93">
        <v>0.5</v>
      </c>
      <c r="Q83" s="93">
        <v>1</v>
      </c>
      <c r="R83" s="93">
        <v>2</v>
      </c>
      <c r="S83" s="93">
        <v>5</v>
      </c>
      <c r="T83" s="93">
        <v>10</v>
      </c>
      <c r="U83" s="93">
        <v>20</v>
      </c>
      <c r="V83" s="93">
        <v>50</v>
      </c>
      <c r="W83" s="85"/>
      <c r="X83" s="85"/>
      <c r="Y83" s="49"/>
      <c r="Z83" s="94"/>
      <c r="AA83" s="95"/>
      <c r="AB83" s="85"/>
      <c r="AC83" s="85"/>
      <c r="AD83" s="85"/>
      <c r="AE83" s="85"/>
      <c r="AF83" s="85"/>
      <c r="AG83" s="49"/>
      <c r="AH83" s="92"/>
      <c r="AI83" s="49"/>
    </row>
    <row r="84" spans="1:35" ht="12.75" x14ac:dyDescent="0.2">
      <c r="A84" s="87" t="s">
        <v>200</v>
      </c>
      <c r="B84" s="38">
        <v>74</v>
      </c>
      <c r="C84" s="38">
        <v>56</v>
      </c>
      <c r="D84" s="49">
        <v>19</v>
      </c>
      <c r="E84" s="49">
        <v>10</v>
      </c>
      <c r="F84" s="85">
        <v>10</v>
      </c>
      <c r="G84" s="85">
        <v>5</v>
      </c>
      <c r="H84" s="85">
        <v>2</v>
      </c>
      <c r="I84" s="85"/>
      <c r="J84" s="85"/>
      <c r="K84" s="86"/>
      <c r="L84" s="87" t="s">
        <v>200</v>
      </c>
      <c r="M84" s="38">
        <v>70</v>
      </c>
      <c r="N84" s="38">
        <v>54</v>
      </c>
      <c r="O84" s="49">
        <v>11</v>
      </c>
      <c r="P84" s="49">
        <v>10</v>
      </c>
      <c r="Q84" s="85">
        <v>11</v>
      </c>
      <c r="R84" s="85">
        <v>14</v>
      </c>
      <c r="S84" s="85">
        <v>4</v>
      </c>
      <c r="T84" s="85">
        <v>6</v>
      </c>
      <c r="U84" s="85">
        <v>9</v>
      </c>
      <c r="V84" s="85">
        <v>1</v>
      </c>
      <c r="W84" s="85"/>
      <c r="X84" s="85"/>
      <c r="Y84" s="49"/>
      <c r="Z84" s="94"/>
      <c r="AA84" s="95"/>
      <c r="AB84" s="85"/>
      <c r="AC84" s="85"/>
      <c r="AD84" s="85"/>
      <c r="AE84" s="85"/>
      <c r="AF84" s="85"/>
      <c r="AG84" s="49"/>
      <c r="AH84" s="92"/>
      <c r="AI84" s="49"/>
    </row>
    <row r="85" spans="1:35" ht="12.75" x14ac:dyDescent="0.2">
      <c r="A85" s="87" t="s">
        <v>141</v>
      </c>
      <c r="B85" s="70">
        <f t="shared" ref="B85:I85" si="32">B84*B83</f>
        <v>3.7</v>
      </c>
      <c r="C85" s="70">
        <f t="shared" si="32"/>
        <v>5.6000000000000005</v>
      </c>
      <c r="D85" s="70">
        <f t="shared" si="32"/>
        <v>3.8000000000000003</v>
      </c>
      <c r="E85" s="70">
        <f t="shared" si="32"/>
        <v>5</v>
      </c>
      <c r="F85" s="70">
        <f t="shared" si="32"/>
        <v>10</v>
      </c>
      <c r="G85" s="70">
        <f t="shared" si="32"/>
        <v>10</v>
      </c>
      <c r="H85" s="70">
        <f t="shared" si="32"/>
        <v>10</v>
      </c>
      <c r="I85" s="70">
        <f t="shared" si="32"/>
        <v>0</v>
      </c>
      <c r="J85" s="70">
        <f>SUM(B85:I85)</f>
        <v>48.1</v>
      </c>
      <c r="K85" s="86"/>
      <c r="L85" s="87" t="s">
        <v>141</v>
      </c>
      <c r="M85" s="70">
        <f t="shared" ref="M85:N85" si="33">M84*M83</f>
        <v>3.5</v>
      </c>
      <c r="N85" s="70">
        <f t="shared" si="33"/>
        <v>5.4</v>
      </c>
      <c r="O85" s="70">
        <v>2.2000000000000002</v>
      </c>
      <c r="P85" s="70">
        <f t="shared" ref="P85:V85" si="34">P84*P83</f>
        <v>5</v>
      </c>
      <c r="Q85" s="70">
        <f t="shared" si="34"/>
        <v>11</v>
      </c>
      <c r="R85" s="70">
        <f t="shared" si="34"/>
        <v>28</v>
      </c>
      <c r="S85" s="70">
        <f t="shared" si="34"/>
        <v>20</v>
      </c>
      <c r="T85" s="70">
        <f t="shared" si="34"/>
        <v>60</v>
      </c>
      <c r="U85" s="70">
        <f t="shared" si="34"/>
        <v>180</v>
      </c>
      <c r="V85" s="70">
        <f t="shared" si="34"/>
        <v>50</v>
      </c>
      <c r="W85" s="70">
        <f>SUM(M85:V85)</f>
        <v>365.1</v>
      </c>
      <c r="X85" s="96">
        <f>W85-J85</f>
        <v>317</v>
      </c>
      <c r="Y85" s="94">
        <v>174.6</v>
      </c>
      <c r="Z85" s="94">
        <v>63</v>
      </c>
      <c r="AA85" s="97">
        <f>X85+Z85</f>
        <v>380</v>
      </c>
      <c r="AB85" s="85">
        <v>70</v>
      </c>
      <c r="AC85" s="96">
        <f>Y85-AB85</f>
        <v>104.6</v>
      </c>
      <c r="AD85" s="96">
        <f>X85-Y85</f>
        <v>142.4</v>
      </c>
      <c r="AE85" s="85">
        <v>12</v>
      </c>
      <c r="AF85" s="96">
        <f>AD85-AE85</f>
        <v>130.4</v>
      </c>
      <c r="AG85" s="49"/>
      <c r="AH85" s="98">
        <f>(SUM(Y85:Z85)/(1+10/100))*(10/100)</f>
        <v>21.599999999999998</v>
      </c>
      <c r="AI85" s="49"/>
    </row>
    <row r="86" spans="1:35" ht="12.75" x14ac:dyDescent="0.2">
      <c r="AC86" s="38" t="s">
        <v>289</v>
      </c>
    </row>
    <row r="87" spans="1:35" ht="51" x14ac:dyDescent="0.2">
      <c r="A87" s="83" t="s">
        <v>135</v>
      </c>
      <c r="B87" s="84">
        <v>45799</v>
      </c>
      <c r="C87" s="85"/>
      <c r="D87" s="85"/>
      <c r="E87" s="85"/>
      <c r="F87" s="85"/>
      <c r="G87" s="85"/>
      <c r="H87" s="85"/>
      <c r="I87" s="85"/>
      <c r="J87" s="85"/>
      <c r="K87" s="86"/>
      <c r="L87" s="83" t="s">
        <v>136</v>
      </c>
      <c r="M87" s="84">
        <v>45799</v>
      </c>
      <c r="N87" s="85"/>
      <c r="O87" s="85"/>
      <c r="P87" s="85"/>
      <c r="Q87" s="85"/>
      <c r="R87" s="85"/>
      <c r="S87" s="85"/>
      <c r="T87" s="85"/>
      <c r="U87" s="85"/>
      <c r="V87" s="85"/>
      <c r="W87" s="87" t="s">
        <v>141</v>
      </c>
      <c r="X87" s="88" t="s">
        <v>192</v>
      </c>
      <c r="Y87" s="89" t="s">
        <v>142</v>
      </c>
      <c r="Z87" s="90" t="s">
        <v>193</v>
      </c>
      <c r="AA87" s="91" t="s">
        <v>194</v>
      </c>
      <c r="AB87" s="88" t="s">
        <v>288</v>
      </c>
      <c r="AC87" s="87" t="s">
        <v>195</v>
      </c>
      <c r="AD87" s="87" t="s">
        <v>196</v>
      </c>
      <c r="AE87" s="88" t="s">
        <v>197</v>
      </c>
      <c r="AF87" s="87" t="s">
        <v>198</v>
      </c>
      <c r="AG87" s="49"/>
      <c r="AH87" s="92"/>
      <c r="AI87" s="49"/>
    </row>
    <row r="88" spans="1:35" ht="12.75" x14ac:dyDescent="0.2">
      <c r="A88" s="87" t="s">
        <v>199</v>
      </c>
      <c r="B88" s="93">
        <v>0.05</v>
      </c>
      <c r="C88" s="93">
        <v>0.1</v>
      </c>
      <c r="D88" s="93">
        <v>0.2</v>
      </c>
      <c r="E88" s="93">
        <v>0.5</v>
      </c>
      <c r="F88" s="93">
        <v>1</v>
      </c>
      <c r="G88" s="93">
        <v>2</v>
      </c>
      <c r="H88" s="93">
        <v>5</v>
      </c>
      <c r="I88" s="93">
        <v>10</v>
      </c>
      <c r="J88" s="49"/>
      <c r="K88" s="86"/>
      <c r="L88" s="87" t="s">
        <v>199</v>
      </c>
      <c r="M88" s="93">
        <v>0.05</v>
      </c>
      <c r="N88" s="93">
        <v>0.1</v>
      </c>
      <c r="O88" s="93">
        <v>0.2</v>
      </c>
      <c r="P88" s="93">
        <v>0.5</v>
      </c>
      <c r="Q88" s="93">
        <v>1</v>
      </c>
      <c r="R88" s="93">
        <v>2</v>
      </c>
      <c r="S88" s="93">
        <v>5</v>
      </c>
      <c r="T88" s="93">
        <v>10</v>
      </c>
      <c r="U88" s="93">
        <v>20</v>
      </c>
      <c r="V88" s="93">
        <v>50</v>
      </c>
      <c r="W88" s="85"/>
      <c r="X88" s="85"/>
      <c r="Y88" s="49"/>
      <c r="Z88" s="94"/>
      <c r="AA88" s="95"/>
      <c r="AB88" s="85"/>
      <c r="AC88" s="85"/>
      <c r="AD88" s="85"/>
      <c r="AE88" s="85"/>
      <c r="AF88" s="85"/>
      <c r="AG88" s="49"/>
      <c r="AH88" s="92"/>
      <c r="AI88" s="49"/>
    </row>
    <row r="89" spans="1:35" ht="12.75" x14ac:dyDescent="0.2">
      <c r="A89" s="87" t="s">
        <v>200</v>
      </c>
      <c r="B89" s="38">
        <v>70</v>
      </c>
      <c r="C89" s="38">
        <v>54</v>
      </c>
      <c r="D89" s="49">
        <v>11</v>
      </c>
      <c r="E89" s="49">
        <v>10</v>
      </c>
      <c r="F89" s="85">
        <v>11</v>
      </c>
      <c r="G89" s="85">
        <v>14</v>
      </c>
      <c r="H89" s="85">
        <v>2</v>
      </c>
      <c r="I89" s="85"/>
      <c r="J89" s="85"/>
      <c r="K89" s="86"/>
      <c r="L89" s="87" t="s">
        <v>200</v>
      </c>
      <c r="M89" s="38">
        <v>70</v>
      </c>
      <c r="N89" s="38">
        <v>42</v>
      </c>
      <c r="O89" s="49">
        <v>15</v>
      </c>
      <c r="P89" s="49">
        <v>8</v>
      </c>
      <c r="Q89" s="85">
        <v>12</v>
      </c>
      <c r="R89" s="85">
        <v>7</v>
      </c>
      <c r="S89" s="85">
        <v>3</v>
      </c>
      <c r="T89" s="85">
        <v>3</v>
      </c>
      <c r="U89" s="85">
        <v>12</v>
      </c>
      <c r="V89" s="85">
        <v>1</v>
      </c>
      <c r="W89" s="85"/>
      <c r="X89" s="85"/>
      <c r="Y89" s="49"/>
      <c r="Z89" s="94"/>
      <c r="AA89" s="95"/>
      <c r="AB89" s="85"/>
      <c r="AC89" s="85"/>
      <c r="AD89" s="85"/>
      <c r="AE89" s="85"/>
      <c r="AF89" s="85"/>
      <c r="AG89" s="49"/>
      <c r="AH89" s="92"/>
      <c r="AI89" s="49"/>
    </row>
    <row r="90" spans="1:35" ht="12.75" x14ac:dyDescent="0.2">
      <c r="A90" s="87" t="s">
        <v>141</v>
      </c>
      <c r="B90" s="70">
        <f t="shared" ref="B90:I90" si="35">B89*B88</f>
        <v>3.5</v>
      </c>
      <c r="C90" s="70">
        <f t="shared" si="35"/>
        <v>5.4</v>
      </c>
      <c r="D90" s="70">
        <f t="shared" si="35"/>
        <v>2.2000000000000002</v>
      </c>
      <c r="E90" s="70">
        <f t="shared" si="35"/>
        <v>5</v>
      </c>
      <c r="F90" s="70">
        <f t="shared" si="35"/>
        <v>11</v>
      </c>
      <c r="G90" s="70">
        <f t="shared" si="35"/>
        <v>28</v>
      </c>
      <c r="H90" s="70">
        <f t="shared" si="35"/>
        <v>10</v>
      </c>
      <c r="I90" s="70">
        <f t="shared" si="35"/>
        <v>0</v>
      </c>
      <c r="J90" s="70">
        <f>SUM(B90:I90)</f>
        <v>65.099999999999994</v>
      </c>
      <c r="K90" s="86"/>
      <c r="L90" s="87" t="s">
        <v>141</v>
      </c>
      <c r="M90" s="70">
        <f t="shared" ref="M90:V90" si="36">M89*M88</f>
        <v>3.5</v>
      </c>
      <c r="N90" s="70">
        <f t="shared" si="36"/>
        <v>4.2</v>
      </c>
      <c r="O90" s="70">
        <f t="shared" si="36"/>
        <v>3</v>
      </c>
      <c r="P90" s="70">
        <f t="shared" si="36"/>
        <v>4</v>
      </c>
      <c r="Q90" s="70">
        <f t="shared" si="36"/>
        <v>12</v>
      </c>
      <c r="R90" s="70">
        <f t="shared" si="36"/>
        <v>14</v>
      </c>
      <c r="S90" s="70">
        <f t="shared" si="36"/>
        <v>15</v>
      </c>
      <c r="T90" s="70">
        <f t="shared" si="36"/>
        <v>30</v>
      </c>
      <c r="U90" s="70">
        <f t="shared" si="36"/>
        <v>240</v>
      </c>
      <c r="V90" s="70">
        <f t="shared" si="36"/>
        <v>50</v>
      </c>
      <c r="W90" s="70">
        <f>SUM(M90:V90)</f>
        <v>375.7</v>
      </c>
      <c r="X90" s="96">
        <f>W90-J90</f>
        <v>310.60000000000002</v>
      </c>
      <c r="Y90" s="94">
        <v>118.4</v>
      </c>
      <c r="Z90" s="94">
        <v>72.2</v>
      </c>
      <c r="AA90" s="97">
        <f>X90+Z90</f>
        <v>382.8</v>
      </c>
      <c r="AB90" s="85">
        <v>70</v>
      </c>
      <c r="AC90" s="96">
        <f>Y90-AB90</f>
        <v>48.400000000000006</v>
      </c>
      <c r="AD90" s="96">
        <f>X90-Y90</f>
        <v>192.20000000000002</v>
      </c>
      <c r="AE90" s="85">
        <v>2.2000000000000002</v>
      </c>
      <c r="AF90" s="96">
        <f>AD90-AE90</f>
        <v>190.00000000000003</v>
      </c>
      <c r="AG90" s="49"/>
      <c r="AH90" s="98">
        <f>(SUM(Y90:Z90)/(1+10/100))*(10/100)</f>
        <v>17.327272727272728</v>
      </c>
      <c r="AI90" s="49"/>
    </row>
    <row r="92" spans="1:35" ht="51" x14ac:dyDescent="0.2">
      <c r="A92" s="83" t="s">
        <v>135</v>
      </c>
      <c r="B92" s="84">
        <v>45800</v>
      </c>
      <c r="C92" s="85"/>
      <c r="D92" s="85"/>
      <c r="E92" s="85"/>
      <c r="F92" s="85"/>
      <c r="G92" s="85"/>
      <c r="H92" s="85"/>
      <c r="I92" s="85"/>
      <c r="J92" s="85"/>
      <c r="K92" s="86"/>
      <c r="L92" s="83" t="s">
        <v>136</v>
      </c>
      <c r="M92" s="84">
        <v>45801</v>
      </c>
      <c r="N92" s="85"/>
      <c r="O92" s="85"/>
      <c r="P92" s="85"/>
      <c r="Q92" s="85"/>
      <c r="R92" s="85"/>
      <c r="S92" s="85"/>
      <c r="T92" s="85"/>
      <c r="U92" s="85"/>
      <c r="V92" s="85"/>
      <c r="W92" s="87" t="s">
        <v>141</v>
      </c>
      <c r="X92" s="88" t="s">
        <v>192</v>
      </c>
      <c r="Y92" s="89" t="s">
        <v>142</v>
      </c>
      <c r="Z92" s="90" t="s">
        <v>193</v>
      </c>
      <c r="AA92" s="91" t="s">
        <v>194</v>
      </c>
      <c r="AB92" s="88" t="s">
        <v>288</v>
      </c>
      <c r="AC92" s="87" t="s">
        <v>195</v>
      </c>
      <c r="AD92" s="87" t="s">
        <v>196</v>
      </c>
      <c r="AE92" s="88" t="s">
        <v>197</v>
      </c>
      <c r="AF92" s="87" t="s">
        <v>198</v>
      </c>
      <c r="AG92" s="49"/>
      <c r="AH92" s="92"/>
      <c r="AI92" s="49"/>
    </row>
    <row r="93" spans="1:35" ht="12.75" x14ac:dyDescent="0.2">
      <c r="A93" s="87" t="s">
        <v>199</v>
      </c>
      <c r="B93" s="93">
        <v>0.05</v>
      </c>
      <c r="C93" s="93">
        <v>0.1</v>
      </c>
      <c r="D93" s="93">
        <v>0.2</v>
      </c>
      <c r="E93" s="93">
        <v>0.5</v>
      </c>
      <c r="F93" s="93">
        <v>1</v>
      </c>
      <c r="G93" s="93">
        <v>2</v>
      </c>
      <c r="H93" s="93">
        <v>5</v>
      </c>
      <c r="I93" s="93">
        <v>10</v>
      </c>
      <c r="J93" s="49"/>
      <c r="K93" s="86"/>
      <c r="L93" s="87" t="s">
        <v>199</v>
      </c>
      <c r="M93" s="93">
        <v>0.05</v>
      </c>
      <c r="N93" s="93">
        <v>0.1</v>
      </c>
      <c r="O93" s="93">
        <v>0.2</v>
      </c>
      <c r="P93" s="93">
        <v>0.5</v>
      </c>
      <c r="Q93" s="93">
        <v>1</v>
      </c>
      <c r="R93" s="93">
        <v>2</v>
      </c>
      <c r="S93" s="93">
        <v>5</v>
      </c>
      <c r="T93" s="93">
        <v>10</v>
      </c>
      <c r="U93" s="93">
        <v>20</v>
      </c>
      <c r="V93" s="93">
        <v>50</v>
      </c>
      <c r="W93" s="85"/>
      <c r="X93" s="85"/>
      <c r="Y93" s="49"/>
      <c r="Z93" s="94"/>
      <c r="AA93" s="95"/>
      <c r="AB93" s="85"/>
      <c r="AC93" s="85"/>
      <c r="AD93" s="85"/>
      <c r="AE93" s="85"/>
      <c r="AF93" s="85"/>
      <c r="AG93" s="49"/>
      <c r="AH93" s="92"/>
      <c r="AI93" s="49"/>
    </row>
    <row r="94" spans="1:35" ht="12.75" x14ac:dyDescent="0.2">
      <c r="A94" s="87" t="s">
        <v>200</v>
      </c>
      <c r="B94" s="38">
        <v>70</v>
      </c>
      <c r="C94" s="38">
        <v>42</v>
      </c>
      <c r="D94" s="49">
        <v>15</v>
      </c>
      <c r="E94" s="49">
        <v>8</v>
      </c>
      <c r="F94" s="85">
        <v>10</v>
      </c>
      <c r="G94" s="85">
        <v>5</v>
      </c>
      <c r="H94" s="85">
        <v>2</v>
      </c>
      <c r="I94" s="85"/>
      <c r="J94" s="85"/>
      <c r="K94" s="86"/>
      <c r="L94" s="87" t="s">
        <v>200</v>
      </c>
      <c r="M94" s="38">
        <v>78</v>
      </c>
      <c r="N94" s="38">
        <v>47</v>
      </c>
      <c r="O94" s="49">
        <v>9</v>
      </c>
      <c r="P94" s="49">
        <v>10</v>
      </c>
      <c r="Q94" s="85">
        <v>13</v>
      </c>
      <c r="R94" s="85">
        <v>6</v>
      </c>
      <c r="S94" s="85">
        <v>13</v>
      </c>
      <c r="T94" s="85">
        <v>7</v>
      </c>
      <c r="U94" s="85">
        <v>21</v>
      </c>
      <c r="V94" s="85">
        <v>5</v>
      </c>
      <c r="W94" s="85"/>
      <c r="X94" s="85"/>
      <c r="Y94" s="49"/>
      <c r="Z94" s="94"/>
      <c r="AA94" s="95"/>
      <c r="AB94" s="85"/>
      <c r="AC94" s="85"/>
      <c r="AD94" s="85"/>
      <c r="AE94" s="85"/>
      <c r="AF94" s="85"/>
      <c r="AG94" s="49"/>
      <c r="AH94" s="92"/>
      <c r="AI94" s="49"/>
    </row>
    <row r="95" spans="1:35" ht="12.75" x14ac:dyDescent="0.2">
      <c r="A95" s="87" t="s">
        <v>141</v>
      </c>
      <c r="B95" s="70">
        <f t="shared" ref="B95:I95" si="37">B94*B93</f>
        <v>3.5</v>
      </c>
      <c r="C95" s="70">
        <f t="shared" si="37"/>
        <v>4.2</v>
      </c>
      <c r="D95" s="70">
        <f t="shared" si="37"/>
        <v>3</v>
      </c>
      <c r="E95" s="70">
        <f t="shared" si="37"/>
        <v>4</v>
      </c>
      <c r="F95" s="70">
        <f t="shared" si="37"/>
        <v>10</v>
      </c>
      <c r="G95" s="70">
        <f t="shared" si="37"/>
        <v>10</v>
      </c>
      <c r="H95" s="70">
        <f t="shared" si="37"/>
        <v>10</v>
      </c>
      <c r="I95" s="70">
        <f t="shared" si="37"/>
        <v>0</v>
      </c>
      <c r="J95" s="70">
        <f>SUM(B95:I95)</f>
        <v>44.7</v>
      </c>
      <c r="K95" s="86"/>
      <c r="L95" s="87" t="s">
        <v>141</v>
      </c>
      <c r="M95" s="70">
        <f t="shared" ref="M95:V95" si="38">M94*M93</f>
        <v>3.9000000000000004</v>
      </c>
      <c r="N95" s="70">
        <f t="shared" si="38"/>
        <v>4.7</v>
      </c>
      <c r="O95" s="70">
        <f t="shared" si="38"/>
        <v>1.8</v>
      </c>
      <c r="P95" s="70">
        <f t="shared" si="38"/>
        <v>5</v>
      </c>
      <c r="Q95" s="70">
        <f t="shared" si="38"/>
        <v>13</v>
      </c>
      <c r="R95" s="70">
        <f t="shared" si="38"/>
        <v>12</v>
      </c>
      <c r="S95" s="70">
        <f t="shared" si="38"/>
        <v>65</v>
      </c>
      <c r="T95" s="70">
        <f t="shared" si="38"/>
        <v>70</v>
      </c>
      <c r="U95" s="70">
        <f t="shared" si="38"/>
        <v>420</v>
      </c>
      <c r="V95" s="70">
        <f t="shared" si="38"/>
        <v>250</v>
      </c>
      <c r="W95" s="70">
        <f>SUM(M95:V95)</f>
        <v>845.4</v>
      </c>
      <c r="X95" s="96">
        <f>W95-J95</f>
        <v>800.69999999999993</v>
      </c>
      <c r="Y95" s="94">
        <v>418.2</v>
      </c>
      <c r="Z95" s="94">
        <v>155.19999999999999</v>
      </c>
      <c r="AA95" s="97">
        <f>X95+Z95</f>
        <v>955.89999999999986</v>
      </c>
      <c r="AB95" s="85">
        <v>145</v>
      </c>
      <c r="AC95" s="96">
        <f>Y95-AB95</f>
        <v>273.2</v>
      </c>
      <c r="AD95" s="96">
        <f>X95-Y95</f>
        <v>382.49999999999994</v>
      </c>
      <c r="AE95" s="85"/>
      <c r="AF95" s="96">
        <f>AD95-AE95</f>
        <v>382.49999999999994</v>
      </c>
      <c r="AG95" s="49"/>
      <c r="AH95" s="98">
        <f>(SUM(Y95:Z95)/(1+10/100))*(10/100)</f>
        <v>52.127272727272725</v>
      </c>
      <c r="AI95" s="49"/>
    </row>
    <row r="96" spans="1:35" ht="12.75" x14ac:dyDescent="0.2">
      <c r="AC96" s="38">
        <v>-3.2</v>
      </c>
    </row>
    <row r="97" spans="1:35" ht="51" x14ac:dyDescent="0.2">
      <c r="A97" s="83" t="s">
        <v>135</v>
      </c>
      <c r="B97" s="84">
        <v>45801</v>
      </c>
      <c r="C97" s="85"/>
      <c r="D97" s="85"/>
      <c r="E97" s="85"/>
      <c r="F97" s="85"/>
      <c r="G97" s="85"/>
      <c r="H97" s="85"/>
      <c r="I97" s="85"/>
      <c r="J97" s="85"/>
      <c r="K97" s="86"/>
      <c r="L97" s="83" t="s">
        <v>136</v>
      </c>
      <c r="M97" s="84">
        <v>45801</v>
      </c>
      <c r="N97" s="85"/>
      <c r="O97" s="85"/>
      <c r="P97" s="85"/>
      <c r="Q97" s="85"/>
      <c r="R97" s="85"/>
      <c r="S97" s="85"/>
      <c r="T97" s="85"/>
      <c r="U97" s="85"/>
      <c r="V97" s="85"/>
      <c r="W97" s="87" t="s">
        <v>141</v>
      </c>
      <c r="X97" s="88" t="s">
        <v>192</v>
      </c>
      <c r="Y97" s="89" t="s">
        <v>142</v>
      </c>
      <c r="Z97" s="90" t="s">
        <v>193</v>
      </c>
      <c r="AA97" s="91" t="s">
        <v>194</v>
      </c>
      <c r="AB97" s="88" t="s">
        <v>288</v>
      </c>
      <c r="AC97" s="87" t="s">
        <v>195</v>
      </c>
      <c r="AD97" s="87" t="s">
        <v>196</v>
      </c>
      <c r="AE97" s="88" t="s">
        <v>197</v>
      </c>
      <c r="AF97" s="87" t="s">
        <v>198</v>
      </c>
      <c r="AG97" s="49"/>
      <c r="AH97" s="92"/>
      <c r="AI97" s="49"/>
    </row>
    <row r="98" spans="1:35" ht="12.75" x14ac:dyDescent="0.2">
      <c r="A98" s="87" t="s">
        <v>199</v>
      </c>
      <c r="B98" s="93">
        <v>0.05</v>
      </c>
      <c r="C98" s="93">
        <v>0.1</v>
      </c>
      <c r="D98" s="93">
        <v>0.2</v>
      </c>
      <c r="E98" s="93">
        <v>0.5</v>
      </c>
      <c r="F98" s="93">
        <v>1</v>
      </c>
      <c r="G98" s="93">
        <v>2</v>
      </c>
      <c r="H98" s="93">
        <v>5</v>
      </c>
      <c r="I98" s="93">
        <v>10</v>
      </c>
      <c r="J98" s="49"/>
      <c r="K98" s="86"/>
      <c r="L98" s="87" t="s">
        <v>199</v>
      </c>
      <c r="M98" s="93">
        <v>0.05</v>
      </c>
      <c r="N98" s="93">
        <v>0.1</v>
      </c>
      <c r="O98" s="93">
        <v>0.2</v>
      </c>
      <c r="P98" s="93">
        <v>0.5</v>
      </c>
      <c r="Q98" s="93">
        <v>1</v>
      </c>
      <c r="R98" s="93">
        <v>2</v>
      </c>
      <c r="S98" s="93">
        <v>5</v>
      </c>
      <c r="T98" s="93">
        <v>10</v>
      </c>
      <c r="U98" s="93">
        <v>20</v>
      </c>
      <c r="V98" s="93">
        <v>50</v>
      </c>
      <c r="W98" s="85"/>
      <c r="X98" s="85"/>
      <c r="Y98" s="49"/>
      <c r="Z98" s="94"/>
      <c r="AA98" s="95"/>
      <c r="AB98" s="85"/>
      <c r="AC98" s="85"/>
      <c r="AD98" s="85"/>
      <c r="AE98" s="85"/>
      <c r="AF98" s="85"/>
      <c r="AG98" s="49"/>
      <c r="AH98" s="92"/>
      <c r="AI98" s="49"/>
    </row>
    <row r="99" spans="1:35" ht="12.75" x14ac:dyDescent="0.2">
      <c r="A99" s="87" t="s">
        <v>200</v>
      </c>
      <c r="B99" s="38">
        <v>78</v>
      </c>
      <c r="C99" s="38">
        <v>47</v>
      </c>
      <c r="D99" s="49">
        <v>9</v>
      </c>
      <c r="E99" s="49">
        <v>10</v>
      </c>
      <c r="F99" s="85">
        <v>10</v>
      </c>
      <c r="G99" s="85">
        <v>5</v>
      </c>
      <c r="H99" s="85"/>
      <c r="I99" s="85"/>
      <c r="J99" s="85"/>
      <c r="K99" s="86"/>
      <c r="L99" s="87" t="s">
        <v>200</v>
      </c>
      <c r="M99" s="38">
        <v>78</v>
      </c>
      <c r="N99" s="38">
        <v>44</v>
      </c>
      <c r="O99" s="49">
        <v>15</v>
      </c>
      <c r="P99" s="49">
        <v>5</v>
      </c>
      <c r="Q99" s="85">
        <v>4</v>
      </c>
      <c r="R99" s="85">
        <v>4</v>
      </c>
      <c r="S99" s="85">
        <v>4</v>
      </c>
      <c r="T99" s="85">
        <v>3</v>
      </c>
      <c r="U99" s="85">
        <v>1</v>
      </c>
      <c r="V99" s="85">
        <v>3</v>
      </c>
      <c r="W99" s="85"/>
      <c r="X99" s="85"/>
      <c r="Y99" s="49"/>
      <c r="Z99" s="94"/>
      <c r="AA99" s="95"/>
      <c r="AB99" s="85"/>
      <c r="AC99" s="85"/>
      <c r="AD99" s="85"/>
      <c r="AE99" s="85"/>
      <c r="AF99" s="85"/>
      <c r="AG99" s="49"/>
      <c r="AH99" s="92"/>
      <c r="AI99" s="49"/>
    </row>
    <row r="100" spans="1:35" ht="12.75" x14ac:dyDescent="0.2">
      <c r="A100" s="87" t="s">
        <v>141</v>
      </c>
      <c r="B100" s="70">
        <f t="shared" ref="B100:I100" si="39">B99*B98</f>
        <v>3.9000000000000004</v>
      </c>
      <c r="C100" s="70">
        <f t="shared" si="39"/>
        <v>4.7</v>
      </c>
      <c r="D100" s="70">
        <f t="shared" si="39"/>
        <v>1.8</v>
      </c>
      <c r="E100" s="70">
        <f t="shared" si="39"/>
        <v>5</v>
      </c>
      <c r="F100" s="70">
        <f t="shared" si="39"/>
        <v>10</v>
      </c>
      <c r="G100" s="70">
        <f t="shared" si="39"/>
        <v>10</v>
      </c>
      <c r="H100" s="70">
        <f t="shared" si="39"/>
        <v>0</v>
      </c>
      <c r="I100" s="70">
        <f t="shared" si="39"/>
        <v>0</v>
      </c>
      <c r="J100" s="70">
        <f>SUM(B100:I100)</f>
        <v>35.400000000000006</v>
      </c>
      <c r="K100" s="86"/>
      <c r="L100" s="87" t="s">
        <v>141</v>
      </c>
      <c r="M100" s="70">
        <f t="shared" ref="M100:V100" si="40">M99*M98</f>
        <v>3.9000000000000004</v>
      </c>
      <c r="N100" s="70">
        <f t="shared" si="40"/>
        <v>4.4000000000000004</v>
      </c>
      <c r="O100" s="70">
        <f t="shared" si="40"/>
        <v>3</v>
      </c>
      <c r="P100" s="70">
        <f t="shared" si="40"/>
        <v>2.5</v>
      </c>
      <c r="Q100" s="70">
        <f t="shared" si="40"/>
        <v>4</v>
      </c>
      <c r="R100" s="70">
        <f t="shared" si="40"/>
        <v>8</v>
      </c>
      <c r="S100" s="70">
        <f t="shared" si="40"/>
        <v>20</v>
      </c>
      <c r="T100" s="70">
        <f t="shared" si="40"/>
        <v>30</v>
      </c>
      <c r="U100" s="70">
        <f t="shared" si="40"/>
        <v>20</v>
      </c>
      <c r="V100" s="70">
        <f t="shared" si="40"/>
        <v>150</v>
      </c>
      <c r="W100" s="70">
        <f>SUM(M100:V100)</f>
        <v>245.8</v>
      </c>
      <c r="X100" s="96">
        <f>W100-J100</f>
        <v>210.4</v>
      </c>
      <c r="Y100" s="94">
        <v>95.5</v>
      </c>
      <c r="Z100" s="94">
        <v>37.799999999999997</v>
      </c>
      <c r="AA100" s="97">
        <f>X100+Z100</f>
        <v>248.2</v>
      </c>
      <c r="AB100" s="85">
        <v>95</v>
      </c>
      <c r="AC100" s="96">
        <f>Y100-AB100</f>
        <v>0.5</v>
      </c>
      <c r="AD100" s="96">
        <f>X100-Y100</f>
        <v>114.9</v>
      </c>
      <c r="AE100" s="85">
        <v>20</v>
      </c>
      <c r="AF100" s="96">
        <f>AD100-AE100</f>
        <v>94.9</v>
      </c>
      <c r="AG100" s="49"/>
      <c r="AH100" s="98">
        <f>(SUM(Y100:Z100)/(1+10/100))*(10/100)</f>
        <v>12.118181818181819</v>
      </c>
      <c r="AI100" s="49"/>
    </row>
    <row r="102" spans="1:35" ht="51" x14ac:dyDescent="0.2">
      <c r="A102" s="83" t="s">
        <v>135</v>
      </c>
      <c r="B102" s="84">
        <v>45803</v>
      </c>
      <c r="C102" s="85"/>
      <c r="D102" s="85"/>
      <c r="E102" s="85"/>
      <c r="F102" s="85"/>
      <c r="G102" s="85"/>
      <c r="H102" s="85"/>
      <c r="I102" s="85"/>
      <c r="J102" s="85"/>
      <c r="K102" s="86"/>
      <c r="L102" s="83" t="s">
        <v>136</v>
      </c>
      <c r="M102" s="84">
        <v>45803</v>
      </c>
      <c r="N102" s="85"/>
      <c r="O102" s="85"/>
      <c r="P102" s="85"/>
      <c r="Q102" s="85"/>
      <c r="R102" s="85"/>
      <c r="S102" s="85"/>
      <c r="T102" s="85"/>
      <c r="U102" s="85"/>
      <c r="V102" s="85"/>
      <c r="W102" s="87" t="s">
        <v>141</v>
      </c>
      <c r="X102" s="88" t="s">
        <v>192</v>
      </c>
      <c r="Y102" s="89" t="s">
        <v>142</v>
      </c>
      <c r="Z102" s="90" t="s">
        <v>193</v>
      </c>
      <c r="AA102" s="91" t="s">
        <v>194</v>
      </c>
      <c r="AB102" s="88" t="s">
        <v>288</v>
      </c>
      <c r="AC102" s="87" t="s">
        <v>195</v>
      </c>
      <c r="AD102" s="87" t="s">
        <v>196</v>
      </c>
      <c r="AE102" s="88" t="s">
        <v>197</v>
      </c>
      <c r="AF102" s="87" t="s">
        <v>198</v>
      </c>
      <c r="AG102" s="49"/>
      <c r="AH102" s="92"/>
      <c r="AI102" s="49"/>
    </row>
    <row r="103" spans="1:35" ht="12.75" x14ac:dyDescent="0.2">
      <c r="A103" s="87" t="s">
        <v>199</v>
      </c>
      <c r="B103" s="93">
        <v>0.05</v>
      </c>
      <c r="C103" s="93">
        <v>0.1</v>
      </c>
      <c r="D103" s="93">
        <v>0.2</v>
      </c>
      <c r="E103" s="93">
        <v>0.5</v>
      </c>
      <c r="F103" s="93">
        <v>1</v>
      </c>
      <c r="G103" s="93">
        <v>2</v>
      </c>
      <c r="H103" s="93">
        <v>5</v>
      </c>
      <c r="I103" s="93">
        <v>10</v>
      </c>
      <c r="J103" s="49"/>
      <c r="K103" s="86"/>
      <c r="L103" s="87" t="s">
        <v>199</v>
      </c>
      <c r="M103" s="93">
        <v>0.05</v>
      </c>
      <c r="N103" s="93">
        <v>0.1</v>
      </c>
      <c r="O103" s="93">
        <v>0.2</v>
      </c>
      <c r="P103" s="93">
        <v>0.5</v>
      </c>
      <c r="Q103" s="93">
        <v>1</v>
      </c>
      <c r="R103" s="93">
        <v>2</v>
      </c>
      <c r="S103" s="93">
        <v>5</v>
      </c>
      <c r="T103" s="93">
        <v>10</v>
      </c>
      <c r="U103" s="93">
        <v>20</v>
      </c>
      <c r="V103" s="93">
        <v>50</v>
      </c>
      <c r="W103" s="85"/>
      <c r="X103" s="85"/>
      <c r="Y103" s="49"/>
      <c r="Z103" s="94"/>
      <c r="AA103" s="95"/>
      <c r="AB103" s="85"/>
      <c r="AC103" s="85"/>
      <c r="AD103" s="85"/>
      <c r="AE103" s="85"/>
      <c r="AF103" s="85"/>
      <c r="AG103" s="49"/>
      <c r="AH103" s="92"/>
      <c r="AI103" s="49"/>
    </row>
    <row r="104" spans="1:35" ht="12.75" x14ac:dyDescent="0.2">
      <c r="A104" s="87" t="s">
        <v>200</v>
      </c>
      <c r="B104" s="38">
        <v>78</v>
      </c>
      <c r="C104" s="38">
        <v>44</v>
      </c>
      <c r="D104" s="49">
        <v>15</v>
      </c>
      <c r="E104" s="49">
        <v>5</v>
      </c>
      <c r="F104" s="85">
        <v>4</v>
      </c>
      <c r="G104" s="85">
        <v>4</v>
      </c>
      <c r="H104" s="85">
        <v>2</v>
      </c>
      <c r="I104" s="85"/>
      <c r="J104" s="85"/>
      <c r="K104" s="86"/>
      <c r="L104" s="87" t="s">
        <v>200</v>
      </c>
      <c r="M104" s="38">
        <v>78</v>
      </c>
      <c r="N104" s="38">
        <v>60</v>
      </c>
      <c r="O104" s="49">
        <v>32</v>
      </c>
      <c r="P104" s="49">
        <v>10</v>
      </c>
      <c r="Q104" s="85">
        <v>1</v>
      </c>
      <c r="R104" s="85">
        <v>4</v>
      </c>
      <c r="S104" s="85">
        <v>2</v>
      </c>
      <c r="T104" s="85">
        <v>4</v>
      </c>
      <c r="U104" s="85">
        <v>2</v>
      </c>
      <c r="V104" s="85">
        <v>2</v>
      </c>
      <c r="W104" s="85"/>
      <c r="X104" s="85"/>
      <c r="Y104" s="49"/>
      <c r="Z104" s="94"/>
      <c r="AA104" s="95"/>
      <c r="AB104" s="85"/>
      <c r="AC104" s="85"/>
      <c r="AD104" s="85"/>
      <c r="AE104" s="85"/>
      <c r="AF104" s="85"/>
      <c r="AG104" s="49"/>
      <c r="AH104" s="92"/>
      <c r="AI104" s="49"/>
    </row>
    <row r="105" spans="1:35" ht="12.75" x14ac:dyDescent="0.2">
      <c r="A105" s="87" t="s">
        <v>141</v>
      </c>
      <c r="B105" s="70">
        <f t="shared" ref="B105:I105" si="41">B104*B103</f>
        <v>3.9000000000000004</v>
      </c>
      <c r="C105" s="70">
        <f t="shared" si="41"/>
        <v>4.4000000000000004</v>
      </c>
      <c r="D105" s="70">
        <f t="shared" si="41"/>
        <v>3</v>
      </c>
      <c r="E105" s="70">
        <f t="shared" si="41"/>
        <v>2.5</v>
      </c>
      <c r="F105" s="70">
        <f t="shared" si="41"/>
        <v>4</v>
      </c>
      <c r="G105" s="70">
        <f t="shared" si="41"/>
        <v>8</v>
      </c>
      <c r="H105" s="70">
        <f t="shared" si="41"/>
        <v>10</v>
      </c>
      <c r="I105" s="70">
        <f t="shared" si="41"/>
        <v>0</v>
      </c>
      <c r="J105" s="70">
        <f>SUM(B105:I105)</f>
        <v>35.799999999999997</v>
      </c>
      <c r="K105" s="86"/>
      <c r="L105" s="87" t="s">
        <v>141</v>
      </c>
      <c r="M105" s="70">
        <f t="shared" ref="M105:V105" si="42">M104*M103</f>
        <v>3.9000000000000004</v>
      </c>
      <c r="N105" s="70">
        <f t="shared" si="42"/>
        <v>6</v>
      </c>
      <c r="O105" s="70">
        <f t="shared" si="42"/>
        <v>6.4</v>
      </c>
      <c r="P105" s="70">
        <f t="shared" si="42"/>
        <v>5</v>
      </c>
      <c r="Q105" s="70">
        <f t="shared" si="42"/>
        <v>1</v>
      </c>
      <c r="R105" s="70">
        <f t="shared" si="42"/>
        <v>8</v>
      </c>
      <c r="S105" s="70">
        <f t="shared" si="42"/>
        <v>10</v>
      </c>
      <c r="T105" s="70">
        <f t="shared" si="42"/>
        <v>40</v>
      </c>
      <c r="U105" s="70">
        <f t="shared" si="42"/>
        <v>40</v>
      </c>
      <c r="V105" s="70">
        <f t="shared" si="42"/>
        <v>100</v>
      </c>
      <c r="W105" s="70">
        <f>SUM(M105:V105)</f>
        <v>220.3</v>
      </c>
      <c r="X105" s="96">
        <f>W105-J105</f>
        <v>184.5</v>
      </c>
      <c r="Y105" s="94">
        <v>66.7</v>
      </c>
      <c r="Z105" s="94">
        <v>77.7</v>
      </c>
      <c r="AA105" s="97">
        <f>X105+Z105</f>
        <v>262.2</v>
      </c>
      <c r="AB105" s="85">
        <v>60</v>
      </c>
      <c r="AC105" s="96">
        <f>Y105-AB105</f>
        <v>6.7000000000000028</v>
      </c>
      <c r="AD105" s="96">
        <f>X105-Y105</f>
        <v>117.8</v>
      </c>
      <c r="AE105" s="85">
        <v>20</v>
      </c>
      <c r="AF105" s="96">
        <f>AD105-AE105</f>
        <v>97.8</v>
      </c>
      <c r="AG105" s="49"/>
      <c r="AH105" s="98">
        <f>(SUM(Y105:Z105)/(1+10/100))*(10/100)</f>
        <v>13.127272727272729</v>
      </c>
      <c r="AI105" s="49"/>
    </row>
    <row r="107" spans="1:35" ht="51" x14ac:dyDescent="0.2">
      <c r="A107" s="83" t="s">
        <v>135</v>
      </c>
      <c r="B107" s="84">
        <v>45804</v>
      </c>
      <c r="C107" s="85"/>
      <c r="D107" s="85"/>
      <c r="E107" s="85"/>
      <c r="F107" s="85"/>
      <c r="G107" s="85"/>
      <c r="H107" s="85"/>
      <c r="I107" s="85"/>
      <c r="J107" s="85"/>
      <c r="K107" s="86"/>
      <c r="L107" s="83" t="s">
        <v>136</v>
      </c>
      <c r="M107" s="84">
        <v>45804</v>
      </c>
      <c r="N107" s="85"/>
      <c r="O107" s="85"/>
      <c r="P107" s="85"/>
      <c r="Q107" s="85"/>
      <c r="R107" s="85"/>
      <c r="S107" s="85"/>
      <c r="T107" s="85"/>
      <c r="U107" s="85"/>
      <c r="V107" s="85"/>
      <c r="W107" s="87" t="s">
        <v>141</v>
      </c>
      <c r="X107" s="88" t="s">
        <v>192</v>
      </c>
      <c r="Y107" s="89" t="s">
        <v>142</v>
      </c>
      <c r="Z107" s="90" t="s">
        <v>193</v>
      </c>
      <c r="AA107" s="91" t="s">
        <v>194</v>
      </c>
      <c r="AB107" s="88" t="s">
        <v>288</v>
      </c>
      <c r="AC107" s="87" t="s">
        <v>195</v>
      </c>
      <c r="AD107" s="87" t="s">
        <v>196</v>
      </c>
      <c r="AE107" s="88" t="s">
        <v>197</v>
      </c>
      <c r="AF107" s="87" t="s">
        <v>198</v>
      </c>
      <c r="AG107" s="49"/>
      <c r="AH107" s="92"/>
      <c r="AI107" s="49"/>
    </row>
    <row r="108" spans="1:35" ht="12.75" x14ac:dyDescent="0.2">
      <c r="A108" s="87" t="s">
        <v>199</v>
      </c>
      <c r="B108" s="93">
        <v>0.05</v>
      </c>
      <c r="C108" s="93">
        <v>0.1</v>
      </c>
      <c r="D108" s="93">
        <v>0.2</v>
      </c>
      <c r="E108" s="93">
        <v>0.5</v>
      </c>
      <c r="F108" s="93">
        <v>1</v>
      </c>
      <c r="G108" s="93">
        <v>2</v>
      </c>
      <c r="H108" s="93">
        <v>5</v>
      </c>
      <c r="I108" s="93">
        <v>10</v>
      </c>
      <c r="J108" s="49"/>
      <c r="K108" s="86"/>
      <c r="L108" s="87" t="s">
        <v>199</v>
      </c>
      <c r="M108" s="93">
        <v>0.05</v>
      </c>
      <c r="N108" s="93">
        <v>0.1</v>
      </c>
      <c r="O108" s="93">
        <v>0.2</v>
      </c>
      <c r="P108" s="93">
        <v>0.5</v>
      </c>
      <c r="Q108" s="93">
        <v>1</v>
      </c>
      <c r="R108" s="93">
        <v>2</v>
      </c>
      <c r="S108" s="93">
        <v>5</v>
      </c>
      <c r="T108" s="93">
        <v>10</v>
      </c>
      <c r="U108" s="93">
        <v>20</v>
      </c>
      <c r="V108" s="93">
        <v>50</v>
      </c>
      <c r="W108" s="85"/>
      <c r="X108" s="85"/>
      <c r="Y108" s="49"/>
      <c r="Z108" s="94"/>
      <c r="AA108" s="95"/>
      <c r="AB108" s="85"/>
      <c r="AC108" s="85"/>
      <c r="AD108" s="85"/>
      <c r="AE108" s="85"/>
      <c r="AF108" s="85"/>
      <c r="AG108" s="49"/>
      <c r="AH108" s="92"/>
      <c r="AI108" s="49"/>
    </row>
    <row r="109" spans="1:35" ht="12.75" x14ac:dyDescent="0.2">
      <c r="A109" s="87" t="s">
        <v>200</v>
      </c>
      <c r="B109" s="38">
        <v>78</v>
      </c>
      <c r="C109" s="38">
        <v>60</v>
      </c>
      <c r="D109" s="49">
        <v>32</v>
      </c>
      <c r="E109" s="49">
        <v>10</v>
      </c>
      <c r="F109" s="85">
        <v>1</v>
      </c>
      <c r="G109" s="85">
        <v>4</v>
      </c>
      <c r="H109" s="85">
        <v>2</v>
      </c>
      <c r="I109" s="85"/>
      <c r="J109" s="85"/>
      <c r="K109" s="86"/>
      <c r="L109" s="87" t="s">
        <v>200</v>
      </c>
      <c r="M109" s="38">
        <v>0</v>
      </c>
      <c r="N109" s="38">
        <v>59</v>
      </c>
      <c r="O109" s="49">
        <v>29</v>
      </c>
      <c r="P109" s="49">
        <v>3</v>
      </c>
      <c r="Q109" s="85">
        <v>7</v>
      </c>
      <c r="R109" s="85">
        <v>6</v>
      </c>
      <c r="S109" s="85">
        <v>9</v>
      </c>
      <c r="T109" s="85">
        <v>2</v>
      </c>
      <c r="U109" s="85">
        <v>10</v>
      </c>
      <c r="V109" s="85">
        <v>0</v>
      </c>
      <c r="W109" s="85"/>
      <c r="X109" s="85"/>
      <c r="Y109" s="49"/>
      <c r="Z109" s="94"/>
      <c r="AA109" s="95"/>
      <c r="AB109" s="85"/>
      <c r="AC109" s="85"/>
      <c r="AD109" s="85"/>
      <c r="AE109" s="85"/>
      <c r="AF109" s="85"/>
      <c r="AG109" s="49"/>
      <c r="AH109" s="92"/>
      <c r="AI109" s="49"/>
    </row>
    <row r="110" spans="1:35" ht="12.75" x14ac:dyDescent="0.2">
      <c r="A110" s="87" t="s">
        <v>141</v>
      </c>
      <c r="B110" s="70">
        <f t="shared" ref="B110:I110" si="43">B109*B108</f>
        <v>3.9000000000000004</v>
      </c>
      <c r="C110" s="70">
        <f t="shared" si="43"/>
        <v>6</v>
      </c>
      <c r="D110" s="70">
        <f t="shared" si="43"/>
        <v>6.4</v>
      </c>
      <c r="E110" s="70">
        <f t="shared" si="43"/>
        <v>5</v>
      </c>
      <c r="F110" s="70">
        <f t="shared" si="43"/>
        <v>1</v>
      </c>
      <c r="G110" s="70">
        <f t="shared" si="43"/>
        <v>8</v>
      </c>
      <c r="H110" s="70">
        <f t="shared" si="43"/>
        <v>10</v>
      </c>
      <c r="I110" s="70">
        <f t="shared" si="43"/>
        <v>0</v>
      </c>
      <c r="J110" s="70">
        <f>SUM(B110:I110)</f>
        <v>40.299999999999997</v>
      </c>
      <c r="K110" s="86"/>
      <c r="L110" s="87" t="s">
        <v>141</v>
      </c>
      <c r="M110" s="70">
        <f t="shared" ref="M110:V110" si="44">M109*M108</f>
        <v>0</v>
      </c>
      <c r="N110" s="70">
        <f t="shared" si="44"/>
        <v>5.9</v>
      </c>
      <c r="O110" s="70">
        <f t="shared" si="44"/>
        <v>5.8000000000000007</v>
      </c>
      <c r="P110" s="70">
        <f t="shared" si="44"/>
        <v>1.5</v>
      </c>
      <c r="Q110" s="70">
        <f t="shared" si="44"/>
        <v>7</v>
      </c>
      <c r="R110" s="70">
        <f t="shared" si="44"/>
        <v>12</v>
      </c>
      <c r="S110" s="70">
        <f t="shared" si="44"/>
        <v>45</v>
      </c>
      <c r="T110" s="70">
        <f t="shared" si="44"/>
        <v>20</v>
      </c>
      <c r="U110" s="70">
        <f t="shared" si="44"/>
        <v>200</v>
      </c>
      <c r="V110" s="70">
        <f t="shared" si="44"/>
        <v>0</v>
      </c>
      <c r="W110" s="70">
        <f>SUM(M110:V110)</f>
        <v>297.2</v>
      </c>
      <c r="X110" s="96">
        <f>W110-J110</f>
        <v>256.89999999999998</v>
      </c>
      <c r="Y110" s="94">
        <v>109.6</v>
      </c>
      <c r="Z110" s="94">
        <v>49.9</v>
      </c>
      <c r="AA110" s="97">
        <f>X110+Z110</f>
        <v>306.79999999999995</v>
      </c>
      <c r="AB110" s="85">
        <v>70</v>
      </c>
      <c r="AC110" s="96">
        <f>Y110-AB110</f>
        <v>39.599999999999994</v>
      </c>
      <c r="AD110" s="96">
        <f>X110-Y110</f>
        <v>147.29999999999998</v>
      </c>
      <c r="AE110" s="85"/>
      <c r="AF110" s="96">
        <f>AD110-AE110</f>
        <v>147.29999999999998</v>
      </c>
      <c r="AG110" s="49"/>
      <c r="AH110" s="98">
        <f>(SUM(Y110:Z110)/(1+10/100))*(10/100)</f>
        <v>14.5</v>
      </c>
      <c r="AI110" s="49"/>
    </row>
    <row r="112" spans="1:35" ht="51" x14ac:dyDescent="0.2">
      <c r="A112" s="83" t="s">
        <v>135</v>
      </c>
      <c r="B112" s="84">
        <v>45805</v>
      </c>
      <c r="C112" s="85"/>
      <c r="D112" s="85"/>
      <c r="E112" s="85"/>
      <c r="F112" s="85"/>
      <c r="G112" s="85"/>
      <c r="H112" s="85"/>
      <c r="I112" s="85"/>
      <c r="J112" s="85"/>
      <c r="K112" s="86"/>
      <c r="L112" s="83" t="s">
        <v>136</v>
      </c>
      <c r="M112" s="84">
        <v>45805</v>
      </c>
      <c r="N112" s="85"/>
      <c r="O112" s="85"/>
      <c r="P112" s="85"/>
      <c r="Q112" s="85"/>
      <c r="R112" s="85"/>
      <c r="S112" s="85"/>
      <c r="T112" s="85"/>
      <c r="U112" s="85"/>
      <c r="V112" s="85"/>
      <c r="W112" s="87" t="s">
        <v>141</v>
      </c>
      <c r="X112" s="88" t="s">
        <v>192</v>
      </c>
      <c r="Y112" s="89" t="s">
        <v>142</v>
      </c>
      <c r="Z112" s="90" t="s">
        <v>193</v>
      </c>
      <c r="AA112" s="91" t="s">
        <v>194</v>
      </c>
      <c r="AB112" s="88" t="s">
        <v>288</v>
      </c>
      <c r="AC112" s="87" t="s">
        <v>195</v>
      </c>
      <c r="AD112" s="87" t="s">
        <v>196</v>
      </c>
      <c r="AE112" s="88" t="s">
        <v>197</v>
      </c>
      <c r="AF112" s="87" t="s">
        <v>198</v>
      </c>
      <c r="AG112" s="49"/>
      <c r="AH112" s="92"/>
      <c r="AI112" s="49"/>
    </row>
    <row r="113" spans="1:35" ht="12.75" x14ac:dyDescent="0.2">
      <c r="A113" s="87" t="s">
        <v>199</v>
      </c>
      <c r="B113" s="93">
        <v>0.05</v>
      </c>
      <c r="C113" s="93">
        <v>0.1</v>
      </c>
      <c r="D113" s="93">
        <v>0.2</v>
      </c>
      <c r="E113" s="93">
        <v>0.5</v>
      </c>
      <c r="F113" s="93">
        <v>1</v>
      </c>
      <c r="G113" s="93">
        <v>2</v>
      </c>
      <c r="H113" s="93">
        <v>5</v>
      </c>
      <c r="I113" s="93">
        <v>10</v>
      </c>
      <c r="J113" s="49"/>
      <c r="K113" s="86"/>
      <c r="L113" s="87" t="s">
        <v>199</v>
      </c>
      <c r="M113" s="93">
        <v>0.05</v>
      </c>
      <c r="N113" s="93">
        <v>0.1</v>
      </c>
      <c r="O113" s="93">
        <v>0.2</v>
      </c>
      <c r="P113" s="93">
        <v>0.5</v>
      </c>
      <c r="Q113" s="93">
        <v>1</v>
      </c>
      <c r="R113" s="93">
        <v>2</v>
      </c>
      <c r="S113" s="93">
        <v>5</v>
      </c>
      <c r="T113" s="93">
        <v>10</v>
      </c>
      <c r="U113" s="93">
        <v>20</v>
      </c>
      <c r="V113" s="93">
        <v>50</v>
      </c>
      <c r="W113" s="85"/>
      <c r="X113" s="85"/>
      <c r="Y113" s="49"/>
      <c r="Z113" s="94"/>
      <c r="AA113" s="95"/>
      <c r="AB113" s="85"/>
      <c r="AC113" s="85"/>
      <c r="AD113" s="85"/>
      <c r="AE113" s="85"/>
      <c r="AF113" s="85"/>
      <c r="AG113" s="49"/>
      <c r="AH113" s="92"/>
      <c r="AI113" s="49"/>
    </row>
    <row r="114" spans="1:35" ht="12.75" x14ac:dyDescent="0.2">
      <c r="A114" s="87" t="s">
        <v>200</v>
      </c>
      <c r="B114" s="38">
        <v>0</v>
      </c>
      <c r="C114" s="38">
        <v>59</v>
      </c>
      <c r="D114" s="49">
        <v>29</v>
      </c>
      <c r="E114" s="49">
        <v>3</v>
      </c>
      <c r="F114" s="85">
        <v>7</v>
      </c>
      <c r="G114" s="85">
        <v>6</v>
      </c>
      <c r="H114" s="85">
        <v>2</v>
      </c>
      <c r="I114" s="85"/>
      <c r="J114" s="85"/>
      <c r="K114" s="86"/>
      <c r="L114" s="87" t="s">
        <v>200</v>
      </c>
      <c r="M114" s="38">
        <v>2</v>
      </c>
      <c r="N114" s="38">
        <v>50</v>
      </c>
      <c r="O114" s="49">
        <v>13</v>
      </c>
      <c r="P114" s="49">
        <v>4</v>
      </c>
      <c r="Q114" s="85">
        <v>8</v>
      </c>
      <c r="R114" s="85">
        <v>7</v>
      </c>
      <c r="S114" s="85">
        <v>2</v>
      </c>
      <c r="T114" s="85">
        <v>2</v>
      </c>
      <c r="U114" s="85">
        <v>5</v>
      </c>
      <c r="V114" s="85">
        <v>3</v>
      </c>
      <c r="W114" s="85"/>
      <c r="X114" s="85"/>
      <c r="Y114" s="49"/>
      <c r="Z114" s="94"/>
      <c r="AA114" s="95"/>
      <c r="AB114" s="85"/>
      <c r="AC114" s="85"/>
      <c r="AD114" s="85"/>
      <c r="AE114" s="85"/>
      <c r="AF114" s="85"/>
      <c r="AG114" s="49"/>
      <c r="AH114" s="92"/>
      <c r="AI114" s="49"/>
    </row>
    <row r="115" spans="1:35" ht="12.75" x14ac:dyDescent="0.2">
      <c r="A115" s="87" t="s">
        <v>141</v>
      </c>
      <c r="B115" s="70">
        <f t="shared" ref="B115:I115" si="45">B114*B113</f>
        <v>0</v>
      </c>
      <c r="C115" s="70">
        <f t="shared" si="45"/>
        <v>5.9</v>
      </c>
      <c r="D115" s="70">
        <f t="shared" si="45"/>
        <v>5.8000000000000007</v>
      </c>
      <c r="E115" s="70">
        <f t="shared" si="45"/>
        <v>1.5</v>
      </c>
      <c r="F115" s="70">
        <f t="shared" si="45"/>
        <v>7</v>
      </c>
      <c r="G115" s="70">
        <f t="shared" si="45"/>
        <v>12</v>
      </c>
      <c r="H115" s="70">
        <f t="shared" si="45"/>
        <v>10</v>
      </c>
      <c r="I115" s="70">
        <f t="shared" si="45"/>
        <v>0</v>
      </c>
      <c r="J115" s="70">
        <f>SUM(B115:I115)</f>
        <v>42.2</v>
      </c>
      <c r="K115" s="86"/>
      <c r="L115" s="87" t="s">
        <v>141</v>
      </c>
      <c r="M115" s="70">
        <f t="shared" ref="M115:V115" si="46">M114*M113</f>
        <v>0.1</v>
      </c>
      <c r="N115" s="70">
        <f t="shared" si="46"/>
        <v>5</v>
      </c>
      <c r="O115" s="70">
        <f t="shared" si="46"/>
        <v>2.6</v>
      </c>
      <c r="P115" s="70">
        <f t="shared" si="46"/>
        <v>2</v>
      </c>
      <c r="Q115" s="70">
        <f t="shared" si="46"/>
        <v>8</v>
      </c>
      <c r="R115" s="70">
        <f t="shared" si="46"/>
        <v>14</v>
      </c>
      <c r="S115" s="70">
        <f t="shared" si="46"/>
        <v>10</v>
      </c>
      <c r="T115" s="70">
        <f t="shared" si="46"/>
        <v>20</v>
      </c>
      <c r="U115" s="70">
        <f t="shared" si="46"/>
        <v>100</v>
      </c>
      <c r="V115" s="70">
        <f t="shared" si="46"/>
        <v>150</v>
      </c>
      <c r="W115" s="70">
        <f>SUM(M115:V115)</f>
        <v>311.7</v>
      </c>
      <c r="X115" s="96">
        <f>W115-J115</f>
        <v>269.5</v>
      </c>
      <c r="Y115" s="94">
        <v>76.400000000000006</v>
      </c>
      <c r="Z115" s="94">
        <v>53</v>
      </c>
      <c r="AA115" s="97">
        <f>X115+Z115</f>
        <v>322.5</v>
      </c>
      <c r="AB115" s="85">
        <v>50</v>
      </c>
      <c r="AC115" s="96">
        <f>Y115-AB115</f>
        <v>26.400000000000006</v>
      </c>
      <c r="AD115" s="96">
        <f>X115-Y115</f>
        <v>193.1</v>
      </c>
      <c r="AE115" s="85">
        <v>33</v>
      </c>
      <c r="AF115" s="96">
        <f>AD115-AE115</f>
        <v>160.1</v>
      </c>
      <c r="AG115" s="49"/>
      <c r="AH115" s="98">
        <f>(SUM(Y115:Z115)/(1+10/100))*(10/100)</f>
        <v>11.763636363636364</v>
      </c>
      <c r="AI115" s="49"/>
    </row>
    <row r="117" spans="1:35" ht="51" x14ac:dyDescent="0.2">
      <c r="A117" s="83" t="s">
        <v>135</v>
      </c>
      <c r="B117" s="84">
        <v>45806</v>
      </c>
      <c r="C117" s="85"/>
      <c r="D117" s="85"/>
      <c r="E117" s="85"/>
      <c r="F117" s="85"/>
      <c r="G117" s="85"/>
      <c r="H117" s="85"/>
      <c r="I117" s="85"/>
      <c r="J117" s="85"/>
      <c r="K117" s="86"/>
      <c r="L117" s="83" t="s">
        <v>136</v>
      </c>
      <c r="M117" s="84">
        <v>45806</v>
      </c>
      <c r="N117" s="85"/>
      <c r="O117" s="85"/>
      <c r="P117" s="85"/>
      <c r="Q117" s="85"/>
      <c r="R117" s="85"/>
      <c r="S117" s="85"/>
      <c r="T117" s="85"/>
      <c r="U117" s="85"/>
      <c r="V117" s="85"/>
      <c r="W117" s="87" t="s">
        <v>141</v>
      </c>
      <c r="X117" s="88" t="s">
        <v>192</v>
      </c>
      <c r="Y117" s="89" t="s">
        <v>142</v>
      </c>
      <c r="Z117" s="90" t="s">
        <v>193</v>
      </c>
      <c r="AA117" s="91" t="s">
        <v>194</v>
      </c>
      <c r="AB117" s="88" t="s">
        <v>288</v>
      </c>
      <c r="AC117" s="87" t="s">
        <v>195</v>
      </c>
      <c r="AD117" s="87" t="s">
        <v>196</v>
      </c>
      <c r="AE117" s="88" t="s">
        <v>197</v>
      </c>
      <c r="AF117" s="87" t="s">
        <v>198</v>
      </c>
      <c r="AG117" s="49"/>
      <c r="AH117" s="92"/>
      <c r="AI117" s="49"/>
    </row>
    <row r="118" spans="1:35" ht="12.75" x14ac:dyDescent="0.2">
      <c r="A118" s="87" t="s">
        <v>199</v>
      </c>
      <c r="B118" s="93">
        <v>0.05</v>
      </c>
      <c r="C118" s="93">
        <v>0.1</v>
      </c>
      <c r="D118" s="93">
        <v>0.2</v>
      </c>
      <c r="E118" s="93">
        <v>0.5</v>
      </c>
      <c r="F118" s="93">
        <v>1</v>
      </c>
      <c r="G118" s="93">
        <v>2</v>
      </c>
      <c r="H118" s="93">
        <v>5</v>
      </c>
      <c r="I118" s="93">
        <v>10</v>
      </c>
      <c r="J118" s="49"/>
      <c r="K118" s="86"/>
      <c r="L118" s="87" t="s">
        <v>199</v>
      </c>
      <c r="M118" s="93">
        <v>0.05</v>
      </c>
      <c r="N118" s="93">
        <v>0.1</v>
      </c>
      <c r="O118" s="93">
        <v>0.2</v>
      </c>
      <c r="P118" s="93">
        <v>0.5</v>
      </c>
      <c r="Q118" s="93">
        <v>1</v>
      </c>
      <c r="R118" s="93">
        <v>2</v>
      </c>
      <c r="S118" s="93">
        <v>5</v>
      </c>
      <c r="T118" s="93">
        <v>10</v>
      </c>
      <c r="U118" s="93">
        <v>20</v>
      </c>
      <c r="V118" s="93">
        <v>50</v>
      </c>
      <c r="W118" s="85"/>
      <c r="X118" s="85"/>
      <c r="Y118" s="49"/>
      <c r="Z118" s="94"/>
      <c r="AA118" s="95"/>
      <c r="AB118" s="85"/>
      <c r="AC118" s="85"/>
      <c r="AD118" s="85"/>
      <c r="AE118" s="85"/>
      <c r="AF118" s="85"/>
      <c r="AG118" s="49"/>
      <c r="AH118" s="92"/>
      <c r="AI118" s="49"/>
    </row>
    <row r="119" spans="1:35" ht="12.75" x14ac:dyDescent="0.2">
      <c r="A119" s="87" t="s">
        <v>200</v>
      </c>
      <c r="B119" s="38">
        <v>2</v>
      </c>
      <c r="C119" s="38">
        <v>50</v>
      </c>
      <c r="D119" s="49">
        <v>13</v>
      </c>
      <c r="E119" s="49">
        <v>4</v>
      </c>
      <c r="F119" s="85">
        <v>8</v>
      </c>
      <c r="G119" s="85">
        <v>7</v>
      </c>
      <c r="H119" s="85">
        <v>2</v>
      </c>
      <c r="I119" s="85"/>
      <c r="J119" s="85"/>
      <c r="K119" s="86"/>
      <c r="L119" s="87" t="s">
        <v>200</v>
      </c>
      <c r="M119" s="38">
        <v>7</v>
      </c>
      <c r="N119" s="38">
        <v>36</v>
      </c>
      <c r="O119" s="49">
        <v>19</v>
      </c>
      <c r="P119" s="49">
        <v>1</v>
      </c>
      <c r="Q119" s="85"/>
      <c r="R119" s="85">
        <v>9</v>
      </c>
      <c r="S119" s="85">
        <v>7</v>
      </c>
      <c r="T119" s="85">
        <v>9</v>
      </c>
      <c r="U119" s="85">
        <v>10</v>
      </c>
      <c r="V119" s="85"/>
      <c r="W119" s="85"/>
      <c r="X119" s="85"/>
      <c r="Y119" s="49"/>
      <c r="Z119" s="94"/>
      <c r="AA119" s="95"/>
      <c r="AB119" s="85"/>
      <c r="AC119" s="85"/>
      <c r="AD119" s="85"/>
      <c r="AE119" s="85"/>
      <c r="AF119" s="85"/>
      <c r="AG119" s="49"/>
      <c r="AH119" s="92"/>
      <c r="AI119" s="49"/>
    </row>
    <row r="120" spans="1:35" ht="12.75" x14ac:dyDescent="0.2">
      <c r="A120" s="87" t="s">
        <v>141</v>
      </c>
      <c r="B120" s="70">
        <f t="shared" ref="B120:I120" si="47">B119*B118</f>
        <v>0.1</v>
      </c>
      <c r="C120" s="70">
        <f t="shared" si="47"/>
        <v>5</v>
      </c>
      <c r="D120" s="70">
        <f t="shared" si="47"/>
        <v>2.6</v>
      </c>
      <c r="E120" s="70">
        <f t="shared" si="47"/>
        <v>2</v>
      </c>
      <c r="F120" s="70">
        <f t="shared" si="47"/>
        <v>8</v>
      </c>
      <c r="G120" s="70">
        <f t="shared" si="47"/>
        <v>14</v>
      </c>
      <c r="H120" s="70">
        <f t="shared" si="47"/>
        <v>10</v>
      </c>
      <c r="I120" s="70">
        <f t="shared" si="47"/>
        <v>0</v>
      </c>
      <c r="J120" s="70">
        <f>SUM(B120:I120)</f>
        <v>41.7</v>
      </c>
      <c r="K120" s="86"/>
      <c r="L120" s="87" t="s">
        <v>141</v>
      </c>
      <c r="M120" s="70">
        <f t="shared" ref="M120:V120" si="48">M119*M118</f>
        <v>0.35000000000000003</v>
      </c>
      <c r="N120" s="70">
        <f t="shared" si="48"/>
        <v>3.6</v>
      </c>
      <c r="O120" s="70">
        <f t="shared" si="48"/>
        <v>3.8000000000000003</v>
      </c>
      <c r="P120" s="70">
        <f t="shared" si="48"/>
        <v>0.5</v>
      </c>
      <c r="Q120" s="70">
        <f t="shared" si="48"/>
        <v>0</v>
      </c>
      <c r="R120" s="70">
        <f t="shared" si="48"/>
        <v>18</v>
      </c>
      <c r="S120" s="70">
        <f t="shared" si="48"/>
        <v>35</v>
      </c>
      <c r="T120" s="70">
        <f t="shared" si="48"/>
        <v>90</v>
      </c>
      <c r="U120" s="70">
        <f t="shared" si="48"/>
        <v>200</v>
      </c>
      <c r="V120" s="70">
        <f t="shared" si="48"/>
        <v>0</v>
      </c>
      <c r="W120" s="70">
        <f>SUM(M120:V120)</f>
        <v>351.25</v>
      </c>
      <c r="X120" s="96">
        <f>W120-J120</f>
        <v>309.55</v>
      </c>
      <c r="Y120" s="94">
        <v>153.5</v>
      </c>
      <c r="Z120" s="94">
        <v>43.2</v>
      </c>
      <c r="AA120" s="97">
        <f>X120+Z120</f>
        <v>352.75</v>
      </c>
      <c r="AB120" s="85">
        <v>51.5</v>
      </c>
      <c r="AC120" s="96">
        <f>Y120-AB120</f>
        <v>102</v>
      </c>
      <c r="AD120" s="96">
        <f>X120-Y120</f>
        <v>156.05000000000001</v>
      </c>
      <c r="AE120" s="85">
        <v>16</v>
      </c>
      <c r="AF120" s="96">
        <f>AD120-AE120</f>
        <v>140.05000000000001</v>
      </c>
      <c r="AG120" s="49"/>
      <c r="AH120" s="98">
        <f>(SUM(Y120:Z120)/(1+10/100))*(10/100)</f>
        <v>17.881818181818179</v>
      </c>
      <c r="AI120" s="49"/>
    </row>
    <row r="122" spans="1:35" ht="51" x14ac:dyDescent="0.2">
      <c r="A122" s="83" t="s">
        <v>135</v>
      </c>
      <c r="B122" s="84">
        <v>45807</v>
      </c>
      <c r="C122" s="85"/>
      <c r="D122" s="85"/>
      <c r="E122" s="85"/>
      <c r="F122" s="85"/>
      <c r="G122" s="85"/>
      <c r="H122" s="85"/>
      <c r="I122" s="85"/>
      <c r="J122" s="85"/>
      <c r="K122" s="86"/>
      <c r="L122" s="83" t="s">
        <v>136</v>
      </c>
      <c r="M122" s="84">
        <v>45807</v>
      </c>
      <c r="N122" s="85"/>
      <c r="O122" s="85"/>
      <c r="P122" s="85"/>
      <c r="Q122" s="85"/>
      <c r="R122" s="85"/>
      <c r="S122" s="85"/>
      <c r="T122" s="85"/>
      <c r="U122" s="85"/>
      <c r="V122" s="85"/>
      <c r="W122" s="87" t="s">
        <v>141</v>
      </c>
      <c r="X122" s="88" t="s">
        <v>192</v>
      </c>
      <c r="Y122" s="89" t="s">
        <v>142</v>
      </c>
      <c r="Z122" s="90" t="s">
        <v>193</v>
      </c>
      <c r="AA122" s="91" t="s">
        <v>194</v>
      </c>
      <c r="AB122" s="88" t="s">
        <v>288</v>
      </c>
      <c r="AC122" s="87" t="s">
        <v>195</v>
      </c>
      <c r="AD122" s="87" t="s">
        <v>196</v>
      </c>
      <c r="AE122" s="88" t="s">
        <v>197</v>
      </c>
      <c r="AF122" s="87" t="s">
        <v>198</v>
      </c>
      <c r="AG122" s="49"/>
      <c r="AH122" s="92"/>
      <c r="AI122" s="49"/>
    </row>
    <row r="123" spans="1:35" ht="12.75" x14ac:dyDescent="0.2">
      <c r="A123" s="87" t="s">
        <v>199</v>
      </c>
      <c r="B123" s="93">
        <v>0.05</v>
      </c>
      <c r="C123" s="93">
        <v>0.1</v>
      </c>
      <c r="D123" s="93">
        <v>0.2</v>
      </c>
      <c r="E123" s="93">
        <v>0.5</v>
      </c>
      <c r="F123" s="93">
        <v>1</v>
      </c>
      <c r="G123" s="93">
        <v>2</v>
      </c>
      <c r="H123" s="93">
        <v>5</v>
      </c>
      <c r="I123" s="93">
        <v>10</v>
      </c>
      <c r="J123" s="49"/>
      <c r="K123" s="86"/>
      <c r="L123" s="87" t="s">
        <v>199</v>
      </c>
      <c r="M123" s="93">
        <v>0.05</v>
      </c>
      <c r="N123" s="93">
        <v>0.1</v>
      </c>
      <c r="O123" s="93">
        <v>0.2</v>
      </c>
      <c r="P123" s="93">
        <v>0.5</v>
      </c>
      <c r="Q123" s="93">
        <v>1</v>
      </c>
      <c r="R123" s="93">
        <v>2</v>
      </c>
      <c r="S123" s="93">
        <v>5</v>
      </c>
      <c r="T123" s="93">
        <v>10</v>
      </c>
      <c r="U123" s="93">
        <v>20</v>
      </c>
      <c r="V123" s="93">
        <v>50</v>
      </c>
      <c r="W123" s="85"/>
      <c r="X123" s="85"/>
      <c r="Y123" s="49"/>
      <c r="Z123" s="94"/>
      <c r="AA123" s="95"/>
      <c r="AB123" s="85"/>
      <c r="AC123" s="85"/>
      <c r="AD123" s="85"/>
      <c r="AE123" s="85"/>
      <c r="AF123" s="85"/>
      <c r="AG123" s="49"/>
      <c r="AH123" s="92"/>
      <c r="AI123" s="49"/>
    </row>
    <row r="124" spans="1:35" ht="12.75" x14ac:dyDescent="0.2">
      <c r="A124" s="87" t="s">
        <v>200</v>
      </c>
      <c r="B124" s="38">
        <v>7</v>
      </c>
      <c r="C124" s="38">
        <v>36</v>
      </c>
      <c r="D124" s="49">
        <v>19</v>
      </c>
      <c r="E124" s="49">
        <v>1</v>
      </c>
      <c r="F124" s="85"/>
      <c r="G124" s="85">
        <v>6</v>
      </c>
      <c r="H124" s="85">
        <v>2</v>
      </c>
      <c r="I124" s="85"/>
      <c r="J124" s="85"/>
      <c r="K124" s="86"/>
      <c r="L124" s="87" t="s">
        <v>200</v>
      </c>
      <c r="M124" s="38">
        <v>6</v>
      </c>
      <c r="N124" s="38">
        <v>41</v>
      </c>
      <c r="O124" s="49">
        <v>13</v>
      </c>
      <c r="P124" s="49">
        <v>1</v>
      </c>
      <c r="Q124" s="85">
        <v>2</v>
      </c>
      <c r="R124" s="85">
        <v>7</v>
      </c>
      <c r="S124" s="85">
        <v>5</v>
      </c>
      <c r="T124" s="85">
        <v>10</v>
      </c>
      <c r="U124" s="85">
        <v>6</v>
      </c>
      <c r="V124" s="85">
        <v>2</v>
      </c>
      <c r="W124" s="85"/>
      <c r="X124" s="85"/>
      <c r="Y124" s="49"/>
      <c r="Z124" s="94"/>
      <c r="AA124" s="95"/>
      <c r="AB124" s="85"/>
      <c r="AC124" s="85"/>
      <c r="AD124" s="85"/>
      <c r="AE124" s="85"/>
      <c r="AF124" s="85"/>
      <c r="AG124" s="49"/>
      <c r="AH124" s="92"/>
      <c r="AI124" s="49"/>
    </row>
    <row r="125" spans="1:35" ht="12.75" x14ac:dyDescent="0.2">
      <c r="A125" s="87" t="s">
        <v>141</v>
      </c>
      <c r="B125" s="70">
        <f t="shared" ref="B125:I125" si="49">B124*B123</f>
        <v>0.35000000000000003</v>
      </c>
      <c r="C125" s="70">
        <f t="shared" si="49"/>
        <v>3.6</v>
      </c>
      <c r="D125" s="70">
        <f t="shared" si="49"/>
        <v>3.8000000000000003</v>
      </c>
      <c r="E125" s="70">
        <f t="shared" si="49"/>
        <v>0.5</v>
      </c>
      <c r="F125" s="70">
        <f t="shared" si="49"/>
        <v>0</v>
      </c>
      <c r="G125" s="70">
        <f t="shared" si="49"/>
        <v>12</v>
      </c>
      <c r="H125" s="70">
        <f t="shared" si="49"/>
        <v>10</v>
      </c>
      <c r="I125" s="70">
        <f t="shared" si="49"/>
        <v>0</v>
      </c>
      <c r="J125" s="70">
        <f>SUM(B125:I125)</f>
        <v>30.25</v>
      </c>
      <c r="K125" s="86"/>
      <c r="L125" s="87" t="s">
        <v>141</v>
      </c>
      <c r="M125" s="70">
        <f t="shared" ref="M125:V125" si="50">M124*M123</f>
        <v>0.30000000000000004</v>
      </c>
      <c r="N125" s="70">
        <f t="shared" si="50"/>
        <v>4.1000000000000005</v>
      </c>
      <c r="O125" s="70">
        <f t="shared" si="50"/>
        <v>2.6</v>
      </c>
      <c r="P125" s="70">
        <f t="shared" si="50"/>
        <v>0.5</v>
      </c>
      <c r="Q125" s="70">
        <f t="shared" si="50"/>
        <v>2</v>
      </c>
      <c r="R125" s="70">
        <f t="shared" si="50"/>
        <v>14</v>
      </c>
      <c r="S125" s="70">
        <f t="shared" si="50"/>
        <v>25</v>
      </c>
      <c r="T125" s="70">
        <f t="shared" si="50"/>
        <v>100</v>
      </c>
      <c r="U125" s="70">
        <f t="shared" si="50"/>
        <v>120</v>
      </c>
      <c r="V125" s="70">
        <f t="shared" si="50"/>
        <v>100</v>
      </c>
      <c r="W125" s="70">
        <f>SUM(M125:V125)</f>
        <v>368.5</v>
      </c>
      <c r="X125" s="96">
        <f>W125-J125</f>
        <v>338.25</v>
      </c>
      <c r="Y125" s="94">
        <v>118.8</v>
      </c>
      <c r="Z125" s="94">
        <v>38.200000000000003</v>
      </c>
      <c r="AA125" s="97">
        <f>X125+Z125</f>
        <v>376.45</v>
      </c>
      <c r="AB125" s="85">
        <v>50</v>
      </c>
      <c r="AC125" s="96">
        <f>Y125-AB125</f>
        <v>68.8</v>
      </c>
      <c r="AD125" s="96">
        <f>X125-Y125</f>
        <v>219.45</v>
      </c>
      <c r="AE125" s="85"/>
      <c r="AF125" s="96">
        <f>AD125-AE125</f>
        <v>219.45</v>
      </c>
      <c r="AG125" s="49"/>
      <c r="AH125" s="98">
        <f>(SUM(Y125:Z125)/(1+10/100))*(10/100)</f>
        <v>14.272727272727273</v>
      </c>
      <c r="AI125" s="49"/>
    </row>
    <row r="127" spans="1:35" ht="51" x14ac:dyDescent="0.2">
      <c r="A127" s="83" t="s">
        <v>135</v>
      </c>
      <c r="B127" s="84">
        <v>45808</v>
      </c>
      <c r="C127" s="85"/>
      <c r="D127" s="85"/>
      <c r="E127" s="85"/>
      <c r="F127" s="85"/>
      <c r="G127" s="85"/>
      <c r="H127" s="85"/>
      <c r="I127" s="85"/>
      <c r="J127" s="85"/>
      <c r="K127" s="86"/>
      <c r="L127" s="83" t="s">
        <v>136</v>
      </c>
      <c r="M127" s="84">
        <v>45808</v>
      </c>
      <c r="N127" s="85"/>
      <c r="O127" s="85"/>
      <c r="P127" s="85"/>
      <c r="Q127" s="85"/>
      <c r="R127" s="85"/>
      <c r="S127" s="85"/>
      <c r="T127" s="85"/>
      <c r="U127" s="85"/>
      <c r="V127" s="85"/>
      <c r="W127" s="87" t="s">
        <v>141</v>
      </c>
      <c r="X127" s="88" t="s">
        <v>192</v>
      </c>
      <c r="Y127" s="89" t="s">
        <v>142</v>
      </c>
      <c r="Z127" s="90" t="s">
        <v>193</v>
      </c>
      <c r="AA127" s="91" t="s">
        <v>194</v>
      </c>
      <c r="AB127" s="88" t="s">
        <v>288</v>
      </c>
      <c r="AC127" s="87" t="s">
        <v>195</v>
      </c>
      <c r="AD127" s="87" t="s">
        <v>196</v>
      </c>
      <c r="AE127" s="88" t="s">
        <v>197</v>
      </c>
      <c r="AF127" s="87" t="s">
        <v>198</v>
      </c>
      <c r="AG127" s="49"/>
      <c r="AH127" s="92"/>
      <c r="AI127" s="49"/>
    </row>
    <row r="128" spans="1:35" ht="12.75" x14ac:dyDescent="0.2">
      <c r="A128" s="87" t="s">
        <v>199</v>
      </c>
      <c r="B128" s="93">
        <v>0.05</v>
      </c>
      <c r="C128" s="93">
        <v>0.1</v>
      </c>
      <c r="D128" s="93">
        <v>0.2</v>
      </c>
      <c r="E128" s="93">
        <v>0.5</v>
      </c>
      <c r="F128" s="93">
        <v>1</v>
      </c>
      <c r="G128" s="93">
        <v>2</v>
      </c>
      <c r="H128" s="93">
        <v>5</v>
      </c>
      <c r="I128" s="93">
        <v>10</v>
      </c>
      <c r="J128" s="49"/>
      <c r="K128" s="86"/>
      <c r="L128" s="87" t="s">
        <v>199</v>
      </c>
      <c r="M128" s="93">
        <v>0.05</v>
      </c>
      <c r="N128" s="93">
        <v>0.1</v>
      </c>
      <c r="O128" s="93">
        <v>0.2</v>
      </c>
      <c r="P128" s="93">
        <v>0.5</v>
      </c>
      <c r="Q128" s="93">
        <v>1</v>
      </c>
      <c r="R128" s="93">
        <v>2</v>
      </c>
      <c r="S128" s="93">
        <v>5</v>
      </c>
      <c r="T128" s="93">
        <v>10</v>
      </c>
      <c r="U128" s="93">
        <v>20</v>
      </c>
      <c r="V128" s="93">
        <v>50</v>
      </c>
      <c r="W128" s="85"/>
      <c r="X128" s="85"/>
      <c r="Y128" s="49"/>
      <c r="Z128" s="94"/>
      <c r="AA128" s="95"/>
      <c r="AB128" s="85"/>
      <c r="AC128" s="85"/>
      <c r="AD128" s="85"/>
      <c r="AE128" s="85"/>
      <c r="AF128" s="85"/>
      <c r="AG128" s="49"/>
      <c r="AH128" s="92"/>
      <c r="AI128" s="49"/>
    </row>
    <row r="129" spans="1:35" ht="12.75" x14ac:dyDescent="0.2">
      <c r="A129" s="87" t="s">
        <v>200</v>
      </c>
      <c r="B129" s="38">
        <v>6</v>
      </c>
      <c r="C129" s="38">
        <v>41</v>
      </c>
      <c r="D129" s="49">
        <v>13</v>
      </c>
      <c r="E129" s="49">
        <v>1</v>
      </c>
      <c r="F129" s="85">
        <v>2</v>
      </c>
      <c r="G129" s="85">
        <v>7</v>
      </c>
      <c r="H129" s="85">
        <v>2</v>
      </c>
      <c r="I129" s="85"/>
      <c r="J129" s="85"/>
      <c r="K129" s="86"/>
      <c r="L129" s="87" t="s">
        <v>200</v>
      </c>
      <c r="M129" s="38">
        <v>9</v>
      </c>
      <c r="N129" s="38">
        <v>53</v>
      </c>
      <c r="O129" s="49">
        <v>19</v>
      </c>
      <c r="P129" s="49">
        <v>2</v>
      </c>
      <c r="Q129" s="85">
        <v>5</v>
      </c>
      <c r="R129" s="85">
        <v>5</v>
      </c>
      <c r="S129" s="85">
        <v>4</v>
      </c>
      <c r="T129" s="85">
        <v>6</v>
      </c>
      <c r="U129" s="85">
        <v>4</v>
      </c>
      <c r="V129" s="85">
        <v>1</v>
      </c>
      <c r="W129" s="85"/>
      <c r="X129" s="85"/>
      <c r="Y129" s="49"/>
      <c r="Z129" s="94"/>
      <c r="AA129" s="95"/>
      <c r="AB129" s="85"/>
      <c r="AC129" s="85"/>
      <c r="AD129" s="85"/>
      <c r="AE129" s="85"/>
      <c r="AF129" s="85"/>
      <c r="AG129" s="49"/>
      <c r="AH129" s="92"/>
      <c r="AI129" s="49"/>
    </row>
    <row r="130" spans="1:35" ht="12.75" x14ac:dyDescent="0.2">
      <c r="A130" s="87" t="s">
        <v>141</v>
      </c>
      <c r="B130" s="70">
        <f t="shared" ref="B130:I130" si="51">B129*B128</f>
        <v>0.30000000000000004</v>
      </c>
      <c r="C130" s="70">
        <f t="shared" si="51"/>
        <v>4.1000000000000005</v>
      </c>
      <c r="D130" s="70">
        <f t="shared" si="51"/>
        <v>2.6</v>
      </c>
      <c r="E130" s="70">
        <f t="shared" si="51"/>
        <v>0.5</v>
      </c>
      <c r="F130" s="70">
        <f t="shared" si="51"/>
        <v>2</v>
      </c>
      <c r="G130" s="70">
        <f t="shared" si="51"/>
        <v>14</v>
      </c>
      <c r="H130" s="70">
        <f t="shared" si="51"/>
        <v>10</v>
      </c>
      <c r="I130" s="70">
        <f t="shared" si="51"/>
        <v>0</v>
      </c>
      <c r="J130" s="70">
        <f>SUM(B130:I130)</f>
        <v>33.5</v>
      </c>
      <c r="K130" s="86"/>
      <c r="L130" s="87" t="s">
        <v>141</v>
      </c>
      <c r="M130" s="70">
        <f t="shared" ref="M130:V130" si="52">M129*M128</f>
        <v>0.45</v>
      </c>
      <c r="N130" s="70">
        <f t="shared" si="52"/>
        <v>5.3000000000000007</v>
      </c>
      <c r="O130" s="70">
        <f t="shared" si="52"/>
        <v>3.8000000000000003</v>
      </c>
      <c r="P130" s="70">
        <f t="shared" si="52"/>
        <v>1</v>
      </c>
      <c r="Q130" s="70">
        <f t="shared" si="52"/>
        <v>5</v>
      </c>
      <c r="R130" s="70">
        <f t="shared" si="52"/>
        <v>10</v>
      </c>
      <c r="S130" s="70">
        <f t="shared" si="52"/>
        <v>20</v>
      </c>
      <c r="T130" s="70">
        <f t="shared" si="52"/>
        <v>60</v>
      </c>
      <c r="U130" s="70">
        <f t="shared" si="52"/>
        <v>80</v>
      </c>
      <c r="V130" s="70">
        <f t="shared" si="52"/>
        <v>50</v>
      </c>
      <c r="W130" s="70">
        <f>SUM(M130:V130)</f>
        <v>235.55</v>
      </c>
      <c r="X130" s="96">
        <f>W130-J130</f>
        <v>202.05</v>
      </c>
      <c r="Y130" s="94">
        <v>81.3</v>
      </c>
      <c r="Z130" s="94">
        <v>26</v>
      </c>
      <c r="AA130" s="97">
        <f>X130+Z130</f>
        <v>228.05</v>
      </c>
      <c r="AB130" s="85">
        <v>70</v>
      </c>
      <c r="AC130" s="96">
        <f>Y130-AB130</f>
        <v>11.299999999999997</v>
      </c>
      <c r="AD130" s="96">
        <f>X130-Y130</f>
        <v>120.75000000000001</v>
      </c>
      <c r="AE130" s="85">
        <v>20</v>
      </c>
      <c r="AF130" s="96">
        <f>AD130-AE130</f>
        <v>100.75000000000001</v>
      </c>
      <c r="AG130" s="49"/>
      <c r="AH130" s="98">
        <f>(SUM(Y130:Z130)/(1+10/100))*(10/100)</f>
        <v>9.754545454545454</v>
      </c>
      <c r="AI130" s="49"/>
    </row>
    <row r="134" spans="1:35" ht="38.25" x14ac:dyDescent="0.2">
      <c r="Y134" s="89" t="s">
        <v>142</v>
      </c>
      <c r="Z134" s="90" t="s">
        <v>193</v>
      </c>
      <c r="AA134" s="91" t="s">
        <v>194</v>
      </c>
      <c r="AB134" s="88" t="s">
        <v>165</v>
      </c>
      <c r="AC134" s="87" t="s">
        <v>195</v>
      </c>
      <c r="AD134" s="87" t="s">
        <v>196</v>
      </c>
      <c r="AE134" s="88" t="s">
        <v>197</v>
      </c>
      <c r="AF134" s="87" t="s">
        <v>198</v>
      </c>
    </row>
    <row r="135" spans="1:35" ht="12.75" x14ac:dyDescent="0.2">
      <c r="AB135" s="99"/>
      <c r="AC135" s="100"/>
      <c r="AE135" s="99"/>
      <c r="AF135" s="100"/>
    </row>
    <row r="136" spans="1:35" ht="15.75" customHeight="1" x14ac:dyDescent="0.25">
      <c r="X136" s="68" t="s">
        <v>208</v>
      </c>
      <c r="Y136" s="69">
        <f t="shared" ref="Y136:AF136" si="53">SUM(Y1:Y130)</f>
        <v>3488.5</v>
      </c>
      <c r="Z136" s="69">
        <f t="shared" si="53"/>
        <v>1869.7000000000005</v>
      </c>
      <c r="AA136" s="69">
        <f t="shared" si="53"/>
        <v>9675.0999999999985</v>
      </c>
      <c r="AB136" s="69">
        <f t="shared" si="53"/>
        <v>2001.9</v>
      </c>
      <c r="AC136" s="69">
        <f t="shared" si="53"/>
        <v>1483.3999999999999</v>
      </c>
      <c r="AD136" s="69">
        <f t="shared" si="53"/>
        <v>4392.1000000000013</v>
      </c>
      <c r="AE136" s="69">
        <f t="shared" si="53"/>
        <v>460.4</v>
      </c>
      <c r="AF136" s="69">
        <f t="shared" si="53"/>
        <v>3911.7000000000007</v>
      </c>
    </row>
    <row r="138" spans="1:35" ht="12.75" x14ac:dyDescent="0.2">
      <c r="AE138" s="38" t="s">
        <v>290</v>
      </c>
      <c r="AF138" s="38">
        <v>-200</v>
      </c>
    </row>
    <row r="139" spans="1:35" ht="12.75" x14ac:dyDescent="0.2">
      <c r="AB139" s="106" t="s">
        <v>291</v>
      </c>
      <c r="AC139" s="38">
        <v>-82.23</v>
      </c>
      <c r="AE139" s="38" t="s">
        <v>221</v>
      </c>
      <c r="AF139" s="38">
        <v>-1150</v>
      </c>
      <c r="AG139" s="38" t="s">
        <v>269</v>
      </c>
    </row>
    <row r="140" spans="1:35" ht="12.75" x14ac:dyDescent="0.2">
      <c r="AB140" s="106" t="s">
        <v>217</v>
      </c>
      <c r="AC140" s="38">
        <v>-500</v>
      </c>
      <c r="AE140" s="38" t="s">
        <v>292</v>
      </c>
      <c r="AF140" s="38">
        <v>-1150</v>
      </c>
      <c r="AG140" s="38" t="s">
        <v>269</v>
      </c>
    </row>
    <row r="141" spans="1:35" ht="12.75" x14ac:dyDescent="0.2">
      <c r="AB141" s="38" t="s">
        <v>293</v>
      </c>
      <c r="AC141" s="38">
        <v>-368</v>
      </c>
      <c r="AE141" s="38" t="s">
        <v>262</v>
      </c>
      <c r="AF141" s="38">
        <v>-700</v>
      </c>
    </row>
    <row r="142" spans="1:35" ht="12.75" x14ac:dyDescent="0.2">
      <c r="AB142" s="106" t="s">
        <v>264</v>
      </c>
      <c r="AC142" s="38">
        <v>-250</v>
      </c>
    </row>
    <row r="143" spans="1:35" ht="12.75" x14ac:dyDescent="0.2">
      <c r="AB143" s="106" t="s">
        <v>294</v>
      </c>
      <c r="AC143" s="38">
        <v>-96</v>
      </c>
      <c r="AE143" s="38" t="s">
        <v>295</v>
      </c>
      <c r="AF143" s="38">
        <v>-500</v>
      </c>
    </row>
    <row r="146" spans="28:30" ht="12.75" x14ac:dyDescent="0.2">
      <c r="AB146" s="61" t="s">
        <v>282</v>
      </c>
      <c r="AC146" s="61" t="s">
        <v>221</v>
      </c>
      <c r="AD146" s="61" t="s">
        <v>211</v>
      </c>
    </row>
    <row r="147" spans="28:30" ht="12.75" x14ac:dyDescent="0.2">
      <c r="AB147" s="38" t="s">
        <v>285</v>
      </c>
      <c r="AC147" s="38">
        <v>600</v>
      </c>
      <c r="AD147" s="38">
        <v>400</v>
      </c>
    </row>
    <row r="148" spans="28:30" ht="12.75" x14ac:dyDescent="0.2">
      <c r="AB148" s="38" t="s">
        <v>286</v>
      </c>
      <c r="AC148" s="38">
        <v>100</v>
      </c>
      <c r="AD148" s="38">
        <v>100</v>
      </c>
    </row>
    <row r="149" spans="28:30" ht="12.75" x14ac:dyDescent="0.2">
      <c r="AB149" s="38" t="s">
        <v>287</v>
      </c>
      <c r="AC149" s="38">
        <v>350</v>
      </c>
      <c r="AD149" s="38">
        <v>350</v>
      </c>
    </row>
    <row r="150" spans="28:30" ht="12.75" x14ac:dyDescent="0.2">
      <c r="AB150" s="61" t="s">
        <v>296</v>
      </c>
      <c r="AC150" s="61">
        <v>350</v>
      </c>
      <c r="AD150" s="61">
        <v>350</v>
      </c>
    </row>
    <row r="151" spans="28:30" ht="12.75" x14ac:dyDescent="0.2">
      <c r="AB151" s="61" t="s">
        <v>297</v>
      </c>
      <c r="AC151" s="38">
        <v>400</v>
      </c>
      <c r="AD151" s="38">
        <v>400</v>
      </c>
    </row>
    <row r="152" spans="28:30" ht="12.75" x14ac:dyDescent="0.2">
      <c r="AC152" s="38">
        <v>200</v>
      </c>
      <c r="AD152" s="38">
        <v>200</v>
      </c>
    </row>
    <row r="154" spans="28:30" ht="12.75" x14ac:dyDescent="0.2">
      <c r="AB154" s="61" t="s">
        <v>141</v>
      </c>
      <c r="AC154" s="38">
        <f t="shared" ref="AC154:AD154" si="54">SUM(AC147:AC152)</f>
        <v>2000</v>
      </c>
      <c r="AD154" s="38">
        <f t="shared" si="54"/>
        <v>1800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I155"/>
  <sheetViews>
    <sheetView workbookViewId="0"/>
  </sheetViews>
  <sheetFormatPr defaultColWidth="12.5703125" defaultRowHeight="15.75" customHeight="1" x14ac:dyDescent="0.2"/>
  <cols>
    <col min="2" max="2" width="10.140625" customWidth="1"/>
    <col min="3" max="3" width="5.140625" customWidth="1"/>
    <col min="4" max="8" width="4.28515625" customWidth="1"/>
    <col min="9" max="9" width="5.28515625" customWidth="1"/>
    <col min="10" max="10" width="5.7109375" customWidth="1"/>
    <col min="11" max="11" width="5.140625" customWidth="1"/>
    <col min="12" max="12" width="8.5703125" customWidth="1"/>
    <col min="13" max="13" width="9.7109375" customWidth="1"/>
    <col min="14" max="14" width="5.5703125" customWidth="1"/>
    <col min="15" max="15" width="5.28515625" customWidth="1"/>
    <col min="16" max="16" width="5.85546875" customWidth="1"/>
    <col min="17" max="17" width="5.42578125" customWidth="1"/>
    <col min="18" max="18" width="4.5703125" customWidth="1"/>
    <col min="19" max="19" width="5.7109375" customWidth="1"/>
    <col min="20" max="20" width="6.28515625" customWidth="1"/>
    <col min="21" max="21" width="5.7109375" customWidth="1"/>
    <col min="22" max="22" width="6.140625" customWidth="1"/>
    <col min="23" max="23" width="11.85546875" customWidth="1"/>
    <col min="24" max="24" width="13.140625" customWidth="1"/>
    <col min="25" max="26" width="7.7109375" customWidth="1"/>
    <col min="27" max="27" width="8.42578125" customWidth="1"/>
    <col min="28" max="28" width="10.140625" customWidth="1"/>
    <col min="29" max="29" width="7.85546875" customWidth="1"/>
    <col min="30" max="30" width="6.42578125" customWidth="1"/>
    <col min="31" max="31" width="7.42578125" customWidth="1"/>
    <col min="32" max="32" width="6.42578125" customWidth="1"/>
    <col min="33" max="33" width="4.5703125" customWidth="1"/>
    <col min="34" max="34" width="7.42578125" customWidth="1"/>
  </cols>
  <sheetData>
    <row r="1" spans="1:35" ht="51" x14ac:dyDescent="0.2">
      <c r="A1" s="83" t="s">
        <v>135</v>
      </c>
      <c r="B1" s="84">
        <v>45810</v>
      </c>
      <c r="C1" s="85"/>
      <c r="D1" s="85"/>
      <c r="E1" s="85"/>
      <c r="F1" s="85"/>
      <c r="G1" s="85"/>
      <c r="H1" s="85"/>
      <c r="I1" s="85"/>
      <c r="J1" s="85"/>
      <c r="K1" s="86"/>
      <c r="L1" s="83" t="s">
        <v>136</v>
      </c>
      <c r="M1" s="84">
        <v>45810</v>
      </c>
      <c r="N1" s="85"/>
      <c r="O1" s="85"/>
      <c r="P1" s="85"/>
      <c r="Q1" s="85"/>
      <c r="R1" s="85"/>
      <c r="S1" s="85"/>
      <c r="T1" s="85"/>
      <c r="U1" s="85"/>
      <c r="V1" s="85"/>
      <c r="W1" s="87" t="s">
        <v>141</v>
      </c>
      <c r="X1" s="88" t="s">
        <v>192</v>
      </c>
      <c r="Y1" s="89" t="s">
        <v>142</v>
      </c>
      <c r="Z1" s="90" t="s">
        <v>193</v>
      </c>
      <c r="AA1" s="91" t="s">
        <v>194</v>
      </c>
      <c r="AB1" s="88" t="s">
        <v>288</v>
      </c>
      <c r="AC1" s="87" t="s">
        <v>195</v>
      </c>
      <c r="AD1" s="87" t="s">
        <v>196</v>
      </c>
      <c r="AE1" s="88" t="s">
        <v>197</v>
      </c>
      <c r="AF1" s="87" t="s">
        <v>198</v>
      </c>
      <c r="AG1" s="49"/>
      <c r="AH1" s="92"/>
      <c r="AI1" s="49"/>
    </row>
    <row r="2" spans="1:35" ht="12.75" x14ac:dyDescent="0.2">
      <c r="A2" s="87" t="s">
        <v>199</v>
      </c>
      <c r="B2" s="93">
        <v>0.05</v>
      </c>
      <c r="C2" s="93">
        <v>0.1</v>
      </c>
      <c r="D2" s="93">
        <v>0.2</v>
      </c>
      <c r="E2" s="93">
        <v>0.5</v>
      </c>
      <c r="F2" s="93">
        <v>1</v>
      </c>
      <c r="G2" s="93">
        <v>2</v>
      </c>
      <c r="H2" s="93">
        <v>5</v>
      </c>
      <c r="I2" s="93">
        <v>10</v>
      </c>
      <c r="J2" s="49"/>
      <c r="K2" s="86"/>
      <c r="L2" s="87" t="s">
        <v>199</v>
      </c>
      <c r="M2" s="93">
        <v>0.05</v>
      </c>
      <c r="N2" s="93">
        <v>0.1</v>
      </c>
      <c r="O2" s="93">
        <v>0.2</v>
      </c>
      <c r="P2" s="93">
        <v>0.5</v>
      </c>
      <c r="Q2" s="93">
        <v>1</v>
      </c>
      <c r="R2" s="93">
        <v>2</v>
      </c>
      <c r="S2" s="93">
        <v>5</v>
      </c>
      <c r="T2" s="93">
        <v>10</v>
      </c>
      <c r="U2" s="93">
        <v>20</v>
      </c>
      <c r="V2" s="93">
        <v>50</v>
      </c>
      <c r="W2" s="85"/>
      <c r="X2" s="85"/>
      <c r="Y2" s="49"/>
      <c r="Z2" s="94"/>
      <c r="AA2" s="95"/>
      <c r="AB2" s="85"/>
      <c r="AC2" s="85"/>
      <c r="AD2" s="85"/>
      <c r="AE2" s="85"/>
      <c r="AF2" s="85"/>
      <c r="AG2" s="49"/>
      <c r="AH2" s="92"/>
      <c r="AI2" s="49"/>
    </row>
    <row r="3" spans="1:35" ht="12.75" x14ac:dyDescent="0.2">
      <c r="A3" s="87" t="s">
        <v>200</v>
      </c>
      <c r="B3" s="38">
        <v>9</v>
      </c>
      <c r="C3" s="38">
        <v>53</v>
      </c>
      <c r="D3" s="49">
        <v>19</v>
      </c>
      <c r="E3" s="49">
        <v>2</v>
      </c>
      <c r="F3" s="85">
        <v>5</v>
      </c>
      <c r="G3" s="85">
        <v>5</v>
      </c>
      <c r="H3" s="85">
        <v>2</v>
      </c>
      <c r="I3" s="85"/>
      <c r="J3" s="85"/>
      <c r="K3" s="86"/>
      <c r="L3" s="87" t="s">
        <v>200</v>
      </c>
      <c r="M3" s="38">
        <v>11</v>
      </c>
      <c r="N3" s="38">
        <v>49</v>
      </c>
      <c r="O3" s="49">
        <v>17</v>
      </c>
      <c r="P3" s="49">
        <v>2</v>
      </c>
      <c r="Q3" s="85">
        <v>7</v>
      </c>
      <c r="R3" s="85">
        <v>6</v>
      </c>
      <c r="S3" s="85">
        <v>7</v>
      </c>
      <c r="T3" s="85">
        <v>2</v>
      </c>
      <c r="U3" s="85">
        <v>6</v>
      </c>
      <c r="V3" s="85">
        <v>2</v>
      </c>
      <c r="W3" s="85"/>
      <c r="X3" s="85"/>
      <c r="Y3" s="49"/>
      <c r="Z3" s="94"/>
      <c r="AA3" s="95"/>
      <c r="AB3" s="85"/>
      <c r="AC3" s="85"/>
      <c r="AD3" s="85"/>
      <c r="AE3" s="85"/>
      <c r="AF3" s="85"/>
      <c r="AG3" s="49"/>
      <c r="AH3" s="92"/>
      <c r="AI3" s="49"/>
    </row>
    <row r="4" spans="1:35" ht="12.75" x14ac:dyDescent="0.2">
      <c r="A4" s="87" t="s">
        <v>141</v>
      </c>
      <c r="B4" s="70">
        <f t="shared" ref="B4:I4" si="0">B3*B2</f>
        <v>0.45</v>
      </c>
      <c r="C4" s="70">
        <f t="shared" si="0"/>
        <v>5.3000000000000007</v>
      </c>
      <c r="D4" s="70">
        <f t="shared" si="0"/>
        <v>3.8000000000000003</v>
      </c>
      <c r="E4" s="70">
        <f t="shared" si="0"/>
        <v>1</v>
      </c>
      <c r="F4" s="70">
        <f t="shared" si="0"/>
        <v>5</v>
      </c>
      <c r="G4" s="70">
        <f t="shared" si="0"/>
        <v>10</v>
      </c>
      <c r="H4" s="70">
        <f t="shared" si="0"/>
        <v>10</v>
      </c>
      <c r="I4" s="70">
        <f t="shared" si="0"/>
        <v>0</v>
      </c>
      <c r="J4" s="70">
        <f>SUM(B4:I4)</f>
        <v>35.549999999999997</v>
      </c>
      <c r="K4" s="86"/>
      <c r="L4" s="87" t="s">
        <v>141</v>
      </c>
      <c r="M4" s="70">
        <f t="shared" ref="M4:V4" si="1">M3*M2</f>
        <v>0.55000000000000004</v>
      </c>
      <c r="N4" s="70">
        <f t="shared" si="1"/>
        <v>4.9000000000000004</v>
      </c>
      <c r="O4" s="70">
        <f t="shared" si="1"/>
        <v>3.4000000000000004</v>
      </c>
      <c r="P4" s="70">
        <f t="shared" si="1"/>
        <v>1</v>
      </c>
      <c r="Q4" s="70">
        <f t="shared" si="1"/>
        <v>7</v>
      </c>
      <c r="R4" s="70">
        <f t="shared" si="1"/>
        <v>12</v>
      </c>
      <c r="S4" s="70">
        <f t="shared" si="1"/>
        <v>35</v>
      </c>
      <c r="T4" s="70">
        <f t="shared" si="1"/>
        <v>20</v>
      </c>
      <c r="U4" s="70">
        <f t="shared" si="1"/>
        <v>120</v>
      </c>
      <c r="V4" s="70">
        <f t="shared" si="1"/>
        <v>100</v>
      </c>
      <c r="W4" s="70">
        <f>SUM(M4:V4)</f>
        <v>303.85000000000002</v>
      </c>
      <c r="X4" s="96">
        <f>W4-J4</f>
        <v>268.3</v>
      </c>
      <c r="Y4" s="94">
        <v>166.3</v>
      </c>
      <c r="Z4" s="94">
        <v>31.7</v>
      </c>
      <c r="AA4" s="97">
        <f>X4+Z4</f>
        <v>300</v>
      </c>
      <c r="AB4" s="85">
        <v>71</v>
      </c>
      <c r="AC4" s="96">
        <f>Y4-AB4</f>
        <v>95.300000000000011</v>
      </c>
      <c r="AD4" s="96">
        <f>X4-Y4</f>
        <v>102</v>
      </c>
      <c r="AE4" s="85">
        <v>20</v>
      </c>
      <c r="AF4" s="96">
        <f>AD4-AE4</f>
        <v>82</v>
      </c>
      <c r="AG4" s="49"/>
      <c r="AH4" s="98">
        <f>(SUM(Y4:Z4)/(1+10/100))*(10/100)</f>
        <v>17.999999999999996</v>
      </c>
      <c r="AI4" s="49"/>
    </row>
    <row r="6" spans="1:35" ht="51" x14ac:dyDescent="0.2">
      <c r="A6" s="83" t="s">
        <v>135</v>
      </c>
      <c r="B6" s="84">
        <v>45811</v>
      </c>
      <c r="C6" s="85"/>
      <c r="D6" s="85"/>
      <c r="E6" s="85"/>
      <c r="F6" s="85"/>
      <c r="G6" s="85"/>
      <c r="H6" s="85"/>
      <c r="I6" s="85"/>
      <c r="J6" s="85"/>
      <c r="K6" s="86"/>
      <c r="L6" s="83" t="s">
        <v>136</v>
      </c>
      <c r="M6" s="84">
        <v>45811</v>
      </c>
      <c r="N6" s="85"/>
      <c r="O6" s="85"/>
      <c r="P6" s="85"/>
      <c r="Q6" s="85"/>
      <c r="R6" s="85"/>
      <c r="S6" s="85"/>
      <c r="T6" s="85"/>
      <c r="U6" s="85"/>
      <c r="V6" s="85"/>
      <c r="W6" s="87" t="s">
        <v>141</v>
      </c>
      <c r="X6" s="88" t="s">
        <v>192</v>
      </c>
      <c r="Y6" s="89" t="s">
        <v>142</v>
      </c>
      <c r="Z6" s="90" t="s">
        <v>193</v>
      </c>
      <c r="AA6" s="91" t="s">
        <v>194</v>
      </c>
      <c r="AB6" s="88" t="s">
        <v>288</v>
      </c>
      <c r="AC6" s="87" t="s">
        <v>195</v>
      </c>
      <c r="AD6" s="87" t="s">
        <v>196</v>
      </c>
      <c r="AE6" s="88" t="s">
        <v>197</v>
      </c>
      <c r="AF6" s="87" t="s">
        <v>198</v>
      </c>
      <c r="AG6" s="49"/>
      <c r="AH6" s="92"/>
      <c r="AI6" s="49"/>
    </row>
    <row r="7" spans="1:35" ht="12.75" x14ac:dyDescent="0.2">
      <c r="A7" s="87" t="s">
        <v>199</v>
      </c>
      <c r="B7" s="93">
        <v>0.05</v>
      </c>
      <c r="C7" s="93">
        <v>0.1</v>
      </c>
      <c r="D7" s="93">
        <v>0.2</v>
      </c>
      <c r="E7" s="93">
        <v>0.5</v>
      </c>
      <c r="F7" s="93">
        <v>1</v>
      </c>
      <c r="G7" s="93">
        <v>2</v>
      </c>
      <c r="H7" s="93">
        <v>5</v>
      </c>
      <c r="I7" s="93">
        <v>10</v>
      </c>
      <c r="J7" s="49"/>
      <c r="K7" s="86"/>
      <c r="L7" s="87" t="s">
        <v>199</v>
      </c>
      <c r="M7" s="93">
        <v>0.05</v>
      </c>
      <c r="N7" s="93">
        <v>0.1</v>
      </c>
      <c r="O7" s="93">
        <v>0.2</v>
      </c>
      <c r="P7" s="93">
        <v>0.5</v>
      </c>
      <c r="Q7" s="93">
        <v>1</v>
      </c>
      <c r="R7" s="93">
        <v>2</v>
      </c>
      <c r="S7" s="93">
        <v>5</v>
      </c>
      <c r="T7" s="93">
        <v>10</v>
      </c>
      <c r="U7" s="93">
        <v>20</v>
      </c>
      <c r="V7" s="93">
        <v>50</v>
      </c>
      <c r="W7" s="85"/>
      <c r="X7" s="85"/>
      <c r="Y7" s="49"/>
      <c r="Z7" s="94"/>
      <c r="AA7" s="95"/>
      <c r="AB7" s="85"/>
      <c r="AC7" s="85"/>
      <c r="AD7" s="85"/>
      <c r="AE7" s="85"/>
      <c r="AF7" s="85"/>
      <c r="AG7" s="49"/>
      <c r="AH7" s="92"/>
      <c r="AI7" s="49"/>
    </row>
    <row r="8" spans="1:35" ht="12.75" x14ac:dyDescent="0.2">
      <c r="A8" s="87" t="s">
        <v>200</v>
      </c>
      <c r="B8" s="38">
        <v>10</v>
      </c>
      <c r="C8" s="38">
        <v>48</v>
      </c>
      <c r="D8" s="49">
        <v>17</v>
      </c>
      <c r="E8" s="49">
        <v>1</v>
      </c>
      <c r="F8" s="85">
        <v>7</v>
      </c>
      <c r="G8" s="85">
        <v>5</v>
      </c>
      <c r="H8" s="85">
        <v>2</v>
      </c>
      <c r="I8" s="85"/>
      <c r="J8" s="85"/>
      <c r="K8" s="86"/>
      <c r="L8" s="87" t="s">
        <v>200</v>
      </c>
      <c r="M8" s="38">
        <v>11</v>
      </c>
      <c r="N8" s="38">
        <v>45</v>
      </c>
      <c r="O8" s="49">
        <v>15</v>
      </c>
      <c r="P8" s="49">
        <v>10</v>
      </c>
      <c r="Q8" s="85">
        <v>12</v>
      </c>
      <c r="R8" s="85">
        <v>5</v>
      </c>
      <c r="S8" s="85">
        <v>13</v>
      </c>
      <c r="T8" s="85">
        <v>6</v>
      </c>
      <c r="U8" s="85">
        <v>4</v>
      </c>
      <c r="V8" s="85">
        <v>0</v>
      </c>
      <c r="W8" s="85"/>
      <c r="X8" s="85"/>
      <c r="Y8" s="49"/>
      <c r="Z8" s="94"/>
      <c r="AA8" s="95"/>
      <c r="AB8" s="85"/>
      <c r="AC8" s="85"/>
      <c r="AD8" s="85"/>
      <c r="AE8" s="85"/>
      <c r="AF8" s="85"/>
      <c r="AG8" s="49"/>
      <c r="AH8" s="92"/>
      <c r="AI8" s="49"/>
    </row>
    <row r="9" spans="1:35" ht="12.75" x14ac:dyDescent="0.2">
      <c r="A9" s="87" t="s">
        <v>141</v>
      </c>
      <c r="B9" s="70">
        <f t="shared" ref="B9:I9" si="2">B8*B7</f>
        <v>0.5</v>
      </c>
      <c r="C9" s="70">
        <f t="shared" si="2"/>
        <v>4.8000000000000007</v>
      </c>
      <c r="D9" s="70">
        <f t="shared" si="2"/>
        <v>3.4000000000000004</v>
      </c>
      <c r="E9" s="70">
        <f t="shared" si="2"/>
        <v>0.5</v>
      </c>
      <c r="F9" s="70">
        <f t="shared" si="2"/>
        <v>7</v>
      </c>
      <c r="G9" s="70">
        <f t="shared" si="2"/>
        <v>10</v>
      </c>
      <c r="H9" s="70">
        <f t="shared" si="2"/>
        <v>10</v>
      </c>
      <c r="I9" s="70">
        <f t="shared" si="2"/>
        <v>0</v>
      </c>
      <c r="J9" s="70">
        <f>SUM(B9:I9)</f>
        <v>36.200000000000003</v>
      </c>
      <c r="K9" s="86"/>
      <c r="L9" s="87" t="s">
        <v>141</v>
      </c>
      <c r="M9" s="70">
        <f t="shared" ref="M9:V9" si="3">M8*M7</f>
        <v>0.55000000000000004</v>
      </c>
      <c r="N9" s="70">
        <f t="shared" si="3"/>
        <v>4.5</v>
      </c>
      <c r="O9" s="70">
        <f t="shared" si="3"/>
        <v>3</v>
      </c>
      <c r="P9" s="70">
        <f t="shared" si="3"/>
        <v>5</v>
      </c>
      <c r="Q9" s="70">
        <f t="shared" si="3"/>
        <v>12</v>
      </c>
      <c r="R9" s="70">
        <f t="shared" si="3"/>
        <v>10</v>
      </c>
      <c r="S9" s="70">
        <f t="shared" si="3"/>
        <v>65</v>
      </c>
      <c r="T9" s="70">
        <f t="shared" si="3"/>
        <v>60</v>
      </c>
      <c r="U9" s="70">
        <f t="shared" si="3"/>
        <v>80</v>
      </c>
      <c r="V9" s="70">
        <f t="shared" si="3"/>
        <v>0</v>
      </c>
      <c r="W9" s="70">
        <f>SUM(M9:V9)</f>
        <v>240.05</v>
      </c>
      <c r="X9" s="96">
        <f>W9-J9</f>
        <v>203.85000000000002</v>
      </c>
      <c r="Y9" s="94">
        <v>101.6</v>
      </c>
      <c r="Z9" s="94">
        <v>29.7</v>
      </c>
      <c r="AA9" s="97">
        <f>X9+Z9</f>
        <v>233.55</v>
      </c>
      <c r="AB9" s="85">
        <v>100</v>
      </c>
      <c r="AC9" s="96">
        <f>Y9-AB9</f>
        <v>1.5999999999999943</v>
      </c>
      <c r="AD9" s="96">
        <f>X9-Y9</f>
        <v>102.25000000000003</v>
      </c>
      <c r="AE9" s="85">
        <v>1.25</v>
      </c>
      <c r="AF9" s="96">
        <f>AD9-AE9</f>
        <v>101.00000000000003</v>
      </c>
      <c r="AG9" s="49"/>
      <c r="AH9" s="98">
        <f>(SUM(Y9:Z9)/(1+10/100))*(10/100)</f>
        <v>11.936363636363636</v>
      </c>
      <c r="AI9" s="49"/>
    </row>
    <row r="11" spans="1:35" ht="51" x14ac:dyDescent="0.2">
      <c r="A11" s="83" t="s">
        <v>135</v>
      </c>
      <c r="B11" s="84">
        <v>45812</v>
      </c>
      <c r="C11" s="85"/>
      <c r="D11" s="85"/>
      <c r="E11" s="85"/>
      <c r="F11" s="85"/>
      <c r="G11" s="85"/>
      <c r="H11" s="85"/>
      <c r="I11" s="85"/>
      <c r="J11" s="85"/>
      <c r="K11" s="86"/>
      <c r="L11" s="83" t="s">
        <v>136</v>
      </c>
      <c r="M11" s="84">
        <v>45812</v>
      </c>
      <c r="N11" s="85"/>
      <c r="O11" s="85"/>
      <c r="P11" s="85"/>
      <c r="Q11" s="85"/>
      <c r="R11" s="85"/>
      <c r="S11" s="85"/>
      <c r="T11" s="85"/>
      <c r="U11" s="85"/>
      <c r="V11" s="85"/>
      <c r="W11" s="87" t="s">
        <v>141</v>
      </c>
      <c r="X11" s="88" t="s">
        <v>192</v>
      </c>
      <c r="Y11" s="89" t="s">
        <v>142</v>
      </c>
      <c r="Z11" s="90" t="s">
        <v>193</v>
      </c>
      <c r="AA11" s="91" t="s">
        <v>194</v>
      </c>
      <c r="AB11" s="88" t="s">
        <v>288</v>
      </c>
      <c r="AC11" s="87" t="s">
        <v>195</v>
      </c>
      <c r="AD11" s="87" t="s">
        <v>196</v>
      </c>
      <c r="AE11" s="88" t="s">
        <v>197</v>
      </c>
      <c r="AF11" s="87" t="s">
        <v>198</v>
      </c>
      <c r="AG11" s="49"/>
      <c r="AH11" s="92"/>
      <c r="AI11" s="49"/>
    </row>
    <row r="12" spans="1:35" ht="12.75" x14ac:dyDescent="0.2">
      <c r="A12" s="87" t="s">
        <v>199</v>
      </c>
      <c r="B12" s="93">
        <v>0.05</v>
      </c>
      <c r="C12" s="93">
        <v>0.1</v>
      </c>
      <c r="D12" s="93">
        <v>0.2</v>
      </c>
      <c r="E12" s="93">
        <v>0.5</v>
      </c>
      <c r="F12" s="93">
        <v>1</v>
      </c>
      <c r="G12" s="93">
        <v>2</v>
      </c>
      <c r="H12" s="93">
        <v>5</v>
      </c>
      <c r="I12" s="93">
        <v>10</v>
      </c>
      <c r="J12" s="49"/>
      <c r="K12" s="86"/>
      <c r="L12" s="87" t="s">
        <v>199</v>
      </c>
      <c r="M12" s="93">
        <v>0.05</v>
      </c>
      <c r="N12" s="93">
        <v>0.1</v>
      </c>
      <c r="O12" s="93">
        <v>0.2</v>
      </c>
      <c r="P12" s="93">
        <v>0.5</v>
      </c>
      <c r="Q12" s="93">
        <v>1</v>
      </c>
      <c r="R12" s="93">
        <v>2</v>
      </c>
      <c r="S12" s="93">
        <v>5</v>
      </c>
      <c r="T12" s="93">
        <v>10</v>
      </c>
      <c r="U12" s="93">
        <v>20</v>
      </c>
      <c r="V12" s="93">
        <v>50</v>
      </c>
      <c r="W12" s="85"/>
      <c r="X12" s="85"/>
      <c r="Y12" s="49"/>
      <c r="Z12" s="94"/>
      <c r="AA12" s="95"/>
      <c r="AB12" s="85"/>
      <c r="AC12" s="85"/>
      <c r="AD12" s="85"/>
      <c r="AE12" s="85"/>
      <c r="AF12" s="85"/>
      <c r="AG12" s="49"/>
      <c r="AH12" s="92"/>
      <c r="AI12" s="49"/>
    </row>
    <row r="13" spans="1:35" ht="12.75" x14ac:dyDescent="0.2">
      <c r="A13" s="87" t="s">
        <v>200</v>
      </c>
      <c r="B13" s="38">
        <v>10</v>
      </c>
      <c r="C13" s="38">
        <v>48</v>
      </c>
      <c r="D13" s="49">
        <v>17</v>
      </c>
      <c r="E13" s="49">
        <v>1</v>
      </c>
      <c r="F13" s="85">
        <v>7</v>
      </c>
      <c r="G13" s="85">
        <v>5</v>
      </c>
      <c r="H13" s="85">
        <v>2</v>
      </c>
      <c r="I13" s="85"/>
      <c r="J13" s="85"/>
      <c r="K13" s="86"/>
      <c r="L13" s="87" t="s">
        <v>200</v>
      </c>
      <c r="M13" s="38">
        <v>19</v>
      </c>
      <c r="N13" s="38">
        <v>45</v>
      </c>
      <c r="O13" s="49">
        <v>12</v>
      </c>
      <c r="P13" s="49">
        <v>11</v>
      </c>
      <c r="Q13" s="85">
        <v>6</v>
      </c>
      <c r="R13" s="85">
        <v>3</v>
      </c>
      <c r="S13" s="85">
        <v>3</v>
      </c>
      <c r="T13" s="85">
        <v>10</v>
      </c>
      <c r="U13" s="85">
        <v>3</v>
      </c>
      <c r="V13" s="85">
        <v>2</v>
      </c>
      <c r="W13" s="85"/>
      <c r="X13" s="85"/>
      <c r="Y13" s="49"/>
      <c r="Z13" s="94"/>
      <c r="AA13" s="95"/>
      <c r="AB13" s="85"/>
      <c r="AC13" s="85"/>
      <c r="AD13" s="85"/>
      <c r="AE13" s="85"/>
      <c r="AF13" s="85"/>
      <c r="AG13" s="49"/>
      <c r="AH13" s="92"/>
      <c r="AI13" s="49"/>
    </row>
    <row r="14" spans="1:35" ht="12.75" x14ac:dyDescent="0.2">
      <c r="A14" s="87" t="s">
        <v>141</v>
      </c>
      <c r="B14" s="70">
        <f t="shared" ref="B14:I14" si="4">B13*B12</f>
        <v>0.5</v>
      </c>
      <c r="C14" s="70">
        <f t="shared" si="4"/>
        <v>4.8000000000000007</v>
      </c>
      <c r="D14" s="70">
        <f t="shared" si="4"/>
        <v>3.4000000000000004</v>
      </c>
      <c r="E14" s="70">
        <f t="shared" si="4"/>
        <v>0.5</v>
      </c>
      <c r="F14" s="70">
        <f t="shared" si="4"/>
        <v>7</v>
      </c>
      <c r="G14" s="70">
        <f t="shared" si="4"/>
        <v>10</v>
      </c>
      <c r="H14" s="70">
        <f t="shared" si="4"/>
        <v>10</v>
      </c>
      <c r="I14" s="70">
        <f t="shared" si="4"/>
        <v>0</v>
      </c>
      <c r="J14" s="70">
        <f>SUM(B14:I14)</f>
        <v>36.200000000000003</v>
      </c>
      <c r="K14" s="86"/>
      <c r="L14" s="87" t="s">
        <v>141</v>
      </c>
      <c r="M14" s="70">
        <f t="shared" ref="M14:V14" si="5">M13*M12</f>
        <v>0.95000000000000007</v>
      </c>
      <c r="N14" s="70">
        <f t="shared" si="5"/>
        <v>4.5</v>
      </c>
      <c r="O14" s="70">
        <f t="shared" si="5"/>
        <v>2.4000000000000004</v>
      </c>
      <c r="P14" s="70">
        <f t="shared" si="5"/>
        <v>5.5</v>
      </c>
      <c r="Q14" s="70">
        <f t="shared" si="5"/>
        <v>6</v>
      </c>
      <c r="R14" s="70">
        <f t="shared" si="5"/>
        <v>6</v>
      </c>
      <c r="S14" s="70">
        <f t="shared" si="5"/>
        <v>15</v>
      </c>
      <c r="T14" s="70">
        <f t="shared" si="5"/>
        <v>100</v>
      </c>
      <c r="U14" s="70">
        <f t="shared" si="5"/>
        <v>60</v>
      </c>
      <c r="V14" s="70">
        <f t="shared" si="5"/>
        <v>100</v>
      </c>
      <c r="W14" s="70">
        <f>SUM(M14:V14)</f>
        <v>300.35000000000002</v>
      </c>
      <c r="X14" s="96">
        <f>W14-J14</f>
        <v>264.15000000000003</v>
      </c>
      <c r="Y14" s="94">
        <v>48</v>
      </c>
      <c r="Z14" s="94">
        <v>143.1</v>
      </c>
      <c r="AA14" s="97">
        <f>X14+Z14</f>
        <v>407.25</v>
      </c>
      <c r="AB14" s="85">
        <v>18</v>
      </c>
      <c r="AC14" s="96">
        <f>Y14-AB14</f>
        <v>30</v>
      </c>
      <c r="AD14" s="96">
        <f>X14-Y14</f>
        <v>216.15000000000003</v>
      </c>
      <c r="AE14" s="85">
        <v>46.15</v>
      </c>
      <c r="AF14" s="96">
        <f>AD14-AE14</f>
        <v>170.00000000000003</v>
      </c>
      <c r="AG14" s="49"/>
      <c r="AH14" s="98">
        <f>(SUM(Y14:Z14)/(1+10/100))*(10/100)</f>
        <v>17.372727272727271</v>
      </c>
      <c r="AI14" s="49"/>
    </row>
    <row r="16" spans="1:35" ht="51" x14ac:dyDescent="0.2">
      <c r="A16" s="83" t="s">
        <v>135</v>
      </c>
      <c r="B16" s="84">
        <v>45813</v>
      </c>
      <c r="C16" s="85"/>
      <c r="D16" s="85"/>
      <c r="E16" s="85"/>
      <c r="F16" s="85"/>
      <c r="G16" s="85"/>
      <c r="H16" s="85"/>
      <c r="I16" s="85"/>
      <c r="J16" s="85"/>
      <c r="K16" s="86"/>
      <c r="L16" s="83" t="s">
        <v>136</v>
      </c>
      <c r="M16" s="84">
        <v>45813</v>
      </c>
      <c r="N16" s="85"/>
      <c r="O16" s="85"/>
      <c r="P16" s="85"/>
      <c r="Q16" s="85"/>
      <c r="R16" s="85"/>
      <c r="S16" s="85"/>
      <c r="T16" s="85"/>
      <c r="U16" s="85"/>
      <c r="V16" s="85"/>
      <c r="W16" s="87" t="s">
        <v>141</v>
      </c>
      <c r="X16" s="88" t="s">
        <v>192</v>
      </c>
      <c r="Y16" s="89" t="s">
        <v>142</v>
      </c>
      <c r="Z16" s="90" t="s">
        <v>193</v>
      </c>
      <c r="AA16" s="91" t="s">
        <v>194</v>
      </c>
      <c r="AB16" s="88" t="s">
        <v>288</v>
      </c>
      <c r="AC16" s="87" t="s">
        <v>195</v>
      </c>
      <c r="AD16" s="87" t="s">
        <v>196</v>
      </c>
      <c r="AE16" s="88" t="s">
        <v>197</v>
      </c>
      <c r="AF16" s="87" t="s">
        <v>198</v>
      </c>
      <c r="AG16" s="49"/>
      <c r="AH16" s="92"/>
      <c r="AI16" s="49"/>
    </row>
    <row r="17" spans="1:35" ht="12.75" x14ac:dyDescent="0.2">
      <c r="A17" s="87" t="s">
        <v>199</v>
      </c>
      <c r="B17" s="93">
        <v>0.05</v>
      </c>
      <c r="C17" s="93">
        <v>0.1</v>
      </c>
      <c r="D17" s="93">
        <v>0.2</v>
      </c>
      <c r="E17" s="93">
        <v>0.5</v>
      </c>
      <c r="F17" s="93">
        <v>1</v>
      </c>
      <c r="G17" s="93">
        <v>2</v>
      </c>
      <c r="H17" s="93">
        <v>5</v>
      </c>
      <c r="I17" s="93">
        <v>10</v>
      </c>
      <c r="J17" s="49"/>
      <c r="K17" s="86"/>
      <c r="L17" s="87" t="s">
        <v>199</v>
      </c>
      <c r="M17" s="93">
        <v>0.05</v>
      </c>
      <c r="N17" s="93">
        <v>0.1</v>
      </c>
      <c r="O17" s="93">
        <v>0.2</v>
      </c>
      <c r="P17" s="93">
        <v>0.5</v>
      </c>
      <c r="Q17" s="93">
        <v>1</v>
      </c>
      <c r="R17" s="93">
        <v>2</v>
      </c>
      <c r="S17" s="93">
        <v>5</v>
      </c>
      <c r="T17" s="93">
        <v>10</v>
      </c>
      <c r="U17" s="93">
        <v>20</v>
      </c>
      <c r="V17" s="93">
        <v>50</v>
      </c>
      <c r="W17" s="85"/>
      <c r="X17" s="85"/>
      <c r="Y17" s="49"/>
      <c r="Z17" s="94"/>
      <c r="AA17" s="95"/>
      <c r="AB17" s="85"/>
      <c r="AC17" s="85"/>
      <c r="AD17" s="85"/>
      <c r="AE17" s="85"/>
      <c r="AF17" s="85"/>
      <c r="AG17" s="49"/>
      <c r="AH17" s="92"/>
      <c r="AI17" s="49"/>
    </row>
    <row r="18" spans="1:35" ht="12.75" x14ac:dyDescent="0.2">
      <c r="A18" s="87" t="s">
        <v>200</v>
      </c>
      <c r="B18" s="38">
        <v>19</v>
      </c>
      <c r="C18" s="38">
        <v>45</v>
      </c>
      <c r="D18" s="49">
        <v>12</v>
      </c>
      <c r="E18" s="49">
        <v>11</v>
      </c>
      <c r="F18" s="85">
        <v>6</v>
      </c>
      <c r="G18" s="85">
        <v>3</v>
      </c>
      <c r="H18" s="85">
        <v>2</v>
      </c>
      <c r="I18" s="85"/>
      <c r="J18" s="85"/>
      <c r="K18" s="86"/>
      <c r="L18" s="87" t="s">
        <v>200</v>
      </c>
      <c r="M18" s="38">
        <v>13</v>
      </c>
      <c r="N18" s="38">
        <v>38</v>
      </c>
      <c r="O18" s="49">
        <v>11</v>
      </c>
      <c r="P18" s="49">
        <v>11</v>
      </c>
      <c r="Q18" s="85">
        <v>11</v>
      </c>
      <c r="R18" s="85">
        <v>7</v>
      </c>
      <c r="S18" s="85">
        <v>4</v>
      </c>
      <c r="T18" s="85">
        <v>6</v>
      </c>
      <c r="U18" s="85">
        <v>4</v>
      </c>
      <c r="V18" s="85">
        <v>1</v>
      </c>
      <c r="W18" s="85"/>
      <c r="X18" s="85"/>
      <c r="Y18" s="49"/>
      <c r="Z18" s="94"/>
      <c r="AA18" s="95"/>
      <c r="AB18" s="85"/>
      <c r="AC18" s="85"/>
      <c r="AD18" s="85"/>
      <c r="AE18" s="85"/>
      <c r="AF18" s="85"/>
      <c r="AG18" s="49"/>
      <c r="AH18" s="92"/>
      <c r="AI18" s="49"/>
    </row>
    <row r="19" spans="1:35" ht="12.75" x14ac:dyDescent="0.2">
      <c r="A19" s="87" t="s">
        <v>141</v>
      </c>
      <c r="B19" s="70">
        <f t="shared" ref="B19:I19" si="6">B18*B17</f>
        <v>0.95000000000000007</v>
      </c>
      <c r="C19" s="70">
        <f t="shared" si="6"/>
        <v>4.5</v>
      </c>
      <c r="D19" s="70">
        <f t="shared" si="6"/>
        <v>2.4000000000000004</v>
      </c>
      <c r="E19" s="70">
        <f t="shared" si="6"/>
        <v>5.5</v>
      </c>
      <c r="F19" s="70">
        <f t="shared" si="6"/>
        <v>6</v>
      </c>
      <c r="G19" s="70">
        <f t="shared" si="6"/>
        <v>6</v>
      </c>
      <c r="H19" s="70">
        <f t="shared" si="6"/>
        <v>10</v>
      </c>
      <c r="I19" s="70">
        <f t="shared" si="6"/>
        <v>0</v>
      </c>
      <c r="J19" s="70">
        <f>SUM(B19:I19)</f>
        <v>35.35</v>
      </c>
      <c r="K19" s="86"/>
      <c r="L19" s="87" t="s">
        <v>141</v>
      </c>
      <c r="M19" s="70">
        <f>M18*M17</f>
        <v>0.65</v>
      </c>
      <c r="N19" s="70">
        <f>N18*O17</f>
        <v>7.6000000000000005</v>
      </c>
      <c r="O19" s="70">
        <v>2.2000000000000002</v>
      </c>
      <c r="P19" s="70">
        <f t="shared" ref="P19:V19" si="7">P18*P17</f>
        <v>5.5</v>
      </c>
      <c r="Q19" s="70">
        <f t="shared" si="7"/>
        <v>11</v>
      </c>
      <c r="R19" s="70">
        <f t="shared" si="7"/>
        <v>14</v>
      </c>
      <c r="S19" s="70">
        <f t="shared" si="7"/>
        <v>20</v>
      </c>
      <c r="T19" s="70">
        <f t="shared" si="7"/>
        <v>60</v>
      </c>
      <c r="U19" s="70">
        <f t="shared" si="7"/>
        <v>80</v>
      </c>
      <c r="V19" s="70">
        <f t="shared" si="7"/>
        <v>50</v>
      </c>
      <c r="W19" s="70">
        <f>SUM(M19:V19)</f>
        <v>250.95</v>
      </c>
      <c r="X19" s="96">
        <f>W19-J19</f>
        <v>215.6</v>
      </c>
      <c r="Y19" s="94">
        <v>72.599999999999994</v>
      </c>
      <c r="Z19" s="94">
        <v>41.8</v>
      </c>
      <c r="AA19" s="97">
        <f>X19+Z19</f>
        <v>257.39999999999998</v>
      </c>
      <c r="AB19" s="85">
        <v>62.6</v>
      </c>
      <c r="AC19" s="96">
        <f>Y19-AB19</f>
        <v>9.9999999999999929</v>
      </c>
      <c r="AD19" s="96">
        <f>X19-Y19</f>
        <v>143</v>
      </c>
      <c r="AE19" s="85">
        <v>43</v>
      </c>
      <c r="AF19" s="96">
        <f>AD19-AE19</f>
        <v>100</v>
      </c>
      <c r="AG19" s="49"/>
      <c r="AH19" s="98">
        <f>(SUM(Y19:Z19)/(1+10/100))*(10/100)</f>
        <v>10.399999999999999</v>
      </c>
      <c r="AI19" s="49"/>
    </row>
    <row r="21" spans="1:35" ht="51" x14ac:dyDescent="0.2">
      <c r="A21" s="83" t="s">
        <v>135</v>
      </c>
      <c r="B21" s="84">
        <v>45814</v>
      </c>
      <c r="C21" s="85"/>
      <c r="D21" s="85"/>
      <c r="E21" s="85"/>
      <c r="F21" s="85"/>
      <c r="G21" s="85"/>
      <c r="H21" s="85"/>
      <c r="I21" s="85"/>
      <c r="J21" s="85"/>
      <c r="K21" s="86"/>
      <c r="L21" s="83" t="s">
        <v>136</v>
      </c>
      <c r="M21" s="84">
        <v>45814</v>
      </c>
      <c r="N21" s="85"/>
      <c r="O21" s="85"/>
      <c r="P21" s="85"/>
      <c r="Q21" s="85"/>
      <c r="R21" s="85"/>
      <c r="S21" s="85"/>
      <c r="T21" s="85"/>
      <c r="U21" s="85"/>
      <c r="V21" s="85"/>
      <c r="W21" s="87" t="s">
        <v>141</v>
      </c>
      <c r="X21" s="88" t="s">
        <v>192</v>
      </c>
      <c r="Y21" s="89" t="s">
        <v>142</v>
      </c>
      <c r="Z21" s="90" t="s">
        <v>193</v>
      </c>
      <c r="AA21" s="91" t="s">
        <v>194</v>
      </c>
      <c r="AB21" s="88" t="s">
        <v>288</v>
      </c>
      <c r="AC21" s="87" t="s">
        <v>195</v>
      </c>
      <c r="AD21" s="87" t="s">
        <v>196</v>
      </c>
      <c r="AE21" s="88" t="s">
        <v>197</v>
      </c>
      <c r="AF21" s="87" t="s">
        <v>198</v>
      </c>
      <c r="AG21" s="49"/>
      <c r="AH21" s="92"/>
      <c r="AI21" s="49"/>
    </row>
    <row r="22" spans="1:35" ht="12.75" x14ac:dyDescent="0.2">
      <c r="A22" s="87" t="s">
        <v>199</v>
      </c>
      <c r="B22" s="93">
        <v>0.05</v>
      </c>
      <c r="C22" s="93">
        <v>0.1</v>
      </c>
      <c r="D22" s="93">
        <v>0.2</v>
      </c>
      <c r="E22" s="93">
        <v>0.5</v>
      </c>
      <c r="F22" s="93">
        <v>1</v>
      </c>
      <c r="G22" s="93">
        <v>2</v>
      </c>
      <c r="H22" s="93">
        <v>5</v>
      </c>
      <c r="I22" s="93">
        <v>10</v>
      </c>
      <c r="J22" s="49"/>
      <c r="K22" s="86"/>
      <c r="L22" s="87" t="s">
        <v>199</v>
      </c>
      <c r="M22" s="93">
        <v>0.05</v>
      </c>
      <c r="N22" s="93">
        <v>0.1</v>
      </c>
      <c r="O22" s="93">
        <v>0.2</v>
      </c>
      <c r="P22" s="93">
        <v>0.5</v>
      </c>
      <c r="Q22" s="93">
        <v>1</v>
      </c>
      <c r="R22" s="93">
        <v>2</v>
      </c>
      <c r="S22" s="93">
        <v>5</v>
      </c>
      <c r="T22" s="93">
        <v>10</v>
      </c>
      <c r="U22" s="93">
        <v>20</v>
      </c>
      <c r="V22" s="93">
        <v>50</v>
      </c>
      <c r="W22" s="85"/>
      <c r="X22" s="85"/>
      <c r="Y22" s="49"/>
      <c r="Z22" s="94"/>
      <c r="AA22" s="95"/>
      <c r="AB22" s="85"/>
      <c r="AC22" s="85"/>
      <c r="AD22" s="85"/>
      <c r="AE22" s="85"/>
      <c r="AF22" s="85"/>
      <c r="AG22" s="49"/>
      <c r="AH22" s="92"/>
      <c r="AI22" s="49"/>
    </row>
    <row r="23" spans="1:35" ht="12.75" x14ac:dyDescent="0.2">
      <c r="A23" s="87" t="s">
        <v>200</v>
      </c>
      <c r="B23" s="38">
        <v>13</v>
      </c>
      <c r="C23" s="38">
        <v>38</v>
      </c>
      <c r="D23" s="49">
        <v>11</v>
      </c>
      <c r="E23" s="49">
        <v>11</v>
      </c>
      <c r="F23" s="85">
        <v>11</v>
      </c>
      <c r="G23" s="85">
        <v>7</v>
      </c>
      <c r="H23" s="85">
        <v>2</v>
      </c>
      <c r="I23" s="85"/>
      <c r="J23" s="85"/>
      <c r="K23" s="86"/>
      <c r="L23" s="87" t="s">
        <v>200</v>
      </c>
      <c r="M23" s="38">
        <v>17</v>
      </c>
      <c r="N23" s="38">
        <v>39</v>
      </c>
      <c r="O23" s="49">
        <v>8</v>
      </c>
      <c r="P23" s="49">
        <v>13</v>
      </c>
      <c r="Q23" s="85">
        <v>5</v>
      </c>
      <c r="R23" s="85">
        <v>3</v>
      </c>
      <c r="S23" s="85">
        <v>5</v>
      </c>
      <c r="T23" s="85"/>
      <c r="U23" s="85">
        <v>13</v>
      </c>
      <c r="V23" s="85">
        <v>2</v>
      </c>
      <c r="W23" s="85"/>
      <c r="X23" s="85"/>
      <c r="Y23" s="49"/>
      <c r="Z23" s="94"/>
      <c r="AA23" s="95"/>
      <c r="AB23" s="85"/>
      <c r="AC23" s="85"/>
      <c r="AD23" s="85"/>
      <c r="AE23" s="85"/>
      <c r="AF23" s="85"/>
      <c r="AG23" s="49"/>
      <c r="AH23" s="92"/>
      <c r="AI23" s="49"/>
    </row>
    <row r="24" spans="1:35" ht="12.75" x14ac:dyDescent="0.2">
      <c r="A24" s="87" t="s">
        <v>141</v>
      </c>
      <c r="B24" s="70">
        <f t="shared" ref="B24:I24" si="8">B23*B22</f>
        <v>0.65</v>
      </c>
      <c r="C24" s="70">
        <f t="shared" si="8"/>
        <v>3.8000000000000003</v>
      </c>
      <c r="D24" s="70">
        <f t="shared" si="8"/>
        <v>2.2000000000000002</v>
      </c>
      <c r="E24" s="70">
        <f t="shared" si="8"/>
        <v>5.5</v>
      </c>
      <c r="F24" s="70">
        <f t="shared" si="8"/>
        <v>11</v>
      </c>
      <c r="G24" s="70">
        <f t="shared" si="8"/>
        <v>14</v>
      </c>
      <c r="H24" s="70">
        <f t="shared" si="8"/>
        <v>10</v>
      </c>
      <c r="I24" s="70">
        <f t="shared" si="8"/>
        <v>0</v>
      </c>
      <c r="J24" s="70">
        <f>SUM(B24:I24)</f>
        <v>47.15</v>
      </c>
      <c r="K24" s="86"/>
      <c r="L24" s="87" t="s">
        <v>141</v>
      </c>
      <c r="M24" s="70">
        <f t="shared" ref="M24:V24" si="9">M23*M22</f>
        <v>0.85000000000000009</v>
      </c>
      <c r="N24" s="70">
        <f t="shared" si="9"/>
        <v>3.9000000000000004</v>
      </c>
      <c r="O24" s="70">
        <f t="shared" si="9"/>
        <v>1.6</v>
      </c>
      <c r="P24" s="70">
        <f t="shared" si="9"/>
        <v>6.5</v>
      </c>
      <c r="Q24" s="70">
        <f t="shared" si="9"/>
        <v>5</v>
      </c>
      <c r="R24" s="70">
        <f t="shared" si="9"/>
        <v>6</v>
      </c>
      <c r="S24" s="70">
        <f t="shared" si="9"/>
        <v>25</v>
      </c>
      <c r="T24" s="70">
        <f t="shared" si="9"/>
        <v>0</v>
      </c>
      <c r="U24" s="70">
        <f t="shared" si="9"/>
        <v>260</v>
      </c>
      <c r="V24" s="70">
        <f t="shared" si="9"/>
        <v>100</v>
      </c>
      <c r="W24" s="70">
        <f>SUM(M24:V24)</f>
        <v>408.85</v>
      </c>
      <c r="X24" s="96">
        <f>W24-J24</f>
        <v>361.70000000000005</v>
      </c>
      <c r="Y24" s="94">
        <v>151.9</v>
      </c>
      <c r="Z24" s="94">
        <v>146.80000000000001</v>
      </c>
      <c r="AA24" s="97">
        <f>X24+Z24</f>
        <v>508.50000000000006</v>
      </c>
      <c r="AB24" s="85">
        <v>125</v>
      </c>
      <c r="AC24" s="96">
        <f>Y24-AB24</f>
        <v>26.900000000000006</v>
      </c>
      <c r="AD24" s="96">
        <f>X24-Y24</f>
        <v>209.80000000000004</v>
      </c>
      <c r="AE24" s="85">
        <v>39</v>
      </c>
      <c r="AF24" s="96">
        <f>AD24-AE24</f>
        <v>170.80000000000004</v>
      </c>
      <c r="AG24" s="49"/>
      <c r="AH24" s="98">
        <f>(SUM(Y24:Z24)/(1+10/100))*(10/100)</f>
        <v>27.154545454545456</v>
      </c>
      <c r="AI24" s="49"/>
    </row>
    <row r="26" spans="1:35" ht="51" x14ac:dyDescent="0.2">
      <c r="A26" s="83" t="s">
        <v>135</v>
      </c>
      <c r="B26" s="84">
        <v>45815</v>
      </c>
      <c r="C26" s="85"/>
      <c r="D26" s="85"/>
      <c r="E26" s="85"/>
      <c r="F26" s="85"/>
      <c r="G26" s="85"/>
      <c r="H26" s="85"/>
      <c r="I26" s="85"/>
      <c r="J26" s="85"/>
      <c r="K26" s="86"/>
      <c r="L26" s="83" t="s">
        <v>136</v>
      </c>
      <c r="M26" s="84">
        <v>45815</v>
      </c>
      <c r="N26" s="85"/>
      <c r="O26" s="85"/>
      <c r="P26" s="85"/>
      <c r="Q26" s="85"/>
      <c r="R26" s="85"/>
      <c r="S26" s="85"/>
      <c r="T26" s="85"/>
      <c r="U26" s="85"/>
      <c r="V26" s="85"/>
      <c r="W26" s="87" t="s">
        <v>141</v>
      </c>
      <c r="X26" s="88" t="s">
        <v>192</v>
      </c>
      <c r="Y26" s="89" t="s">
        <v>142</v>
      </c>
      <c r="Z26" s="90" t="s">
        <v>193</v>
      </c>
      <c r="AA26" s="91" t="s">
        <v>194</v>
      </c>
      <c r="AB26" s="88" t="s">
        <v>288</v>
      </c>
      <c r="AC26" s="87" t="s">
        <v>195</v>
      </c>
      <c r="AD26" s="87" t="s">
        <v>196</v>
      </c>
      <c r="AE26" s="88" t="s">
        <v>197</v>
      </c>
      <c r="AF26" s="87" t="s">
        <v>198</v>
      </c>
      <c r="AG26" s="49"/>
      <c r="AH26" s="92"/>
      <c r="AI26" s="49"/>
    </row>
    <row r="27" spans="1:35" ht="12.75" x14ac:dyDescent="0.2">
      <c r="A27" s="87" t="s">
        <v>199</v>
      </c>
      <c r="B27" s="93">
        <v>0.05</v>
      </c>
      <c r="C27" s="93">
        <v>0.1</v>
      </c>
      <c r="D27" s="93">
        <v>0.2</v>
      </c>
      <c r="E27" s="93">
        <v>0.5</v>
      </c>
      <c r="F27" s="93">
        <v>1</v>
      </c>
      <c r="G27" s="93">
        <v>2</v>
      </c>
      <c r="H27" s="93">
        <v>5</v>
      </c>
      <c r="I27" s="93">
        <v>10</v>
      </c>
      <c r="J27" s="49"/>
      <c r="K27" s="86"/>
      <c r="L27" s="87" t="s">
        <v>199</v>
      </c>
      <c r="M27" s="93">
        <v>0.05</v>
      </c>
      <c r="N27" s="93">
        <v>0.1</v>
      </c>
      <c r="O27" s="93">
        <v>0.2</v>
      </c>
      <c r="P27" s="93">
        <v>0.5</v>
      </c>
      <c r="Q27" s="93">
        <v>1</v>
      </c>
      <c r="R27" s="93">
        <v>2</v>
      </c>
      <c r="S27" s="93">
        <v>5</v>
      </c>
      <c r="T27" s="93">
        <v>10</v>
      </c>
      <c r="U27" s="93">
        <v>20</v>
      </c>
      <c r="V27" s="93">
        <v>50</v>
      </c>
      <c r="W27" s="85"/>
      <c r="X27" s="85"/>
      <c r="Y27" s="49"/>
      <c r="Z27" s="94"/>
      <c r="AA27" s="95"/>
      <c r="AB27" s="85"/>
      <c r="AC27" s="85"/>
      <c r="AD27" s="85"/>
      <c r="AE27" s="85"/>
      <c r="AF27" s="85"/>
      <c r="AG27" s="49"/>
      <c r="AH27" s="92"/>
      <c r="AI27" s="49"/>
    </row>
    <row r="28" spans="1:35" ht="12.75" x14ac:dyDescent="0.2">
      <c r="A28" s="87" t="s">
        <v>200</v>
      </c>
      <c r="B28" s="38">
        <v>17</v>
      </c>
      <c r="C28" s="38">
        <v>39</v>
      </c>
      <c r="D28" s="49">
        <v>8</v>
      </c>
      <c r="E28" s="49">
        <v>13</v>
      </c>
      <c r="F28" s="85">
        <v>5</v>
      </c>
      <c r="G28" s="85">
        <v>3</v>
      </c>
      <c r="H28" s="85">
        <v>1</v>
      </c>
      <c r="I28" s="85"/>
      <c r="J28" s="85"/>
      <c r="K28" s="86"/>
      <c r="L28" s="87" t="s">
        <v>200</v>
      </c>
      <c r="M28" s="38">
        <v>19</v>
      </c>
      <c r="N28" s="38">
        <v>29</v>
      </c>
      <c r="O28" s="49">
        <v>7</v>
      </c>
      <c r="P28" s="49">
        <v>4</v>
      </c>
      <c r="Q28" s="85">
        <v>10</v>
      </c>
      <c r="R28" s="85">
        <v>4</v>
      </c>
      <c r="S28" s="85">
        <v>4</v>
      </c>
      <c r="T28" s="85">
        <v>3</v>
      </c>
      <c r="U28" s="85">
        <v>5</v>
      </c>
      <c r="V28" s="85">
        <v>1</v>
      </c>
      <c r="W28" s="85"/>
      <c r="X28" s="85"/>
      <c r="Y28" s="49"/>
      <c r="Z28" s="94"/>
      <c r="AA28" s="95"/>
      <c r="AB28" s="85"/>
      <c r="AC28" s="85"/>
      <c r="AD28" s="85"/>
      <c r="AE28" s="85"/>
      <c r="AF28" s="85"/>
      <c r="AG28" s="49"/>
      <c r="AH28" s="92"/>
      <c r="AI28" s="49"/>
    </row>
    <row r="29" spans="1:35" ht="12.75" x14ac:dyDescent="0.2">
      <c r="A29" s="87" t="s">
        <v>141</v>
      </c>
      <c r="B29" s="70">
        <f t="shared" ref="B29:I29" si="10">B28*B27</f>
        <v>0.85000000000000009</v>
      </c>
      <c r="C29" s="70">
        <f t="shared" si="10"/>
        <v>3.9000000000000004</v>
      </c>
      <c r="D29" s="70">
        <f t="shared" si="10"/>
        <v>1.6</v>
      </c>
      <c r="E29" s="70">
        <f t="shared" si="10"/>
        <v>6.5</v>
      </c>
      <c r="F29" s="70">
        <f t="shared" si="10"/>
        <v>5</v>
      </c>
      <c r="G29" s="70">
        <f t="shared" si="10"/>
        <v>6</v>
      </c>
      <c r="H29" s="70">
        <f t="shared" si="10"/>
        <v>5</v>
      </c>
      <c r="I29" s="70">
        <f t="shared" si="10"/>
        <v>0</v>
      </c>
      <c r="J29" s="70">
        <f>SUM(B29:I29)</f>
        <v>28.85</v>
      </c>
      <c r="K29" s="86"/>
      <c r="L29" s="87" t="s">
        <v>141</v>
      </c>
      <c r="M29" s="70">
        <f t="shared" ref="M29:V29" si="11">M28*M27</f>
        <v>0.95000000000000007</v>
      </c>
      <c r="N29" s="70">
        <f t="shared" si="11"/>
        <v>2.9000000000000004</v>
      </c>
      <c r="O29" s="70">
        <f t="shared" si="11"/>
        <v>1.4000000000000001</v>
      </c>
      <c r="P29" s="70">
        <f t="shared" si="11"/>
        <v>2</v>
      </c>
      <c r="Q29" s="70">
        <f t="shared" si="11"/>
        <v>10</v>
      </c>
      <c r="R29" s="70">
        <f t="shared" si="11"/>
        <v>8</v>
      </c>
      <c r="S29" s="70">
        <f t="shared" si="11"/>
        <v>20</v>
      </c>
      <c r="T29" s="70">
        <f t="shared" si="11"/>
        <v>30</v>
      </c>
      <c r="U29" s="70">
        <f t="shared" si="11"/>
        <v>100</v>
      </c>
      <c r="V29" s="70">
        <f t="shared" si="11"/>
        <v>50</v>
      </c>
      <c r="W29" s="70">
        <f>SUM(M29:V29)</f>
        <v>225.25</v>
      </c>
      <c r="X29" s="96">
        <f>W29-J29</f>
        <v>196.4</v>
      </c>
      <c r="Y29" s="94">
        <v>127.5</v>
      </c>
      <c r="Z29" s="94">
        <v>29</v>
      </c>
      <c r="AA29" s="97">
        <f>X29+Z29</f>
        <v>225.4</v>
      </c>
      <c r="AB29" s="85">
        <v>90</v>
      </c>
      <c r="AC29" s="96">
        <f>Y29-AB29</f>
        <v>37.5</v>
      </c>
      <c r="AD29" s="96">
        <f>X29-Y29</f>
        <v>68.900000000000006</v>
      </c>
      <c r="AE29" s="85"/>
      <c r="AF29" s="96">
        <f>AD29-AE29</f>
        <v>68.900000000000006</v>
      </c>
      <c r="AG29" s="49"/>
      <c r="AH29" s="98">
        <f>(SUM(Y29:Z29)/(1+10/100))*(10/100)</f>
        <v>14.227272727272727</v>
      </c>
      <c r="AI29" s="49"/>
    </row>
    <row r="30" spans="1:35" ht="12.75" x14ac:dyDescent="0.2">
      <c r="AB30" s="38" t="s">
        <v>298</v>
      </c>
    </row>
    <row r="31" spans="1:35" ht="51" x14ac:dyDescent="0.2">
      <c r="A31" s="83" t="s">
        <v>135</v>
      </c>
      <c r="B31" s="84">
        <v>45817</v>
      </c>
      <c r="C31" s="85"/>
      <c r="D31" s="85"/>
      <c r="E31" s="85"/>
      <c r="F31" s="85"/>
      <c r="G31" s="85"/>
      <c r="H31" s="85"/>
      <c r="I31" s="85"/>
      <c r="J31" s="85"/>
      <c r="K31" s="86"/>
      <c r="L31" s="83" t="s">
        <v>136</v>
      </c>
      <c r="M31" s="84">
        <v>45817</v>
      </c>
      <c r="N31" s="85"/>
      <c r="O31" s="85"/>
      <c r="P31" s="85"/>
      <c r="Q31" s="85"/>
      <c r="R31" s="85"/>
      <c r="S31" s="85"/>
      <c r="T31" s="85"/>
      <c r="U31" s="85"/>
      <c r="V31" s="85"/>
      <c r="W31" s="87" t="s">
        <v>141</v>
      </c>
      <c r="X31" s="88" t="s">
        <v>192</v>
      </c>
      <c r="Y31" s="89" t="s">
        <v>142</v>
      </c>
      <c r="Z31" s="90" t="s">
        <v>193</v>
      </c>
      <c r="AA31" s="91" t="s">
        <v>194</v>
      </c>
      <c r="AB31" s="88" t="s">
        <v>288</v>
      </c>
      <c r="AC31" s="87" t="s">
        <v>195</v>
      </c>
      <c r="AD31" s="87" t="s">
        <v>196</v>
      </c>
      <c r="AE31" s="88" t="s">
        <v>197</v>
      </c>
      <c r="AF31" s="87" t="s">
        <v>198</v>
      </c>
      <c r="AG31" s="49"/>
      <c r="AH31" s="92"/>
      <c r="AI31" s="49"/>
    </row>
    <row r="32" spans="1:35" ht="12.75" x14ac:dyDescent="0.2">
      <c r="A32" s="87" t="s">
        <v>199</v>
      </c>
      <c r="B32" s="93">
        <v>0.05</v>
      </c>
      <c r="C32" s="93">
        <v>0.1</v>
      </c>
      <c r="D32" s="93">
        <v>0.2</v>
      </c>
      <c r="E32" s="93">
        <v>0.5</v>
      </c>
      <c r="F32" s="93">
        <v>1</v>
      </c>
      <c r="G32" s="93">
        <v>2</v>
      </c>
      <c r="H32" s="93">
        <v>5</v>
      </c>
      <c r="I32" s="93">
        <v>10</v>
      </c>
      <c r="J32" s="49"/>
      <c r="K32" s="86"/>
      <c r="L32" s="87" t="s">
        <v>199</v>
      </c>
      <c r="M32" s="93">
        <v>0.05</v>
      </c>
      <c r="N32" s="93">
        <v>0.1</v>
      </c>
      <c r="O32" s="93">
        <v>0.2</v>
      </c>
      <c r="P32" s="93">
        <v>0.5</v>
      </c>
      <c r="Q32" s="93">
        <v>1</v>
      </c>
      <c r="R32" s="93">
        <v>2</v>
      </c>
      <c r="S32" s="93">
        <v>5</v>
      </c>
      <c r="T32" s="93">
        <v>10</v>
      </c>
      <c r="U32" s="93">
        <v>20</v>
      </c>
      <c r="V32" s="93">
        <v>50</v>
      </c>
      <c r="W32" s="85"/>
      <c r="X32" s="85"/>
      <c r="Y32" s="49"/>
      <c r="Z32" s="94"/>
      <c r="AA32" s="95"/>
      <c r="AB32" s="85"/>
      <c r="AC32" s="85"/>
      <c r="AD32" s="85"/>
      <c r="AE32" s="85"/>
      <c r="AF32" s="85"/>
      <c r="AG32" s="49"/>
      <c r="AH32" s="92"/>
      <c r="AI32" s="49"/>
    </row>
    <row r="33" spans="1:35" ht="12.75" x14ac:dyDescent="0.2">
      <c r="A33" s="87" t="s">
        <v>200</v>
      </c>
      <c r="B33" s="38">
        <v>19</v>
      </c>
      <c r="C33" s="38">
        <v>29</v>
      </c>
      <c r="D33" s="49">
        <v>7</v>
      </c>
      <c r="E33" s="49">
        <v>4</v>
      </c>
      <c r="F33" s="85">
        <v>10</v>
      </c>
      <c r="G33" s="85">
        <v>4</v>
      </c>
      <c r="H33" s="85">
        <v>2</v>
      </c>
      <c r="I33" s="85"/>
      <c r="J33" s="85"/>
      <c r="K33" s="86"/>
      <c r="L33" s="87" t="s">
        <v>200</v>
      </c>
      <c r="M33" s="38">
        <v>13</v>
      </c>
      <c r="N33" s="38">
        <v>15</v>
      </c>
      <c r="O33" s="49">
        <v>8</v>
      </c>
      <c r="P33" s="49">
        <v>4</v>
      </c>
      <c r="Q33" s="85">
        <v>11</v>
      </c>
      <c r="R33" s="85">
        <v>7</v>
      </c>
      <c r="S33" s="85">
        <v>2</v>
      </c>
      <c r="T33" s="85">
        <v>9</v>
      </c>
      <c r="U33" s="85">
        <v>8</v>
      </c>
      <c r="V33" s="85">
        <v>1</v>
      </c>
      <c r="W33" s="85"/>
      <c r="X33" s="85"/>
      <c r="Y33" s="49"/>
      <c r="Z33" s="94"/>
      <c r="AA33" s="95"/>
      <c r="AB33" s="85"/>
      <c r="AC33" s="85"/>
      <c r="AD33" s="85"/>
      <c r="AE33" s="85"/>
      <c r="AF33" s="85"/>
      <c r="AG33" s="49"/>
      <c r="AH33" s="92"/>
      <c r="AI33" s="49"/>
    </row>
    <row r="34" spans="1:35" ht="12.75" x14ac:dyDescent="0.2">
      <c r="A34" s="87" t="s">
        <v>141</v>
      </c>
      <c r="B34" s="70">
        <f t="shared" ref="B34:I34" si="12">B33*B32</f>
        <v>0.95000000000000007</v>
      </c>
      <c r="C34" s="70">
        <f t="shared" si="12"/>
        <v>2.9000000000000004</v>
      </c>
      <c r="D34" s="70">
        <f t="shared" si="12"/>
        <v>1.4000000000000001</v>
      </c>
      <c r="E34" s="70">
        <f t="shared" si="12"/>
        <v>2</v>
      </c>
      <c r="F34" s="70">
        <f t="shared" si="12"/>
        <v>10</v>
      </c>
      <c r="G34" s="70">
        <f t="shared" si="12"/>
        <v>8</v>
      </c>
      <c r="H34" s="70">
        <f t="shared" si="12"/>
        <v>10</v>
      </c>
      <c r="I34" s="70">
        <f t="shared" si="12"/>
        <v>0</v>
      </c>
      <c r="J34" s="70">
        <f>SUM(B34:I34)</f>
        <v>35.25</v>
      </c>
      <c r="K34" s="86"/>
      <c r="L34" s="87" t="s">
        <v>141</v>
      </c>
      <c r="M34" s="70">
        <f t="shared" ref="M34:V34" si="13">M33*M32</f>
        <v>0.65</v>
      </c>
      <c r="N34" s="70">
        <f t="shared" si="13"/>
        <v>1.5</v>
      </c>
      <c r="O34" s="70">
        <f t="shared" si="13"/>
        <v>1.6</v>
      </c>
      <c r="P34" s="70">
        <f t="shared" si="13"/>
        <v>2</v>
      </c>
      <c r="Q34" s="70">
        <f t="shared" si="13"/>
        <v>11</v>
      </c>
      <c r="R34" s="70">
        <f t="shared" si="13"/>
        <v>14</v>
      </c>
      <c r="S34" s="70">
        <f t="shared" si="13"/>
        <v>10</v>
      </c>
      <c r="T34" s="70">
        <f t="shared" si="13"/>
        <v>90</v>
      </c>
      <c r="U34" s="70">
        <f t="shared" si="13"/>
        <v>160</v>
      </c>
      <c r="V34" s="70">
        <f t="shared" si="13"/>
        <v>50</v>
      </c>
      <c r="W34" s="70">
        <f>SUM(M34:V34)</f>
        <v>340.75</v>
      </c>
      <c r="X34" s="96">
        <f>W34-J34</f>
        <v>305.5</v>
      </c>
      <c r="Y34" s="94">
        <v>126.2</v>
      </c>
      <c r="Z34" s="94">
        <v>37.799999999999997</v>
      </c>
      <c r="AA34" s="97">
        <f>X34+Z34</f>
        <v>343.3</v>
      </c>
      <c r="AB34" s="85">
        <v>126.2</v>
      </c>
      <c r="AC34" s="96">
        <f>Y34-AB34</f>
        <v>0</v>
      </c>
      <c r="AD34" s="96">
        <f>X34-Y34</f>
        <v>179.3</v>
      </c>
      <c r="AE34" s="85">
        <v>72.3</v>
      </c>
      <c r="AF34" s="96">
        <f>AD34-AE34</f>
        <v>107.00000000000001</v>
      </c>
      <c r="AG34" s="49"/>
      <c r="AH34" s="98">
        <f>(SUM(Y34:Z34)/(1+10/100))*(10/100)</f>
        <v>14.909090909090907</v>
      </c>
      <c r="AI34" s="49"/>
    </row>
    <row r="36" spans="1:35" ht="51" x14ac:dyDescent="0.2">
      <c r="A36" s="83" t="s">
        <v>135</v>
      </c>
      <c r="B36" s="84">
        <v>45818</v>
      </c>
      <c r="C36" s="85"/>
      <c r="D36" s="85"/>
      <c r="E36" s="85"/>
      <c r="F36" s="85"/>
      <c r="G36" s="85"/>
      <c r="H36" s="85"/>
      <c r="I36" s="85"/>
      <c r="J36" s="85"/>
      <c r="K36" s="86"/>
      <c r="L36" s="83" t="s">
        <v>136</v>
      </c>
      <c r="M36" s="84">
        <v>45818</v>
      </c>
      <c r="N36" s="85"/>
      <c r="O36" s="85"/>
      <c r="P36" s="85"/>
      <c r="Q36" s="85"/>
      <c r="R36" s="85"/>
      <c r="S36" s="85"/>
      <c r="T36" s="85"/>
      <c r="U36" s="85"/>
      <c r="V36" s="85"/>
      <c r="W36" s="87" t="s">
        <v>141</v>
      </c>
      <c r="X36" s="88" t="s">
        <v>192</v>
      </c>
      <c r="Y36" s="89" t="s">
        <v>142</v>
      </c>
      <c r="Z36" s="90" t="s">
        <v>193</v>
      </c>
      <c r="AA36" s="91" t="s">
        <v>194</v>
      </c>
      <c r="AB36" s="88" t="s">
        <v>288</v>
      </c>
      <c r="AC36" s="87" t="s">
        <v>195</v>
      </c>
      <c r="AD36" s="87" t="s">
        <v>196</v>
      </c>
      <c r="AE36" s="88" t="s">
        <v>197</v>
      </c>
      <c r="AF36" s="87" t="s">
        <v>198</v>
      </c>
      <c r="AG36" s="49"/>
      <c r="AH36" s="92"/>
      <c r="AI36" s="49"/>
    </row>
    <row r="37" spans="1:35" ht="12.75" x14ac:dyDescent="0.2">
      <c r="A37" s="87" t="s">
        <v>199</v>
      </c>
      <c r="B37" s="93">
        <v>0.05</v>
      </c>
      <c r="C37" s="93">
        <v>0.1</v>
      </c>
      <c r="D37" s="93">
        <v>0.2</v>
      </c>
      <c r="E37" s="93">
        <v>0.5</v>
      </c>
      <c r="F37" s="93">
        <v>1</v>
      </c>
      <c r="G37" s="93">
        <v>2</v>
      </c>
      <c r="H37" s="93">
        <v>5</v>
      </c>
      <c r="I37" s="93">
        <v>10</v>
      </c>
      <c r="J37" s="49"/>
      <c r="K37" s="86"/>
      <c r="L37" s="87" t="s">
        <v>199</v>
      </c>
      <c r="M37" s="93">
        <v>0.05</v>
      </c>
      <c r="N37" s="93">
        <v>0.1</v>
      </c>
      <c r="O37" s="93">
        <v>0.2</v>
      </c>
      <c r="P37" s="93">
        <v>0.5</v>
      </c>
      <c r="Q37" s="93">
        <v>1</v>
      </c>
      <c r="R37" s="93">
        <v>2</v>
      </c>
      <c r="S37" s="93">
        <v>5</v>
      </c>
      <c r="T37" s="93">
        <v>10</v>
      </c>
      <c r="U37" s="93">
        <v>20</v>
      </c>
      <c r="V37" s="93">
        <v>50</v>
      </c>
      <c r="W37" s="85"/>
      <c r="X37" s="85"/>
      <c r="Y37" s="49"/>
      <c r="Z37" s="94"/>
      <c r="AA37" s="95"/>
      <c r="AB37" s="85"/>
      <c r="AC37" s="85"/>
      <c r="AD37" s="85"/>
      <c r="AE37" s="85"/>
      <c r="AF37" s="85"/>
      <c r="AG37" s="49"/>
      <c r="AH37" s="92"/>
      <c r="AI37" s="49"/>
    </row>
    <row r="38" spans="1:35" ht="12.75" x14ac:dyDescent="0.2">
      <c r="A38" s="87" t="s">
        <v>200</v>
      </c>
      <c r="B38" s="38">
        <v>13</v>
      </c>
      <c r="C38" s="38">
        <v>15</v>
      </c>
      <c r="D38" s="49">
        <v>8</v>
      </c>
      <c r="E38" s="49">
        <v>4</v>
      </c>
      <c r="F38" s="85">
        <v>11</v>
      </c>
      <c r="G38" s="85">
        <v>7</v>
      </c>
      <c r="H38" s="85">
        <v>2</v>
      </c>
      <c r="I38" s="85"/>
      <c r="J38" s="85"/>
      <c r="K38" s="86"/>
      <c r="L38" s="87" t="s">
        <v>200</v>
      </c>
      <c r="M38" s="38">
        <v>15</v>
      </c>
      <c r="N38" s="38">
        <v>27</v>
      </c>
      <c r="O38" s="49">
        <v>15</v>
      </c>
      <c r="P38" s="49">
        <v>3</v>
      </c>
      <c r="Q38" s="85">
        <v>5</v>
      </c>
      <c r="R38" s="85">
        <v>4</v>
      </c>
      <c r="S38" s="85">
        <v>5</v>
      </c>
      <c r="T38" s="85">
        <v>4</v>
      </c>
      <c r="U38" s="85">
        <v>6</v>
      </c>
      <c r="V38" s="85">
        <v>2</v>
      </c>
      <c r="W38" s="85"/>
      <c r="X38" s="85"/>
      <c r="Y38" s="49"/>
      <c r="Z38" s="94"/>
      <c r="AA38" s="95"/>
      <c r="AB38" s="85"/>
      <c r="AC38" s="85"/>
      <c r="AD38" s="85"/>
      <c r="AE38" s="85"/>
      <c r="AF38" s="85"/>
      <c r="AG38" s="49"/>
      <c r="AH38" s="92"/>
      <c r="AI38" s="49"/>
    </row>
    <row r="39" spans="1:35" ht="12.75" x14ac:dyDescent="0.2">
      <c r="A39" s="87" t="s">
        <v>141</v>
      </c>
      <c r="B39" s="70">
        <f t="shared" ref="B39:I39" si="14">B38*B37</f>
        <v>0.65</v>
      </c>
      <c r="C39" s="70">
        <f t="shared" si="14"/>
        <v>1.5</v>
      </c>
      <c r="D39" s="70">
        <f t="shared" si="14"/>
        <v>1.6</v>
      </c>
      <c r="E39" s="70">
        <f t="shared" si="14"/>
        <v>2</v>
      </c>
      <c r="F39" s="70">
        <f t="shared" si="14"/>
        <v>11</v>
      </c>
      <c r="G39" s="70">
        <f t="shared" si="14"/>
        <v>14</v>
      </c>
      <c r="H39" s="70">
        <f t="shared" si="14"/>
        <v>10</v>
      </c>
      <c r="I39" s="70">
        <f t="shared" si="14"/>
        <v>0</v>
      </c>
      <c r="J39" s="70">
        <f>SUM(B39:I39)</f>
        <v>40.75</v>
      </c>
      <c r="K39" s="86"/>
      <c r="L39" s="87" t="s">
        <v>141</v>
      </c>
      <c r="M39" s="70">
        <f t="shared" ref="M39:V39" si="15">M38*M37</f>
        <v>0.75</v>
      </c>
      <c r="N39" s="70">
        <f t="shared" si="15"/>
        <v>2.7</v>
      </c>
      <c r="O39" s="70">
        <f t="shared" si="15"/>
        <v>3</v>
      </c>
      <c r="P39" s="70">
        <f t="shared" si="15"/>
        <v>1.5</v>
      </c>
      <c r="Q39" s="70">
        <f t="shared" si="15"/>
        <v>5</v>
      </c>
      <c r="R39" s="70">
        <f t="shared" si="15"/>
        <v>8</v>
      </c>
      <c r="S39" s="70">
        <f t="shared" si="15"/>
        <v>25</v>
      </c>
      <c r="T39" s="70">
        <f t="shared" si="15"/>
        <v>40</v>
      </c>
      <c r="U39" s="70">
        <f t="shared" si="15"/>
        <v>120</v>
      </c>
      <c r="V39" s="70">
        <f t="shared" si="15"/>
        <v>100</v>
      </c>
      <c r="W39" s="70">
        <f>SUM(M39:V39)</f>
        <v>305.95</v>
      </c>
      <c r="X39" s="96">
        <f>W39-J39</f>
        <v>265.2</v>
      </c>
      <c r="Y39" s="94">
        <v>111.1</v>
      </c>
      <c r="Z39" s="94">
        <v>94.4</v>
      </c>
      <c r="AA39" s="97">
        <f>X39+Z39</f>
        <v>359.6</v>
      </c>
      <c r="AB39" s="85">
        <v>56.1</v>
      </c>
      <c r="AC39" s="96">
        <f>Y39-AB39</f>
        <v>54.999999999999993</v>
      </c>
      <c r="AD39" s="96">
        <f>X39-Y39</f>
        <v>154.1</v>
      </c>
      <c r="AE39" s="85">
        <v>34.1</v>
      </c>
      <c r="AF39" s="96">
        <f>AD39-AE39</f>
        <v>120</v>
      </c>
      <c r="AG39" s="49"/>
      <c r="AH39" s="98">
        <f>(SUM(Y39:Z39)/(1+10/100))*(10/100)</f>
        <v>18.681818181818183</v>
      </c>
      <c r="AI39" s="49"/>
    </row>
    <row r="41" spans="1:35" ht="51" x14ac:dyDescent="0.2">
      <c r="A41" s="83" t="s">
        <v>135</v>
      </c>
      <c r="B41" s="84">
        <v>45819</v>
      </c>
      <c r="C41" s="85"/>
      <c r="D41" s="85"/>
      <c r="E41" s="85"/>
      <c r="F41" s="85"/>
      <c r="G41" s="85"/>
      <c r="H41" s="85"/>
      <c r="I41" s="85"/>
      <c r="J41" s="85"/>
      <c r="K41" s="86"/>
      <c r="L41" s="83" t="s">
        <v>136</v>
      </c>
      <c r="M41" s="84">
        <v>45819</v>
      </c>
      <c r="N41" s="85"/>
      <c r="O41" s="85"/>
      <c r="P41" s="85"/>
      <c r="Q41" s="85"/>
      <c r="R41" s="85"/>
      <c r="S41" s="85"/>
      <c r="T41" s="85"/>
      <c r="U41" s="85"/>
      <c r="V41" s="85"/>
      <c r="W41" s="87" t="s">
        <v>141</v>
      </c>
      <c r="X41" s="88" t="s">
        <v>192</v>
      </c>
      <c r="Y41" s="89" t="s">
        <v>142</v>
      </c>
      <c r="Z41" s="90" t="s">
        <v>193</v>
      </c>
      <c r="AA41" s="91" t="s">
        <v>194</v>
      </c>
      <c r="AB41" s="88" t="s">
        <v>288</v>
      </c>
      <c r="AC41" s="87" t="s">
        <v>195</v>
      </c>
      <c r="AD41" s="87" t="s">
        <v>196</v>
      </c>
      <c r="AE41" s="88" t="s">
        <v>197</v>
      </c>
      <c r="AF41" s="87" t="s">
        <v>198</v>
      </c>
      <c r="AG41" s="49"/>
      <c r="AH41" s="92"/>
      <c r="AI41" s="49"/>
    </row>
    <row r="42" spans="1:35" ht="12.75" x14ac:dyDescent="0.2">
      <c r="A42" s="87" t="s">
        <v>199</v>
      </c>
      <c r="B42" s="93">
        <v>0.05</v>
      </c>
      <c r="C42" s="93">
        <v>0.1</v>
      </c>
      <c r="D42" s="93">
        <v>0.2</v>
      </c>
      <c r="E42" s="93">
        <v>0.5</v>
      </c>
      <c r="F42" s="93">
        <v>1</v>
      </c>
      <c r="G42" s="93">
        <v>2</v>
      </c>
      <c r="H42" s="93">
        <v>5</v>
      </c>
      <c r="I42" s="93">
        <v>10</v>
      </c>
      <c r="J42" s="49"/>
      <c r="K42" s="86"/>
      <c r="L42" s="87" t="s">
        <v>199</v>
      </c>
      <c r="M42" s="93">
        <v>0.05</v>
      </c>
      <c r="N42" s="93">
        <v>0.1</v>
      </c>
      <c r="O42" s="93">
        <v>0.2</v>
      </c>
      <c r="P42" s="93">
        <v>0.5</v>
      </c>
      <c r="Q42" s="93">
        <v>1</v>
      </c>
      <c r="R42" s="93">
        <v>2</v>
      </c>
      <c r="S42" s="93">
        <v>5</v>
      </c>
      <c r="T42" s="93">
        <v>10</v>
      </c>
      <c r="U42" s="93">
        <v>20</v>
      </c>
      <c r="V42" s="93">
        <v>50</v>
      </c>
      <c r="W42" s="85"/>
      <c r="X42" s="85"/>
      <c r="Y42" s="49"/>
      <c r="Z42" s="94"/>
      <c r="AA42" s="95"/>
      <c r="AB42" s="85"/>
      <c r="AC42" s="85"/>
      <c r="AD42" s="85"/>
      <c r="AE42" s="85"/>
      <c r="AF42" s="85"/>
      <c r="AG42" s="49"/>
      <c r="AH42" s="92"/>
      <c r="AI42" s="49"/>
    </row>
    <row r="43" spans="1:35" ht="12.75" x14ac:dyDescent="0.2">
      <c r="A43" s="87" t="s">
        <v>200</v>
      </c>
      <c r="B43" s="38">
        <v>15</v>
      </c>
      <c r="C43" s="38">
        <v>27</v>
      </c>
      <c r="D43" s="49">
        <v>15</v>
      </c>
      <c r="E43" s="49">
        <v>3</v>
      </c>
      <c r="F43" s="85">
        <v>5</v>
      </c>
      <c r="G43" s="85">
        <v>4</v>
      </c>
      <c r="H43" s="85">
        <v>2</v>
      </c>
      <c r="I43" s="85"/>
      <c r="J43" s="85"/>
      <c r="K43" s="86"/>
      <c r="L43" s="87" t="s">
        <v>200</v>
      </c>
      <c r="M43" s="38">
        <v>19</v>
      </c>
      <c r="N43" s="38">
        <v>32</v>
      </c>
      <c r="O43" s="49">
        <v>10</v>
      </c>
      <c r="P43" s="49">
        <v>3</v>
      </c>
      <c r="Q43" s="85">
        <v>13</v>
      </c>
      <c r="R43" s="85">
        <v>5</v>
      </c>
      <c r="S43" s="85">
        <v>7</v>
      </c>
      <c r="T43" s="85">
        <v>2</v>
      </c>
      <c r="U43" s="85">
        <v>8</v>
      </c>
      <c r="V43" s="85">
        <v>1</v>
      </c>
      <c r="W43" s="85"/>
      <c r="X43" s="85"/>
      <c r="Y43" s="49"/>
      <c r="Z43" s="94"/>
      <c r="AA43" s="95"/>
      <c r="AB43" s="85"/>
      <c r="AC43" s="85"/>
      <c r="AD43" s="85"/>
      <c r="AE43" s="85"/>
      <c r="AF43" s="85"/>
      <c r="AG43" s="49"/>
      <c r="AH43" s="92"/>
      <c r="AI43" s="49"/>
    </row>
    <row r="44" spans="1:35" ht="12.75" x14ac:dyDescent="0.2">
      <c r="A44" s="87" t="s">
        <v>141</v>
      </c>
      <c r="B44" s="70">
        <f t="shared" ref="B44:I44" si="16">B43*B42</f>
        <v>0.75</v>
      </c>
      <c r="C44" s="70">
        <f t="shared" si="16"/>
        <v>2.7</v>
      </c>
      <c r="D44" s="70">
        <f t="shared" si="16"/>
        <v>3</v>
      </c>
      <c r="E44" s="70">
        <f t="shared" si="16"/>
        <v>1.5</v>
      </c>
      <c r="F44" s="70">
        <f t="shared" si="16"/>
        <v>5</v>
      </c>
      <c r="G44" s="70">
        <f t="shared" si="16"/>
        <v>8</v>
      </c>
      <c r="H44" s="70">
        <f t="shared" si="16"/>
        <v>10</v>
      </c>
      <c r="I44" s="70">
        <f t="shared" si="16"/>
        <v>0</v>
      </c>
      <c r="J44" s="70">
        <f>SUM(B44:I44)</f>
        <v>30.95</v>
      </c>
      <c r="K44" s="86"/>
      <c r="L44" s="87" t="s">
        <v>141</v>
      </c>
      <c r="M44" s="70">
        <f t="shared" ref="M44:V44" si="17">M43*M42</f>
        <v>0.95000000000000007</v>
      </c>
      <c r="N44" s="70">
        <f t="shared" si="17"/>
        <v>3.2</v>
      </c>
      <c r="O44" s="70">
        <f t="shared" si="17"/>
        <v>2</v>
      </c>
      <c r="P44" s="70">
        <f t="shared" si="17"/>
        <v>1.5</v>
      </c>
      <c r="Q44" s="70">
        <f t="shared" si="17"/>
        <v>13</v>
      </c>
      <c r="R44" s="70">
        <f t="shared" si="17"/>
        <v>10</v>
      </c>
      <c r="S44" s="70">
        <f t="shared" si="17"/>
        <v>35</v>
      </c>
      <c r="T44" s="70">
        <f t="shared" si="17"/>
        <v>20</v>
      </c>
      <c r="U44" s="70">
        <f t="shared" si="17"/>
        <v>160</v>
      </c>
      <c r="V44" s="70">
        <f t="shared" si="17"/>
        <v>50</v>
      </c>
      <c r="W44" s="70">
        <f>SUM(M44:V44)</f>
        <v>295.64999999999998</v>
      </c>
      <c r="X44" s="96">
        <f>W44-J44</f>
        <v>264.7</v>
      </c>
      <c r="Y44" s="94">
        <v>69.599999999999994</v>
      </c>
      <c r="Z44" s="94">
        <v>147</v>
      </c>
      <c r="AA44" s="97">
        <f>X44+Z44</f>
        <v>411.7</v>
      </c>
      <c r="AB44" s="85">
        <v>20</v>
      </c>
      <c r="AC44" s="96">
        <f>Y44-AB44</f>
        <v>49.599999999999994</v>
      </c>
      <c r="AD44" s="96">
        <f>X44-Y44</f>
        <v>195.1</v>
      </c>
      <c r="AE44" s="85">
        <v>27</v>
      </c>
      <c r="AF44" s="96">
        <f>AD44-AE44</f>
        <v>168.1</v>
      </c>
      <c r="AG44" s="49"/>
      <c r="AH44" s="98">
        <f>(SUM(Y44:Z44)/(1+10/100))*(10/100)</f>
        <v>19.690909090909088</v>
      </c>
      <c r="AI44" s="49"/>
    </row>
    <row r="46" spans="1:35" ht="51" x14ac:dyDescent="0.2">
      <c r="A46" s="83" t="s">
        <v>135</v>
      </c>
      <c r="B46" s="84">
        <v>45820</v>
      </c>
      <c r="C46" s="85"/>
      <c r="D46" s="85"/>
      <c r="E46" s="85"/>
      <c r="F46" s="85"/>
      <c r="G46" s="85"/>
      <c r="H46" s="85"/>
      <c r="I46" s="85"/>
      <c r="J46" s="85"/>
      <c r="K46" s="86"/>
      <c r="L46" s="83" t="s">
        <v>136</v>
      </c>
      <c r="M46" s="84">
        <v>45820</v>
      </c>
      <c r="N46" s="85"/>
      <c r="O46" s="85"/>
      <c r="P46" s="85"/>
      <c r="Q46" s="85"/>
      <c r="R46" s="85"/>
      <c r="S46" s="85"/>
      <c r="T46" s="85"/>
      <c r="U46" s="85"/>
      <c r="V46" s="85"/>
      <c r="W46" s="87" t="s">
        <v>141</v>
      </c>
      <c r="X46" s="88" t="s">
        <v>192</v>
      </c>
      <c r="Y46" s="89" t="s">
        <v>142</v>
      </c>
      <c r="Z46" s="90" t="s">
        <v>193</v>
      </c>
      <c r="AA46" s="91" t="s">
        <v>194</v>
      </c>
      <c r="AB46" s="88" t="s">
        <v>288</v>
      </c>
      <c r="AC46" s="87" t="s">
        <v>195</v>
      </c>
      <c r="AD46" s="87" t="s">
        <v>196</v>
      </c>
      <c r="AE46" s="88" t="s">
        <v>197</v>
      </c>
      <c r="AF46" s="87" t="s">
        <v>198</v>
      </c>
      <c r="AG46" s="49"/>
      <c r="AH46" s="92"/>
      <c r="AI46" s="49"/>
    </row>
    <row r="47" spans="1:35" ht="12.75" x14ac:dyDescent="0.2">
      <c r="A47" s="87" t="s">
        <v>199</v>
      </c>
      <c r="B47" s="93">
        <v>0.05</v>
      </c>
      <c r="C47" s="93">
        <v>0.1</v>
      </c>
      <c r="D47" s="93">
        <v>0.2</v>
      </c>
      <c r="E47" s="93">
        <v>0.5</v>
      </c>
      <c r="F47" s="93">
        <v>1</v>
      </c>
      <c r="G47" s="93">
        <v>2</v>
      </c>
      <c r="H47" s="93">
        <v>5</v>
      </c>
      <c r="I47" s="93">
        <v>10</v>
      </c>
      <c r="J47" s="49"/>
      <c r="K47" s="86"/>
      <c r="L47" s="87" t="s">
        <v>199</v>
      </c>
      <c r="M47" s="93">
        <v>0.05</v>
      </c>
      <c r="N47" s="93">
        <v>0.1</v>
      </c>
      <c r="O47" s="93">
        <v>0.2</v>
      </c>
      <c r="P47" s="93">
        <v>0.5</v>
      </c>
      <c r="Q47" s="93">
        <v>1</v>
      </c>
      <c r="R47" s="93">
        <v>2</v>
      </c>
      <c r="S47" s="93">
        <v>5</v>
      </c>
      <c r="T47" s="93">
        <v>10</v>
      </c>
      <c r="U47" s="93">
        <v>20</v>
      </c>
      <c r="V47" s="93">
        <v>50</v>
      </c>
      <c r="W47" s="85"/>
      <c r="X47" s="85"/>
      <c r="Y47" s="49"/>
      <c r="Z47" s="94"/>
      <c r="AA47" s="95"/>
      <c r="AB47" s="85"/>
      <c r="AC47" s="85"/>
      <c r="AD47" s="85"/>
      <c r="AE47" s="85"/>
      <c r="AF47" s="85"/>
      <c r="AG47" s="49"/>
      <c r="AH47" s="92"/>
      <c r="AI47" s="49"/>
    </row>
    <row r="48" spans="1:35" ht="12.75" x14ac:dyDescent="0.2">
      <c r="A48" s="87" t="s">
        <v>200</v>
      </c>
      <c r="B48" s="38">
        <v>19</v>
      </c>
      <c r="C48" s="38">
        <v>32</v>
      </c>
      <c r="D48" s="49">
        <v>10</v>
      </c>
      <c r="E48" s="49">
        <v>3</v>
      </c>
      <c r="F48" s="85">
        <v>9</v>
      </c>
      <c r="G48" s="85">
        <v>5</v>
      </c>
      <c r="H48" s="85">
        <v>2</v>
      </c>
      <c r="I48" s="85"/>
      <c r="J48" s="85"/>
      <c r="K48" s="86"/>
      <c r="L48" s="87" t="s">
        <v>200</v>
      </c>
      <c r="M48" s="38">
        <v>23</v>
      </c>
      <c r="N48" s="38">
        <v>29</v>
      </c>
      <c r="O48" s="49">
        <v>12</v>
      </c>
      <c r="P48" s="49">
        <v>8</v>
      </c>
      <c r="Q48" s="85">
        <v>19</v>
      </c>
      <c r="R48" s="85">
        <v>5</v>
      </c>
      <c r="S48" s="85">
        <v>3</v>
      </c>
      <c r="T48" s="85">
        <v>10</v>
      </c>
      <c r="U48" s="85">
        <v>1</v>
      </c>
      <c r="V48" s="85">
        <v>2</v>
      </c>
      <c r="W48" s="85"/>
      <c r="X48" s="85"/>
      <c r="Y48" s="49"/>
      <c r="Z48" s="94"/>
      <c r="AA48" s="95"/>
      <c r="AB48" s="85"/>
      <c r="AC48" s="85"/>
      <c r="AD48" s="85"/>
      <c r="AE48" s="85"/>
      <c r="AF48" s="85"/>
      <c r="AG48" s="49"/>
      <c r="AH48" s="92"/>
      <c r="AI48" s="49"/>
    </row>
    <row r="49" spans="1:35" ht="12.75" x14ac:dyDescent="0.2">
      <c r="A49" s="87" t="s">
        <v>141</v>
      </c>
      <c r="B49" s="70">
        <f t="shared" ref="B49:I49" si="18">B48*B47</f>
        <v>0.95000000000000007</v>
      </c>
      <c r="C49" s="70">
        <f t="shared" si="18"/>
        <v>3.2</v>
      </c>
      <c r="D49" s="70">
        <f t="shared" si="18"/>
        <v>2</v>
      </c>
      <c r="E49" s="70">
        <f t="shared" si="18"/>
        <v>1.5</v>
      </c>
      <c r="F49" s="70">
        <f t="shared" si="18"/>
        <v>9</v>
      </c>
      <c r="G49" s="70">
        <f t="shared" si="18"/>
        <v>10</v>
      </c>
      <c r="H49" s="70">
        <f t="shared" si="18"/>
        <v>10</v>
      </c>
      <c r="I49" s="70">
        <f t="shared" si="18"/>
        <v>0</v>
      </c>
      <c r="J49" s="70">
        <f>SUM(B49:I49)</f>
        <v>36.65</v>
      </c>
      <c r="K49" s="86"/>
      <c r="L49" s="87" t="s">
        <v>141</v>
      </c>
      <c r="M49" s="70">
        <f t="shared" ref="M49:V49" si="19">M48*M47</f>
        <v>1.1500000000000001</v>
      </c>
      <c r="N49" s="70">
        <f t="shared" si="19"/>
        <v>2.9000000000000004</v>
      </c>
      <c r="O49" s="70">
        <f t="shared" si="19"/>
        <v>2.4000000000000004</v>
      </c>
      <c r="P49" s="70">
        <f t="shared" si="19"/>
        <v>4</v>
      </c>
      <c r="Q49" s="70">
        <f t="shared" si="19"/>
        <v>19</v>
      </c>
      <c r="R49" s="70">
        <f t="shared" si="19"/>
        <v>10</v>
      </c>
      <c r="S49" s="70">
        <f t="shared" si="19"/>
        <v>15</v>
      </c>
      <c r="T49" s="70">
        <f t="shared" si="19"/>
        <v>100</v>
      </c>
      <c r="U49" s="70">
        <f t="shared" si="19"/>
        <v>20</v>
      </c>
      <c r="V49" s="70">
        <f t="shared" si="19"/>
        <v>100</v>
      </c>
      <c r="W49" s="70">
        <f>SUM(M49:V49)</f>
        <v>274.45</v>
      </c>
      <c r="X49" s="96">
        <f>W49-J49</f>
        <v>237.79999999999998</v>
      </c>
      <c r="Y49" s="94">
        <v>90</v>
      </c>
      <c r="Z49" s="94">
        <v>27.6</v>
      </c>
      <c r="AA49" s="97">
        <f>X49+Z49</f>
        <v>265.39999999999998</v>
      </c>
      <c r="AB49" s="85">
        <v>50</v>
      </c>
      <c r="AC49" s="96">
        <f>Y49-AB49</f>
        <v>40</v>
      </c>
      <c r="AD49" s="96">
        <f>X49-Y49</f>
        <v>147.79999999999998</v>
      </c>
      <c r="AE49" s="85">
        <v>24</v>
      </c>
      <c r="AF49" s="96">
        <f>AD49-AE49</f>
        <v>123.79999999999998</v>
      </c>
      <c r="AG49" s="49"/>
      <c r="AH49" s="98">
        <f>(SUM(Y49:Z49)/(1+10/100))*(10/100)</f>
        <v>10.69090909090909</v>
      </c>
      <c r="AI49" s="49"/>
    </row>
    <row r="51" spans="1:35" ht="51" x14ac:dyDescent="0.2">
      <c r="A51" s="83" t="s">
        <v>135</v>
      </c>
      <c r="B51" s="84">
        <v>45821</v>
      </c>
      <c r="C51" s="85"/>
      <c r="D51" s="85"/>
      <c r="E51" s="85"/>
      <c r="F51" s="85"/>
      <c r="G51" s="85"/>
      <c r="H51" s="85"/>
      <c r="I51" s="85"/>
      <c r="J51" s="85"/>
      <c r="K51" s="86"/>
      <c r="L51" s="83" t="s">
        <v>136</v>
      </c>
      <c r="M51" s="84">
        <v>45821</v>
      </c>
      <c r="N51" s="85"/>
      <c r="O51" s="85"/>
      <c r="P51" s="85"/>
      <c r="Q51" s="85"/>
      <c r="R51" s="85"/>
      <c r="S51" s="85"/>
      <c r="T51" s="85"/>
      <c r="U51" s="85"/>
      <c r="V51" s="85"/>
      <c r="W51" s="87" t="s">
        <v>141</v>
      </c>
      <c r="X51" s="88" t="s">
        <v>192</v>
      </c>
      <c r="Y51" s="89" t="s">
        <v>142</v>
      </c>
      <c r="Z51" s="90" t="s">
        <v>193</v>
      </c>
      <c r="AA51" s="91" t="s">
        <v>194</v>
      </c>
      <c r="AB51" s="88" t="s">
        <v>288</v>
      </c>
      <c r="AC51" s="87" t="s">
        <v>195</v>
      </c>
      <c r="AD51" s="87" t="s">
        <v>196</v>
      </c>
      <c r="AE51" s="88" t="s">
        <v>197</v>
      </c>
      <c r="AF51" s="87" t="s">
        <v>198</v>
      </c>
      <c r="AG51" s="49"/>
      <c r="AH51" s="92"/>
      <c r="AI51" s="49"/>
    </row>
    <row r="52" spans="1:35" ht="12.75" x14ac:dyDescent="0.2">
      <c r="A52" s="87" t="s">
        <v>199</v>
      </c>
      <c r="B52" s="93">
        <v>0.05</v>
      </c>
      <c r="C52" s="93">
        <v>0.1</v>
      </c>
      <c r="D52" s="93">
        <v>0.2</v>
      </c>
      <c r="E52" s="93">
        <v>0.5</v>
      </c>
      <c r="F52" s="93">
        <v>1</v>
      </c>
      <c r="G52" s="93">
        <v>2</v>
      </c>
      <c r="H52" s="93">
        <v>5</v>
      </c>
      <c r="I52" s="93">
        <v>10</v>
      </c>
      <c r="J52" s="49"/>
      <c r="K52" s="86"/>
      <c r="L52" s="87" t="s">
        <v>199</v>
      </c>
      <c r="M52" s="93">
        <v>0.05</v>
      </c>
      <c r="N52" s="93">
        <v>0.1</v>
      </c>
      <c r="O52" s="93">
        <v>0.2</v>
      </c>
      <c r="P52" s="93">
        <v>0.5</v>
      </c>
      <c r="Q52" s="93">
        <v>1</v>
      </c>
      <c r="R52" s="93">
        <v>2</v>
      </c>
      <c r="S52" s="93">
        <v>5</v>
      </c>
      <c r="T52" s="93">
        <v>10</v>
      </c>
      <c r="U52" s="93">
        <v>20</v>
      </c>
      <c r="V52" s="93">
        <v>50</v>
      </c>
      <c r="W52" s="85"/>
      <c r="X52" s="85"/>
      <c r="Y52" s="49"/>
      <c r="Z52" s="94"/>
      <c r="AA52" s="95"/>
      <c r="AB52" s="85"/>
      <c r="AC52" s="85"/>
      <c r="AD52" s="85"/>
      <c r="AE52" s="85"/>
      <c r="AF52" s="85"/>
      <c r="AG52" s="49"/>
      <c r="AH52" s="92"/>
      <c r="AI52" s="49"/>
    </row>
    <row r="53" spans="1:35" ht="12.75" x14ac:dyDescent="0.2">
      <c r="A53" s="87" t="s">
        <v>200</v>
      </c>
      <c r="B53" s="38">
        <v>23</v>
      </c>
      <c r="C53" s="38">
        <v>29</v>
      </c>
      <c r="D53" s="49">
        <v>12</v>
      </c>
      <c r="E53" s="49">
        <v>8</v>
      </c>
      <c r="F53" s="85">
        <v>10</v>
      </c>
      <c r="G53" s="85">
        <v>6</v>
      </c>
      <c r="H53" s="85">
        <v>2</v>
      </c>
      <c r="I53" s="85"/>
      <c r="J53" s="85"/>
      <c r="K53" s="86"/>
      <c r="L53" s="87" t="s">
        <v>200</v>
      </c>
      <c r="M53" s="38">
        <v>19</v>
      </c>
      <c r="N53" s="38">
        <v>30</v>
      </c>
      <c r="O53" s="49">
        <v>14</v>
      </c>
      <c r="P53" s="49">
        <v>11</v>
      </c>
      <c r="Q53" s="85">
        <v>21</v>
      </c>
      <c r="R53" s="85">
        <v>10</v>
      </c>
      <c r="S53" s="85">
        <v>1</v>
      </c>
      <c r="T53" s="85"/>
      <c r="U53" s="85">
        <v>8</v>
      </c>
      <c r="V53" s="85">
        <v>2</v>
      </c>
      <c r="W53" s="85"/>
      <c r="X53" s="85"/>
      <c r="Y53" s="49"/>
      <c r="Z53" s="94"/>
      <c r="AA53" s="95"/>
      <c r="AB53" s="85"/>
      <c r="AC53" s="85"/>
      <c r="AD53" s="85"/>
      <c r="AE53" s="85"/>
      <c r="AF53" s="85"/>
      <c r="AG53" s="49"/>
      <c r="AH53" s="92"/>
      <c r="AI53" s="49"/>
    </row>
    <row r="54" spans="1:35" ht="12.75" x14ac:dyDescent="0.2">
      <c r="A54" s="87" t="s">
        <v>141</v>
      </c>
      <c r="B54" s="70">
        <f t="shared" ref="B54:I54" si="20">B53*B52</f>
        <v>1.1500000000000001</v>
      </c>
      <c r="C54" s="70">
        <f t="shared" si="20"/>
        <v>2.9000000000000004</v>
      </c>
      <c r="D54" s="70">
        <f t="shared" si="20"/>
        <v>2.4000000000000004</v>
      </c>
      <c r="E54" s="70">
        <f t="shared" si="20"/>
        <v>4</v>
      </c>
      <c r="F54" s="70">
        <f t="shared" si="20"/>
        <v>10</v>
      </c>
      <c r="G54" s="70">
        <f t="shared" si="20"/>
        <v>12</v>
      </c>
      <c r="H54" s="70">
        <f t="shared" si="20"/>
        <v>10</v>
      </c>
      <c r="I54" s="70">
        <f t="shared" si="20"/>
        <v>0</v>
      </c>
      <c r="J54" s="70">
        <f>SUM(B54:I54)</f>
        <v>42.45</v>
      </c>
      <c r="K54" s="86"/>
      <c r="L54" s="87" t="s">
        <v>141</v>
      </c>
      <c r="M54" s="70">
        <f t="shared" ref="M54:V54" si="21">M53*M52</f>
        <v>0.95000000000000007</v>
      </c>
      <c r="N54" s="70">
        <f t="shared" si="21"/>
        <v>3</v>
      </c>
      <c r="O54" s="70">
        <f t="shared" si="21"/>
        <v>2.8000000000000003</v>
      </c>
      <c r="P54" s="70">
        <f t="shared" si="21"/>
        <v>5.5</v>
      </c>
      <c r="Q54" s="70">
        <f t="shared" si="21"/>
        <v>21</v>
      </c>
      <c r="R54" s="70">
        <f t="shared" si="21"/>
        <v>20</v>
      </c>
      <c r="S54" s="70">
        <f t="shared" si="21"/>
        <v>5</v>
      </c>
      <c r="T54" s="70">
        <f t="shared" si="21"/>
        <v>0</v>
      </c>
      <c r="U54" s="70">
        <f t="shared" si="21"/>
        <v>160</v>
      </c>
      <c r="V54" s="70">
        <f t="shared" si="21"/>
        <v>100</v>
      </c>
      <c r="W54" s="70">
        <f>SUM(M54:V54)</f>
        <v>318.25</v>
      </c>
      <c r="X54" s="96">
        <f>W54-J54</f>
        <v>275.8</v>
      </c>
      <c r="Y54" s="94">
        <v>113.2</v>
      </c>
      <c r="Z54" s="94">
        <v>39.700000000000003</v>
      </c>
      <c r="AA54" s="97">
        <f>X54+Z54</f>
        <v>315.5</v>
      </c>
      <c r="AB54" s="85">
        <v>50</v>
      </c>
      <c r="AC54" s="96">
        <f>Y54-AB54</f>
        <v>63.2</v>
      </c>
      <c r="AD54" s="96">
        <f>X54-Y54</f>
        <v>162.60000000000002</v>
      </c>
      <c r="AE54" s="85">
        <v>20</v>
      </c>
      <c r="AF54" s="96">
        <f>AD54-AE54</f>
        <v>142.60000000000002</v>
      </c>
      <c r="AG54" s="49" t="s">
        <v>167</v>
      </c>
      <c r="AH54" s="98">
        <f>(SUM(Y54:Z54)/(1+10/100))*(10/100)</f>
        <v>13.9</v>
      </c>
      <c r="AI54" s="49"/>
    </row>
    <row r="55" spans="1:35" ht="12.75" x14ac:dyDescent="0.2">
      <c r="AC55" s="38">
        <v>-63.2</v>
      </c>
    </row>
    <row r="56" spans="1:35" ht="51" x14ac:dyDescent="0.2">
      <c r="A56" s="83" t="s">
        <v>135</v>
      </c>
      <c r="B56" s="84">
        <v>45822</v>
      </c>
      <c r="C56" s="85"/>
      <c r="D56" s="85"/>
      <c r="E56" s="85"/>
      <c r="F56" s="85"/>
      <c r="G56" s="85"/>
      <c r="H56" s="85"/>
      <c r="I56" s="85"/>
      <c r="J56" s="85"/>
      <c r="K56" s="86"/>
      <c r="L56" s="83" t="s">
        <v>136</v>
      </c>
      <c r="M56" s="84">
        <v>45822</v>
      </c>
      <c r="N56" s="85"/>
      <c r="O56" s="85"/>
      <c r="P56" s="85"/>
      <c r="Q56" s="85"/>
      <c r="R56" s="85"/>
      <c r="S56" s="85"/>
      <c r="T56" s="85"/>
      <c r="U56" s="85"/>
      <c r="V56" s="85"/>
      <c r="W56" s="87" t="s">
        <v>141</v>
      </c>
      <c r="X56" s="88" t="s">
        <v>192</v>
      </c>
      <c r="Y56" s="89" t="s">
        <v>142</v>
      </c>
      <c r="Z56" s="90" t="s">
        <v>193</v>
      </c>
      <c r="AA56" s="91" t="s">
        <v>194</v>
      </c>
      <c r="AB56" s="88" t="s">
        <v>288</v>
      </c>
      <c r="AC56" s="87" t="s">
        <v>195</v>
      </c>
      <c r="AD56" s="87" t="s">
        <v>196</v>
      </c>
      <c r="AE56" s="88" t="s">
        <v>197</v>
      </c>
      <c r="AF56" s="87" t="s">
        <v>198</v>
      </c>
      <c r="AG56" s="49"/>
      <c r="AH56" s="92"/>
      <c r="AI56" s="49"/>
    </row>
    <row r="57" spans="1:35" ht="12.75" x14ac:dyDescent="0.2">
      <c r="A57" s="87" t="s">
        <v>199</v>
      </c>
      <c r="B57" s="93">
        <v>0.05</v>
      </c>
      <c r="C57" s="93">
        <v>0.1</v>
      </c>
      <c r="D57" s="93">
        <v>0.2</v>
      </c>
      <c r="E57" s="93">
        <v>0.5</v>
      </c>
      <c r="F57" s="93">
        <v>1</v>
      </c>
      <c r="G57" s="93">
        <v>2</v>
      </c>
      <c r="H57" s="93">
        <v>5</v>
      </c>
      <c r="I57" s="93">
        <v>10</v>
      </c>
      <c r="J57" s="49"/>
      <c r="K57" s="86"/>
      <c r="L57" s="87" t="s">
        <v>199</v>
      </c>
      <c r="M57" s="93">
        <v>0.05</v>
      </c>
      <c r="N57" s="93">
        <v>0.1</v>
      </c>
      <c r="O57" s="93">
        <v>0.2</v>
      </c>
      <c r="P57" s="93">
        <v>0.5</v>
      </c>
      <c r="Q57" s="93">
        <v>1</v>
      </c>
      <c r="R57" s="93">
        <v>2</v>
      </c>
      <c r="S57" s="93">
        <v>5</v>
      </c>
      <c r="T57" s="93">
        <v>10</v>
      </c>
      <c r="U57" s="93">
        <v>20</v>
      </c>
      <c r="V57" s="93">
        <v>50</v>
      </c>
      <c r="W57" s="85"/>
      <c r="X57" s="85"/>
      <c r="Y57" s="49"/>
      <c r="Z57" s="94"/>
      <c r="AA57" s="95"/>
      <c r="AB57" s="85"/>
      <c r="AC57" s="85"/>
      <c r="AD57" s="85"/>
      <c r="AE57" s="85"/>
      <c r="AF57" s="85"/>
      <c r="AG57" s="49"/>
      <c r="AH57" s="92"/>
      <c r="AI57" s="49"/>
    </row>
    <row r="58" spans="1:35" ht="12.75" x14ac:dyDescent="0.2">
      <c r="A58" s="87" t="s">
        <v>200</v>
      </c>
      <c r="B58" s="38">
        <v>19</v>
      </c>
      <c r="C58" s="38">
        <v>30</v>
      </c>
      <c r="D58" s="49">
        <v>14</v>
      </c>
      <c r="E58" s="49">
        <v>11</v>
      </c>
      <c r="F58" s="85">
        <v>10</v>
      </c>
      <c r="G58" s="85">
        <v>5</v>
      </c>
      <c r="H58" s="85">
        <v>1</v>
      </c>
      <c r="I58" s="85"/>
      <c r="J58" s="85"/>
      <c r="K58" s="86"/>
      <c r="L58" s="87" t="s">
        <v>200</v>
      </c>
      <c r="M58" s="38">
        <v>19</v>
      </c>
      <c r="N58" s="38">
        <v>36</v>
      </c>
      <c r="O58" s="49">
        <v>16</v>
      </c>
      <c r="P58" s="49">
        <v>8</v>
      </c>
      <c r="Q58" s="85">
        <v>19</v>
      </c>
      <c r="R58" s="85">
        <v>7</v>
      </c>
      <c r="S58" s="85">
        <v>10</v>
      </c>
      <c r="T58" s="85">
        <v>3</v>
      </c>
      <c r="U58" s="85">
        <v>5</v>
      </c>
      <c r="V58" s="85"/>
      <c r="W58" s="85"/>
      <c r="X58" s="85"/>
      <c r="Y58" s="49"/>
      <c r="Z58" s="94"/>
      <c r="AA58" s="95"/>
      <c r="AB58" s="85"/>
      <c r="AC58" s="85"/>
      <c r="AD58" s="85"/>
      <c r="AE58" s="85"/>
      <c r="AF58" s="85"/>
      <c r="AG58" s="49"/>
      <c r="AH58" s="92"/>
      <c r="AI58" s="49"/>
    </row>
    <row r="59" spans="1:35" ht="12.75" x14ac:dyDescent="0.2">
      <c r="A59" s="87" t="s">
        <v>141</v>
      </c>
      <c r="B59" s="70">
        <f t="shared" ref="B59:I59" si="22">B58*B57</f>
        <v>0.95000000000000007</v>
      </c>
      <c r="C59" s="70">
        <f t="shared" si="22"/>
        <v>3</v>
      </c>
      <c r="D59" s="70">
        <f t="shared" si="22"/>
        <v>2.8000000000000003</v>
      </c>
      <c r="E59" s="70">
        <f t="shared" si="22"/>
        <v>5.5</v>
      </c>
      <c r="F59" s="70">
        <f t="shared" si="22"/>
        <v>10</v>
      </c>
      <c r="G59" s="70">
        <f t="shared" si="22"/>
        <v>10</v>
      </c>
      <c r="H59" s="70">
        <f t="shared" si="22"/>
        <v>5</v>
      </c>
      <c r="I59" s="70">
        <f t="shared" si="22"/>
        <v>0</v>
      </c>
      <c r="J59" s="70">
        <f>SUM(B59:I59)</f>
        <v>37.25</v>
      </c>
      <c r="K59" s="86"/>
      <c r="L59" s="87" t="s">
        <v>141</v>
      </c>
      <c r="M59" s="70">
        <f t="shared" ref="M59:V59" si="23">M58*M57</f>
        <v>0.95000000000000007</v>
      </c>
      <c r="N59" s="70">
        <f t="shared" si="23"/>
        <v>3.6</v>
      </c>
      <c r="O59" s="70">
        <f t="shared" si="23"/>
        <v>3.2</v>
      </c>
      <c r="P59" s="70">
        <f t="shared" si="23"/>
        <v>4</v>
      </c>
      <c r="Q59" s="70">
        <f t="shared" si="23"/>
        <v>19</v>
      </c>
      <c r="R59" s="70">
        <f t="shared" si="23"/>
        <v>14</v>
      </c>
      <c r="S59" s="70">
        <f t="shared" si="23"/>
        <v>50</v>
      </c>
      <c r="T59" s="70">
        <f t="shared" si="23"/>
        <v>30</v>
      </c>
      <c r="U59" s="70">
        <f t="shared" si="23"/>
        <v>100</v>
      </c>
      <c r="V59" s="70">
        <f t="shared" si="23"/>
        <v>0</v>
      </c>
      <c r="W59" s="70">
        <f>SUM(M59:V59)</f>
        <v>224.75</v>
      </c>
      <c r="X59" s="96">
        <f>W59-J59</f>
        <v>187.5</v>
      </c>
      <c r="Y59" s="94">
        <v>83</v>
      </c>
      <c r="Z59" s="94">
        <v>77.599999999999994</v>
      </c>
      <c r="AA59" s="97">
        <f>X59+Z59</f>
        <v>265.10000000000002</v>
      </c>
      <c r="AB59" s="85">
        <v>83</v>
      </c>
      <c r="AC59" s="96">
        <f>Y59-AB59</f>
        <v>0</v>
      </c>
      <c r="AD59" s="96">
        <f>X59-Y59</f>
        <v>104.5</v>
      </c>
      <c r="AE59" s="85">
        <v>36</v>
      </c>
      <c r="AF59" s="96">
        <f>AD59-AE59</f>
        <v>68.5</v>
      </c>
      <c r="AG59" s="49"/>
      <c r="AH59" s="98">
        <f>(SUM(Y59:Z59)/(1+10/100))*(10/100)</f>
        <v>14.599999999999998</v>
      </c>
      <c r="AI59" s="49"/>
    </row>
    <row r="61" spans="1:35" ht="51" x14ac:dyDescent="0.2">
      <c r="A61" s="83" t="s">
        <v>135</v>
      </c>
      <c r="B61" s="84">
        <v>45824</v>
      </c>
      <c r="C61" s="85"/>
      <c r="D61" s="85"/>
      <c r="E61" s="85"/>
      <c r="F61" s="85"/>
      <c r="G61" s="85"/>
      <c r="H61" s="85"/>
      <c r="I61" s="85"/>
      <c r="J61" s="85"/>
      <c r="K61" s="86"/>
      <c r="L61" s="83" t="s">
        <v>136</v>
      </c>
      <c r="M61" s="84">
        <v>45824</v>
      </c>
      <c r="N61" s="85"/>
      <c r="O61" s="85"/>
      <c r="P61" s="85"/>
      <c r="Q61" s="85"/>
      <c r="R61" s="85"/>
      <c r="S61" s="85"/>
      <c r="T61" s="85"/>
      <c r="U61" s="85"/>
      <c r="V61" s="85"/>
      <c r="W61" s="87" t="s">
        <v>141</v>
      </c>
      <c r="X61" s="88" t="s">
        <v>192</v>
      </c>
      <c r="Y61" s="89" t="s">
        <v>142</v>
      </c>
      <c r="Z61" s="90" t="s">
        <v>193</v>
      </c>
      <c r="AA61" s="91" t="s">
        <v>194</v>
      </c>
      <c r="AB61" s="88" t="s">
        <v>288</v>
      </c>
      <c r="AC61" s="87" t="s">
        <v>195</v>
      </c>
      <c r="AD61" s="87" t="s">
        <v>196</v>
      </c>
      <c r="AE61" s="88" t="s">
        <v>197</v>
      </c>
      <c r="AF61" s="87" t="s">
        <v>198</v>
      </c>
      <c r="AG61" s="49"/>
      <c r="AH61" s="92"/>
      <c r="AI61" s="49"/>
    </row>
    <row r="62" spans="1:35" ht="12.75" x14ac:dyDescent="0.2">
      <c r="A62" s="87" t="s">
        <v>199</v>
      </c>
      <c r="B62" s="93">
        <v>0.05</v>
      </c>
      <c r="C62" s="93">
        <v>0.1</v>
      </c>
      <c r="D62" s="93">
        <v>0.2</v>
      </c>
      <c r="E62" s="93">
        <v>0.5</v>
      </c>
      <c r="F62" s="93">
        <v>1</v>
      </c>
      <c r="G62" s="93">
        <v>2</v>
      </c>
      <c r="H62" s="93">
        <v>5</v>
      </c>
      <c r="I62" s="93">
        <v>10</v>
      </c>
      <c r="J62" s="49"/>
      <c r="K62" s="86"/>
      <c r="L62" s="87" t="s">
        <v>199</v>
      </c>
      <c r="M62" s="93">
        <v>0.05</v>
      </c>
      <c r="N62" s="93">
        <v>0.1</v>
      </c>
      <c r="O62" s="93">
        <v>0.2</v>
      </c>
      <c r="P62" s="93">
        <v>0.5</v>
      </c>
      <c r="Q62" s="93">
        <v>1</v>
      </c>
      <c r="R62" s="93">
        <v>2</v>
      </c>
      <c r="S62" s="93">
        <v>5</v>
      </c>
      <c r="T62" s="93">
        <v>10</v>
      </c>
      <c r="U62" s="93">
        <v>20</v>
      </c>
      <c r="V62" s="93">
        <v>50</v>
      </c>
      <c r="W62" s="85"/>
      <c r="X62" s="85"/>
      <c r="Y62" s="49"/>
      <c r="Z62" s="94"/>
      <c r="AA62" s="95"/>
      <c r="AB62" s="85"/>
      <c r="AC62" s="85"/>
      <c r="AD62" s="85"/>
      <c r="AE62" s="85"/>
      <c r="AF62" s="85"/>
      <c r="AG62" s="49"/>
      <c r="AH62" s="92"/>
      <c r="AI62" s="49"/>
    </row>
    <row r="63" spans="1:35" ht="12.75" x14ac:dyDescent="0.2">
      <c r="A63" s="87" t="s">
        <v>200</v>
      </c>
      <c r="B63" s="38">
        <v>19</v>
      </c>
      <c r="C63" s="38">
        <v>36</v>
      </c>
      <c r="D63" s="49">
        <v>16</v>
      </c>
      <c r="E63" s="49">
        <v>8</v>
      </c>
      <c r="F63" s="85">
        <v>10</v>
      </c>
      <c r="G63" s="85">
        <v>5</v>
      </c>
      <c r="H63" s="85">
        <v>2</v>
      </c>
      <c r="I63" s="85"/>
      <c r="J63" s="85"/>
      <c r="K63" s="86"/>
      <c r="L63" s="87" t="s">
        <v>200</v>
      </c>
      <c r="M63" s="38">
        <v>21</v>
      </c>
      <c r="N63" s="38">
        <v>39</v>
      </c>
      <c r="O63" s="49">
        <v>10</v>
      </c>
      <c r="P63" s="49">
        <v>18</v>
      </c>
      <c r="Q63" s="85">
        <v>15</v>
      </c>
      <c r="R63" s="85">
        <v>20</v>
      </c>
      <c r="S63" s="85">
        <v>6</v>
      </c>
      <c r="T63" s="85">
        <v>5</v>
      </c>
      <c r="U63" s="85">
        <v>4</v>
      </c>
      <c r="V63" s="85"/>
      <c r="W63" s="85"/>
      <c r="X63" s="85"/>
      <c r="Y63" s="49"/>
      <c r="Z63" s="94"/>
      <c r="AA63" s="95"/>
      <c r="AB63" s="85"/>
      <c r="AC63" s="85"/>
      <c r="AD63" s="85"/>
      <c r="AE63" s="85"/>
      <c r="AF63" s="85"/>
      <c r="AG63" s="49"/>
      <c r="AH63" s="92"/>
      <c r="AI63" s="49"/>
    </row>
    <row r="64" spans="1:35" ht="12.75" x14ac:dyDescent="0.2">
      <c r="A64" s="87" t="s">
        <v>141</v>
      </c>
      <c r="B64" s="70">
        <f t="shared" ref="B64:I64" si="24">B63*B62</f>
        <v>0.95000000000000007</v>
      </c>
      <c r="C64" s="70">
        <f t="shared" si="24"/>
        <v>3.6</v>
      </c>
      <c r="D64" s="70">
        <f t="shared" si="24"/>
        <v>3.2</v>
      </c>
      <c r="E64" s="70">
        <f t="shared" si="24"/>
        <v>4</v>
      </c>
      <c r="F64" s="70">
        <f t="shared" si="24"/>
        <v>10</v>
      </c>
      <c r="G64" s="70">
        <f t="shared" si="24"/>
        <v>10</v>
      </c>
      <c r="H64" s="70">
        <f t="shared" si="24"/>
        <v>10</v>
      </c>
      <c r="I64" s="70">
        <f t="shared" si="24"/>
        <v>0</v>
      </c>
      <c r="J64" s="70">
        <f>SUM(B64:I64)</f>
        <v>41.75</v>
      </c>
      <c r="K64" s="86"/>
      <c r="L64" s="87" t="s">
        <v>141</v>
      </c>
      <c r="M64" s="70">
        <f t="shared" ref="M64:V64" si="25">M63*M62</f>
        <v>1.05</v>
      </c>
      <c r="N64" s="70">
        <f t="shared" si="25"/>
        <v>3.9000000000000004</v>
      </c>
      <c r="O64" s="70">
        <f t="shared" si="25"/>
        <v>2</v>
      </c>
      <c r="P64" s="70">
        <f t="shared" si="25"/>
        <v>9</v>
      </c>
      <c r="Q64" s="70">
        <f t="shared" si="25"/>
        <v>15</v>
      </c>
      <c r="R64" s="70">
        <f t="shared" si="25"/>
        <v>40</v>
      </c>
      <c r="S64" s="70">
        <f t="shared" si="25"/>
        <v>30</v>
      </c>
      <c r="T64" s="70">
        <f t="shared" si="25"/>
        <v>50</v>
      </c>
      <c r="U64" s="70">
        <f t="shared" si="25"/>
        <v>80</v>
      </c>
      <c r="V64" s="70">
        <f t="shared" si="25"/>
        <v>0</v>
      </c>
      <c r="W64" s="70">
        <f>SUM(M64:V64)</f>
        <v>230.95</v>
      </c>
      <c r="X64" s="96">
        <f>W64-J64</f>
        <v>189.2</v>
      </c>
      <c r="Y64" s="94">
        <v>69.400000000000006</v>
      </c>
      <c r="Z64" s="94">
        <v>25.8</v>
      </c>
      <c r="AA64" s="97">
        <f>X64+Z64</f>
        <v>215</v>
      </c>
      <c r="AB64" s="85">
        <v>50</v>
      </c>
      <c r="AC64" s="96">
        <f>Y64-AB64</f>
        <v>19.400000000000006</v>
      </c>
      <c r="AD64" s="96">
        <f>X64-Y64</f>
        <v>119.79999999999998</v>
      </c>
      <c r="AE64" s="85">
        <v>30</v>
      </c>
      <c r="AF64" s="96">
        <f>AD64-AE64</f>
        <v>89.799999999999983</v>
      </c>
      <c r="AG64" s="49"/>
      <c r="AH64" s="98">
        <f>(SUM(Y64:Z64)/(1+10/100))*(10/100)</f>
        <v>8.6545454545454543</v>
      </c>
      <c r="AI64" s="49"/>
    </row>
    <row r="65" spans="1:35" ht="12.75" x14ac:dyDescent="0.2">
      <c r="AG65" s="38" t="s">
        <v>299</v>
      </c>
    </row>
    <row r="66" spans="1:35" ht="51" x14ac:dyDescent="0.2">
      <c r="A66" s="83" t="s">
        <v>135</v>
      </c>
      <c r="B66" s="84">
        <v>45825</v>
      </c>
      <c r="C66" s="85"/>
      <c r="D66" s="85"/>
      <c r="E66" s="85"/>
      <c r="F66" s="85"/>
      <c r="G66" s="85"/>
      <c r="H66" s="85"/>
      <c r="I66" s="85"/>
      <c r="J66" s="85"/>
      <c r="K66" s="86"/>
      <c r="L66" s="83" t="s">
        <v>136</v>
      </c>
      <c r="M66" s="84">
        <v>45825</v>
      </c>
      <c r="N66" s="85"/>
      <c r="O66" s="85"/>
      <c r="P66" s="85"/>
      <c r="Q66" s="85"/>
      <c r="R66" s="85"/>
      <c r="S66" s="85"/>
      <c r="T66" s="85"/>
      <c r="U66" s="85"/>
      <c r="V66" s="85"/>
      <c r="W66" s="87" t="s">
        <v>141</v>
      </c>
      <c r="X66" s="88" t="s">
        <v>192</v>
      </c>
      <c r="Y66" s="89" t="s">
        <v>142</v>
      </c>
      <c r="Z66" s="90" t="s">
        <v>193</v>
      </c>
      <c r="AA66" s="91" t="s">
        <v>194</v>
      </c>
      <c r="AB66" s="88" t="s">
        <v>288</v>
      </c>
      <c r="AC66" s="87" t="s">
        <v>195</v>
      </c>
      <c r="AD66" s="87" t="s">
        <v>196</v>
      </c>
      <c r="AE66" s="88" t="s">
        <v>197</v>
      </c>
      <c r="AF66" s="87" t="s">
        <v>198</v>
      </c>
      <c r="AG66" s="49"/>
      <c r="AH66" s="92"/>
      <c r="AI66" s="49"/>
    </row>
    <row r="67" spans="1:35" ht="12.75" x14ac:dyDescent="0.2">
      <c r="A67" s="87" t="s">
        <v>199</v>
      </c>
      <c r="B67" s="93">
        <v>0.05</v>
      </c>
      <c r="C67" s="93">
        <v>0.1</v>
      </c>
      <c r="D67" s="93">
        <v>0.2</v>
      </c>
      <c r="E67" s="93">
        <v>0.5</v>
      </c>
      <c r="F67" s="93">
        <v>1</v>
      </c>
      <c r="G67" s="93">
        <v>2</v>
      </c>
      <c r="H67" s="93">
        <v>5</v>
      </c>
      <c r="I67" s="93">
        <v>10</v>
      </c>
      <c r="J67" s="49"/>
      <c r="K67" s="86"/>
      <c r="L67" s="87" t="s">
        <v>199</v>
      </c>
      <c r="M67" s="93">
        <v>0.05</v>
      </c>
      <c r="N67" s="93">
        <v>0.1</v>
      </c>
      <c r="O67" s="93">
        <v>0.2</v>
      </c>
      <c r="P67" s="93">
        <v>0.5</v>
      </c>
      <c r="Q67" s="93">
        <v>1</v>
      </c>
      <c r="R67" s="93">
        <v>2</v>
      </c>
      <c r="S67" s="93">
        <v>5</v>
      </c>
      <c r="T67" s="93">
        <v>10</v>
      </c>
      <c r="U67" s="93">
        <v>20</v>
      </c>
      <c r="V67" s="93">
        <v>50</v>
      </c>
      <c r="W67" s="85"/>
      <c r="X67" s="85"/>
      <c r="Y67" s="49"/>
      <c r="Z67" s="94"/>
      <c r="AA67" s="95"/>
      <c r="AB67" s="85"/>
      <c r="AC67" s="85"/>
      <c r="AD67" s="85"/>
      <c r="AE67" s="85"/>
      <c r="AF67" s="85"/>
      <c r="AG67" s="49"/>
      <c r="AH67" s="92"/>
      <c r="AI67" s="49"/>
    </row>
    <row r="68" spans="1:35" ht="12.75" x14ac:dyDescent="0.2">
      <c r="A68" s="87" t="s">
        <v>200</v>
      </c>
      <c r="B68" s="38">
        <v>21</v>
      </c>
      <c r="C68" s="38">
        <v>39</v>
      </c>
      <c r="D68" s="49">
        <v>10</v>
      </c>
      <c r="E68" s="49">
        <v>18</v>
      </c>
      <c r="F68" s="85">
        <v>10</v>
      </c>
      <c r="G68" s="85">
        <v>5</v>
      </c>
      <c r="H68" s="85">
        <v>1</v>
      </c>
      <c r="I68" s="85"/>
      <c r="J68" s="85"/>
      <c r="K68" s="86"/>
      <c r="L68" s="87" t="s">
        <v>200</v>
      </c>
      <c r="M68" s="38">
        <v>21</v>
      </c>
      <c r="N68" s="38">
        <v>47</v>
      </c>
      <c r="O68" s="49">
        <v>11</v>
      </c>
      <c r="P68" s="49">
        <v>30</v>
      </c>
      <c r="Q68" s="85">
        <v>19</v>
      </c>
      <c r="R68" s="85">
        <v>14</v>
      </c>
      <c r="S68" s="85">
        <v>7</v>
      </c>
      <c r="T68" s="85">
        <v>3</v>
      </c>
      <c r="U68" s="85">
        <v>6</v>
      </c>
      <c r="V68" s="85">
        <v>1</v>
      </c>
      <c r="W68" s="85"/>
      <c r="X68" s="85"/>
      <c r="Y68" s="49"/>
      <c r="Z68" s="94"/>
      <c r="AA68" s="95"/>
      <c r="AB68" s="85"/>
      <c r="AC68" s="85"/>
      <c r="AD68" s="85"/>
      <c r="AE68" s="85"/>
      <c r="AF68" s="85"/>
      <c r="AG68" s="49"/>
      <c r="AH68" s="92"/>
      <c r="AI68" s="49"/>
    </row>
    <row r="69" spans="1:35" ht="12.75" x14ac:dyDescent="0.2">
      <c r="A69" s="87" t="s">
        <v>141</v>
      </c>
      <c r="B69" s="70">
        <f t="shared" ref="B69:I69" si="26">B68*B67</f>
        <v>1.05</v>
      </c>
      <c r="C69" s="70">
        <f t="shared" si="26"/>
        <v>3.9000000000000004</v>
      </c>
      <c r="D69" s="70">
        <f t="shared" si="26"/>
        <v>2</v>
      </c>
      <c r="E69" s="70">
        <f t="shared" si="26"/>
        <v>9</v>
      </c>
      <c r="F69" s="70">
        <f t="shared" si="26"/>
        <v>10</v>
      </c>
      <c r="G69" s="70">
        <f t="shared" si="26"/>
        <v>10</v>
      </c>
      <c r="H69" s="70">
        <f t="shared" si="26"/>
        <v>5</v>
      </c>
      <c r="I69" s="70">
        <f t="shared" si="26"/>
        <v>0</v>
      </c>
      <c r="J69" s="70">
        <f>SUM(B69:I69)</f>
        <v>40.950000000000003</v>
      </c>
      <c r="K69" s="86"/>
      <c r="L69" s="87" t="s">
        <v>141</v>
      </c>
      <c r="M69" s="70">
        <f t="shared" ref="M69:V69" si="27">M68*M67</f>
        <v>1.05</v>
      </c>
      <c r="N69" s="70">
        <f t="shared" si="27"/>
        <v>4.7</v>
      </c>
      <c r="O69" s="70">
        <f t="shared" si="27"/>
        <v>2.2000000000000002</v>
      </c>
      <c r="P69" s="70">
        <f t="shared" si="27"/>
        <v>15</v>
      </c>
      <c r="Q69" s="70">
        <f t="shared" si="27"/>
        <v>19</v>
      </c>
      <c r="R69" s="70">
        <f t="shared" si="27"/>
        <v>28</v>
      </c>
      <c r="S69" s="70">
        <f t="shared" si="27"/>
        <v>35</v>
      </c>
      <c r="T69" s="70">
        <f t="shared" si="27"/>
        <v>30</v>
      </c>
      <c r="U69" s="70">
        <f t="shared" si="27"/>
        <v>120</v>
      </c>
      <c r="V69" s="70">
        <f t="shared" si="27"/>
        <v>50</v>
      </c>
      <c r="W69" s="70">
        <f>SUM(M69:V69)</f>
        <v>304.95</v>
      </c>
      <c r="X69" s="96">
        <f>W69-J69</f>
        <v>264</v>
      </c>
      <c r="Y69" s="94">
        <v>88.7</v>
      </c>
      <c r="Z69" s="94">
        <v>26.9</v>
      </c>
      <c r="AA69" s="97">
        <f>X69+Z69</f>
        <v>290.89999999999998</v>
      </c>
      <c r="AB69" s="85">
        <v>40</v>
      </c>
      <c r="AC69" s="96">
        <f>Y69-AB69</f>
        <v>48.7</v>
      </c>
      <c r="AD69" s="96">
        <f>X69-Y69</f>
        <v>175.3</v>
      </c>
      <c r="AE69" s="85">
        <v>20</v>
      </c>
      <c r="AF69" s="96">
        <f>AD69-AE69</f>
        <v>155.30000000000001</v>
      </c>
      <c r="AG69" s="49" t="s">
        <v>167</v>
      </c>
      <c r="AH69" s="98">
        <f>(SUM(Y69:Z69)/(1+10/100))*(10/100)</f>
        <v>10.509090909090908</v>
      </c>
      <c r="AI69" s="49"/>
    </row>
    <row r="71" spans="1:35" ht="51" x14ac:dyDescent="0.2">
      <c r="A71" s="83" t="s">
        <v>135</v>
      </c>
      <c r="B71" s="84">
        <v>45826</v>
      </c>
      <c r="C71" s="85"/>
      <c r="D71" s="85"/>
      <c r="E71" s="85"/>
      <c r="F71" s="85"/>
      <c r="G71" s="85"/>
      <c r="H71" s="85"/>
      <c r="I71" s="85"/>
      <c r="J71" s="85"/>
      <c r="K71" s="86"/>
      <c r="L71" s="83" t="s">
        <v>136</v>
      </c>
      <c r="M71" s="84">
        <v>45826</v>
      </c>
      <c r="N71" s="85"/>
      <c r="O71" s="85"/>
      <c r="P71" s="85"/>
      <c r="Q71" s="85"/>
      <c r="R71" s="85"/>
      <c r="S71" s="85"/>
      <c r="T71" s="85"/>
      <c r="U71" s="85"/>
      <c r="V71" s="85"/>
      <c r="W71" s="87" t="s">
        <v>141</v>
      </c>
      <c r="X71" s="88" t="s">
        <v>192</v>
      </c>
      <c r="Y71" s="89" t="s">
        <v>142</v>
      </c>
      <c r="Z71" s="90" t="s">
        <v>193</v>
      </c>
      <c r="AA71" s="91" t="s">
        <v>194</v>
      </c>
      <c r="AB71" s="88" t="s">
        <v>288</v>
      </c>
      <c r="AC71" s="87" t="s">
        <v>195</v>
      </c>
      <c r="AD71" s="87" t="s">
        <v>196</v>
      </c>
      <c r="AE71" s="88" t="s">
        <v>197</v>
      </c>
      <c r="AF71" s="87" t="s">
        <v>198</v>
      </c>
      <c r="AG71" s="49"/>
      <c r="AH71" s="92"/>
      <c r="AI71" s="49"/>
    </row>
    <row r="72" spans="1:35" ht="12.75" x14ac:dyDescent="0.2">
      <c r="A72" s="87" t="s">
        <v>199</v>
      </c>
      <c r="B72" s="93">
        <v>0.05</v>
      </c>
      <c r="C72" s="93">
        <v>0.1</v>
      </c>
      <c r="D72" s="93">
        <v>0.2</v>
      </c>
      <c r="E72" s="93">
        <v>0.5</v>
      </c>
      <c r="F72" s="93">
        <v>1</v>
      </c>
      <c r="G72" s="93">
        <v>2</v>
      </c>
      <c r="H72" s="93">
        <v>5</v>
      </c>
      <c r="I72" s="93">
        <v>10</v>
      </c>
      <c r="J72" s="49"/>
      <c r="K72" s="86"/>
      <c r="L72" s="87" t="s">
        <v>199</v>
      </c>
      <c r="M72" s="93">
        <v>0.05</v>
      </c>
      <c r="N72" s="93">
        <v>0.1</v>
      </c>
      <c r="O72" s="93">
        <v>0.2</v>
      </c>
      <c r="P72" s="93">
        <v>0.5</v>
      </c>
      <c r="Q72" s="93">
        <v>1</v>
      </c>
      <c r="R72" s="93">
        <v>2</v>
      </c>
      <c r="S72" s="93">
        <v>5</v>
      </c>
      <c r="T72" s="93">
        <v>10</v>
      </c>
      <c r="U72" s="93">
        <v>20</v>
      </c>
      <c r="V72" s="93">
        <v>50</v>
      </c>
      <c r="W72" s="85"/>
      <c r="X72" s="85"/>
      <c r="Y72" s="49"/>
      <c r="Z72" s="94"/>
      <c r="AA72" s="95"/>
      <c r="AB72" s="85"/>
      <c r="AC72" s="85"/>
      <c r="AD72" s="85"/>
      <c r="AE72" s="85"/>
      <c r="AF72" s="85"/>
      <c r="AG72" s="49"/>
      <c r="AH72" s="92"/>
      <c r="AI72" s="49"/>
    </row>
    <row r="73" spans="1:35" ht="12.75" x14ac:dyDescent="0.2">
      <c r="A73" s="87" t="s">
        <v>200</v>
      </c>
      <c r="B73" s="38">
        <v>21</v>
      </c>
      <c r="C73" s="38">
        <v>47</v>
      </c>
      <c r="D73" s="49">
        <v>11</v>
      </c>
      <c r="E73" s="49">
        <v>30</v>
      </c>
      <c r="F73" s="85">
        <v>10</v>
      </c>
      <c r="G73" s="85">
        <v>5</v>
      </c>
      <c r="H73" s="85"/>
      <c r="I73" s="85"/>
      <c r="J73" s="85"/>
      <c r="K73" s="86"/>
      <c r="L73" s="87" t="s">
        <v>200</v>
      </c>
      <c r="M73" s="38">
        <v>25</v>
      </c>
      <c r="N73" s="38">
        <v>49</v>
      </c>
      <c r="O73" s="49">
        <v>14</v>
      </c>
      <c r="P73" s="49">
        <v>10</v>
      </c>
      <c r="Q73" s="85">
        <v>10</v>
      </c>
      <c r="R73" s="85">
        <v>5</v>
      </c>
      <c r="S73" s="85">
        <v>7</v>
      </c>
      <c r="T73" s="85">
        <v>1</v>
      </c>
      <c r="U73" s="85">
        <v>4</v>
      </c>
      <c r="V73" s="85">
        <v>3</v>
      </c>
      <c r="W73" s="85"/>
      <c r="X73" s="85"/>
      <c r="Y73" s="49"/>
      <c r="Z73" s="94"/>
      <c r="AA73" s="95"/>
      <c r="AB73" s="85"/>
      <c r="AC73" s="85"/>
      <c r="AD73" s="85"/>
      <c r="AE73" s="85"/>
      <c r="AF73" s="85"/>
      <c r="AG73" s="49"/>
      <c r="AH73" s="92"/>
      <c r="AI73" s="49"/>
    </row>
    <row r="74" spans="1:35" ht="12.75" x14ac:dyDescent="0.2">
      <c r="A74" s="87" t="s">
        <v>141</v>
      </c>
      <c r="B74" s="70">
        <f t="shared" ref="B74:I74" si="28">B73*B72</f>
        <v>1.05</v>
      </c>
      <c r="C74" s="70">
        <f t="shared" si="28"/>
        <v>4.7</v>
      </c>
      <c r="D74" s="70">
        <f t="shared" si="28"/>
        <v>2.2000000000000002</v>
      </c>
      <c r="E74" s="70">
        <f t="shared" si="28"/>
        <v>15</v>
      </c>
      <c r="F74" s="70">
        <f t="shared" si="28"/>
        <v>10</v>
      </c>
      <c r="G74" s="70">
        <f t="shared" si="28"/>
        <v>10</v>
      </c>
      <c r="H74" s="70">
        <f t="shared" si="28"/>
        <v>0</v>
      </c>
      <c r="I74" s="70">
        <f t="shared" si="28"/>
        <v>0</v>
      </c>
      <c r="J74" s="70">
        <f>SUM(B74:I74)</f>
        <v>42.95</v>
      </c>
      <c r="K74" s="86"/>
      <c r="L74" s="87" t="s">
        <v>141</v>
      </c>
      <c r="M74" s="70">
        <f t="shared" ref="M74:N74" si="29">M73*M72</f>
        <v>1.25</v>
      </c>
      <c r="N74" s="70">
        <f t="shared" si="29"/>
        <v>4.9000000000000004</v>
      </c>
      <c r="O74" s="70">
        <v>2.8</v>
      </c>
      <c r="P74" s="70">
        <v>5</v>
      </c>
      <c r="Q74" s="70">
        <f t="shared" ref="Q74:V74" si="30">Q73*Q72</f>
        <v>10</v>
      </c>
      <c r="R74" s="70">
        <f t="shared" si="30"/>
        <v>10</v>
      </c>
      <c r="S74" s="70">
        <f t="shared" si="30"/>
        <v>35</v>
      </c>
      <c r="T74" s="70">
        <f t="shared" si="30"/>
        <v>10</v>
      </c>
      <c r="U74" s="70">
        <f t="shared" si="30"/>
        <v>80</v>
      </c>
      <c r="V74" s="70">
        <f t="shared" si="30"/>
        <v>150</v>
      </c>
      <c r="W74" s="70">
        <f>SUM(M74:V74)</f>
        <v>308.95</v>
      </c>
      <c r="X74" s="96">
        <f>W74-J74</f>
        <v>266</v>
      </c>
      <c r="Y74" s="94">
        <v>132.1</v>
      </c>
      <c r="Z74" s="94">
        <v>89.6</v>
      </c>
      <c r="AA74" s="97">
        <f>X74+Z74</f>
        <v>355.6</v>
      </c>
      <c r="AB74" s="85">
        <v>40</v>
      </c>
      <c r="AC74" s="96">
        <f>Y74-AB74</f>
        <v>92.1</v>
      </c>
      <c r="AD74" s="96">
        <f>X74-Y74</f>
        <v>133.9</v>
      </c>
      <c r="AE74" s="85"/>
      <c r="AF74" s="96">
        <f>AD74-AE74</f>
        <v>133.9</v>
      </c>
      <c r="AG74" s="49" t="s">
        <v>167</v>
      </c>
      <c r="AH74" s="98">
        <f>(SUM(Y74:Z74)/(1+10/100))*(10/100)</f>
        <v>20.154545454545456</v>
      </c>
      <c r="AI74" s="49"/>
    </row>
    <row r="76" spans="1:35" ht="51" x14ac:dyDescent="0.2">
      <c r="A76" s="83" t="s">
        <v>135</v>
      </c>
      <c r="B76" s="84">
        <v>45827</v>
      </c>
      <c r="C76" s="85"/>
      <c r="D76" s="85"/>
      <c r="E76" s="85"/>
      <c r="F76" s="85"/>
      <c r="G76" s="85"/>
      <c r="H76" s="85"/>
      <c r="I76" s="85"/>
      <c r="J76" s="85"/>
      <c r="K76" s="86"/>
      <c r="L76" s="83" t="s">
        <v>136</v>
      </c>
      <c r="M76" s="84">
        <v>45827</v>
      </c>
      <c r="N76" s="85"/>
      <c r="O76" s="85"/>
      <c r="P76" s="85"/>
      <c r="Q76" s="85"/>
      <c r="R76" s="85"/>
      <c r="S76" s="85"/>
      <c r="T76" s="85"/>
      <c r="U76" s="85"/>
      <c r="V76" s="85"/>
      <c r="W76" s="87" t="s">
        <v>141</v>
      </c>
      <c r="X76" s="88" t="s">
        <v>192</v>
      </c>
      <c r="Y76" s="89" t="s">
        <v>142</v>
      </c>
      <c r="Z76" s="90" t="s">
        <v>193</v>
      </c>
      <c r="AA76" s="91" t="s">
        <v>194</v>
      </c>
      <c r="AB76" s="88" t="s">
        <v>288</v>
      </c>
      <c r="AC76" s="87" t="s">
        <v>195</v>
      </c>
      <c r="AD76" s="87" t="s">
        <v>196</v>
      </c>
      <c r="AE76" s="88" t="s">
        <v>197</v>
      </c>
      <c r="AF76" s="87" t="s">
        <v>198</v>
      </c>
      <c r="AG76" s="49"/>
      <c r="AH76" s="92"/>
      <c r="AI76" s="49"/>
    </row>
    <row r="77" spans="1:35" ht="12.75" x14ac:dyDescent="0.2">
      <c r="A77" s="87" t="s">
        <v>199</v>
      </c>
      <c r="B77" s="93">
        <v>0.05</v>
      </c>
      <c r="C77" s="93">
        <v>0.1</v>
      </c>
      <c r="D77" s="93">
        <v>0.2</v>
      </c>
      <c r="E77" s="93">
        <v>0.5</v>
      </c>
      <c r="F77" s="93">
        <v>1</v>
      </c>
      <c r="G77" s="93">
        <v>2</v>
      </c>
      <c r="H77" s="93">
        <v>5</v>
      </c>
      <c r="I77" s="93">
        <v>10</v>
      </c>
      <c r="J77" s="49"/>
      <c r="K77" s="86"/>
      <c r="L77" s="87" t="s">
        <v>199</v>
      </c>
      <c r="M77" s="93">
        <v>0.05</v>
      </c>
      <c r="N77" s="93">
        <v>0.1</v>
      </c>
      <c r="O77" s="93">
        <v>0.2</v>
      </c>
      <c r="P77" s="93">
        <v>0.5</v>
      </c>
      <c r="Q77" s="93">
        <v>1</v>
      </c>
      <c r="R77" s="93">
        <v>2</v>
      </c>
      <c r="S77" s="93">
        <v>5</v>
      </c>
      <c r="T77" s="93">
        <v>10</v>
      </c>
      <c r="U77" s="93">
        <v>20</v>
      </c>
      <c r="V77" s="93">
        <v>50</v>
      </c>
      <c r="W77" s="85"/>
      <c r="X77" s="85"/>
      <c r="Y77" s="49"/>
      <c r="Z77" s="94"/>
      <c r="AA77" s="95"/>
      <c r="AB77" s="85"/>
      <c r="AC77" s="85"/>
      <c r="AD77" s="85"/>
      <c r="AE77" s="85"/>
      <c r="AF77" s="85"/>
      <c r="AG77" s="49"/>
      <c r="AH77" s="92"/>
      <c r="AI77" s="49"/>
    </row>
    <row r="78" spans="1:35" ht="12.75" x14ac:dyDescent="0.2">
      <c r="A78" s="87" t="s">
        <v>200</v>
      </c>
      <c r="B78" s="38">
        <v>25</v>
      </c>
      <c r="C78" s="38">
        <v>46</v>
      </c>
      <c r="D78" s="49">
        <v>4</v>
      </c>
      <c r="E78" s="49">
        <v>10</v>
      </c>
      <c r="F78" s="85">
        <v>10</v>
      </c>
      <c r="G78" s="85">
        <v>5</v>
      </c>
      <c r="H78" s="85">
        <v>2</v>
      </c>
      <c r="I78" s="85"/>
      <c r="J78" s="85"/>
      <c r="K78" s="86"/>
      <c r="L78" s="87" t="s">
        <v>200</v>
      </c>
      <c r="M78" s="38">
        <v>25</v>
      </c>
      <c r="N78" s="38">
        <v>46</v>
      </c>
      <c r="O78" s="49">
        <v>4</v>
      </c>
      <c r="P78" s="49">
        <v>19</v>
      </c>
      <c r="Q78" s="85">
        <v>12</v>
      </c>
      <c r="R78" s="85">
        <v>9</v>
      </c>
      <c r="S78" s="85">
        <v>4</v>
      </c>
      <c r="T78" s="85">
        <v>1</v>
      </c>
      <c r="U78" s="85">
        <v>5</v>
      </c>
      <c r="V78" s="85">
        <v>2</v>
      </c>
      <c r="W78" s="85"/>
      <c r="X78" s="85"/>
      <c r="Y78" s="49"/>
      <c r="Z78" s="94"/>
      <c r="AA78" s="95"/>
      <c r="AB78" s="85"/>
      <c r="AC78" s="85"/>
      <c r="AD78" s="85"/>
      <c r="AE78" s="85"/>
      <c r="AF78" s="85"/>
      <c r="AG78" s="49"/>
      <c r="AH78" s="92"/>
      <c r="AI78" s="49"/>
    </row>
    <row r="79" spans="1:35" ht="12.75" x14ac:dyDescent="0.2">
      <c r="A79" s="87" t="s">
        <v>141</v>
      </c>
      <c r="B79" s="70">
        <f t="shared" ref="B79:I79" si="31">B78*B77</f>
        <v>1.25</v>
      </c>
      <c r="C79" s="70">
        <f t="shared" si="31"/>
        <v>4.6000000000000005</v>
      </c>
      <c r="D79" s="70">
        <f t="shared" si="31"/>
        <v>0.8</v>
      </c>
      <c r="E79" s="70">
        <f t="shared" si="31"/>
        <v>5</v>
      </c>
      <c r="F79" s="70">
        <f t="shared" si="31"/>
        <v>10</v>
      </c>
      <c r="G79" s="70">
        <f t="shared" si="31"/>
        <v>10</v>
      </c>
      <c r="H79" s="70">
        <f t="shared" si="31"/>
        <v>10</v>
      </c>
      <c r="I79" s="70">
        <f t="shared" si="31"/>
        <v>0</v>
      </c>
      <c r="J79" s="70">
        <f>SUM(B79:I79)</f>
        <v>41.65</v>
      </c>
      <c r="K79" s="86"/>
      <c r="L79" s="87" t="s">
        <v>141</v>
      </c>
      <c r="M79" s="70">
        <f t="shared" ref="M79:V79" si="32">M78*M77</f>
        <v>1.25</v>
      </c>
      <c r="N79" s="70">
        <f t="shared" si="32"/>
        <v>4.6000000000000005</v>
      </c>
      <c r="O79" s="70">
        <f t="shared" si="32"/>
        <v>0.8</v>
      </c>
      <c r="P79" s="70">
        <f t="shared" si="32"/>
        <v>9.5</v>
      </c>
      <c r="Q79" s="70">
        <f t="shared" si="32"/>
        <v>12</v>
      </c>
      <c r="R79" s="70">
        <f t="shared" si="32"/>
        <v>18</v>
      </c>
      <c r="S79" s="70">
        <f t="shared" si="32"/>
        <v>20</v>
      </c>
      <c r="T79" s="70">
        <f t="shared" si="32"/>
        <v>10</v>
      </c>
      <c r="U79" s="70">
        <f t="shared" si="32"/>
        <v>100</v>
      </c>
      <c r="V79" s="70">
        <f t="shared" si="32"/>
        <v>100</v>
      </c>
      <c r="W79" s="70">
        <f>SUM(M79:V79)</f>
        <v>276.14999999999998</v>
      </c>
      <c r="X79" s="96">
        <f>W79-J79</f>
        <v>234.49999999999997</v>
      </c>
      <c r="Y79" s="94">
        <v>103.6</v>
      </c>
      <c r="Z79" s="94">
        <v>81.7</v>
      </c>
      <c r="AA79" s="97">
        <f>X79+Z79</f>
        <v>316.2</v>
      </c>
      <c r="AB79" s="85">
        <v>50</v>
      </c>
      <c r="AC79" s="96">
        <f>Y79-AB79</f>
        <v>53.599999999999994</v>
      </c>
      <c r="AD79" s="96">
        <f>X79-Y79</f>
        <v>130.89999999999998</v>
      </c>
      <c r="AE79" s="85">
        <v>40</v>
      </c>
      <c r="AF79" s="96">
        <f>AD79-AE79</f>
        <v>90.899999999999977</v>
      </c>
      <c r="AG79" s="49" t="s">
        <v>167</v>
      </c>
      <c r="AH79" s="98">
        <f>(SUM(Y79:Z79)/(1+10/100))*(10/100)</f>
        <v>16.845454545454544</v>
      </c>
      <c r="AI79" s="49"/>
    </row>
    <row r="81" spans="1:35" ht="51" x14ac:dyDescent="0.2">
      <c r="A81" s="83" t="s">
        <v>135</v>
      </c>
      <c r="B81" s="84">
        <v>45828</v>
      </c>
      <c r="C81" s="85"/>
      <c r="D81" s="85"/>
      <c r="E81" s="85"/>
      <c r="F81" s="85"/>
      <c r="G81" s="85"/>
      <c r="H81" s="85"/>
      <c r="I81" s="85"/>
      <c r="J81" s="85"/>
      <c r="K81" s="86"/>
      <c r="L81" s="83" t="s">
        <v>136</v>
      </c>
      <c r="M81" s="84">
        <v>45828</v>
      </c>
      <c r="N81" s="85"/>
      <c r="O81" s="85"/>
      <c r="P81" s="85"/>
      <c r="Q81" s="85"/>
      <c r="R81" s="85"/>
      <c r="S81" s="85"/>
      <c r="T81" s="85"/>
      <c r="U81" s="85"/>
      <c r="V81" s="85"/>
      <c r="W81" s="87" t="s">
        <v>141</v>
      </c>
      <c r="X81" s="88" t="s">
        <v>192</v>
      </c>
      <c r="Y81" s="89" t="s">
        <v>142</v>
      </c>
      <c r="Z81" s="90" t="s">
        <v>193</v>
      </c>
      <c r="AA81" s="91" t="s">
        <v>194</v>
      </c>
      <c r="AB81" s="88" t="s">
        <v>288</v>
      </c>
      <c r="AC81" s="87" t="s">
        <v>195</v>
      </c>
      <c r="AD81" s="87" t="s">
        <v>196</v>
      </c>
      <c r="AE81" s="88" t="s">
        <v>197</v>
      </c>
      <c r="AF81" s="87" t="s">
        <v>198</v>
      </c>
      <c r="AG81" s="49"/>
      <c r="AH81" s="92"/>
      <c r="AI81" s="49"/>
    </row>
    <row r="82" spans="1:35" ht="12.75" x14ac:dyDescent="0.2">
      <c r="A82" s="87" t="s">
        <v>199</v>
      </c>
      <c r="B82" s="93">
        <v>0.05</v>
      </c>
      <c r="C82" s="93">
        <v>0.1</v>
      </c>
      <c r="D82" s="93">
        <v>0.2</v>
      </c>
      <c r="E82" s="93">
        <v>0.5</v>
      </c>
      <c r="F82" s="93">
        <v>1</v>
      </c>
      <c r="G82" s="93">
        <v>2</v>
      </c>
      <c r="H82" s="93">
        <v>5</v>
      </c>
      <c r="I82" s="93">
        <v>10</v>
      </c>
      <c r="J82" s="49"/>
      <c r="K82" s="86"/>
      <c r="L82" s="87" t="s">
        <v>199</v>
      </c>
      <c r="M82" s="93">
        <v>0.05</v>
      </c>
      <c r="N82" s="93">
        <v>0.1</v>
      </c>
      <c r="O82" s="93">
        <v>0.2</v>
      </c>
      <c r="P82" s="93">
        <v>0.5</v>
      </c>
      <c r="Q82" s="93">
        <v>1</v>
      </c>
      <c r="R82" s="93">
        <v>2</v>
      </c>
      <c r="S82" s="93">
        <v>5</v>
      </c>
      <c r="T82" s="93">
        <v>10</v>
      </c>
      <c r="U82" s="93">
        <v>20</v>
      </c>
      <c r="V82" s="93">
        <v>50</v>
      </c>
      <c r="W82" s="85"/>
      <c r="X82" s="85"/>
      <c r="Y82" s="49"/>
      <c r="Z82" s="94"/>
      <c r="AA82" s="95"/>
      <c r="AB82" s="85"/>
      <c r="AC82" s="85"/>
      <c r="AD82" s="85"/>
      <c r="AE82" s="85"/>
      <c r="AF82" s="85"/>
      <c r="AG82" s="49"/>
      <c r="AH82" s="92"/>
      <c r="AI82" s="49"/>
    </row>
    <row r="83" spans="1:35" ht="12.75" x14ac:dyDescent="0.2">
      <c r="A83" s="87" t="s">
        <v>200</v>
      </c>
      <c r="B83" s="38">
        <v>25</v>
      </c>
      <c r="C83" s="38">
        <v>46</v>
      </c>
      <c r="D83" s="49">
        <v>4</v>
      </c>
      <c r="E83" s="49">
        <v>10</v>
      </c>
      <c r="F83" s="85">
        <v>10</v>
      </c>
      <c r="G83" s="85">
        <v>5</v>
      </c>
      <c r="H83" s="85">
        <v>1</v>
      </c>
      <c r="I83" s="85"/>
      <c r="J83" s="85"/>
      <c r="K83" s="86"/>
      <c r="L83" s="87" t="s">
        <v>200</v>
      </c>
      <c r="M83" s="38">
        <v>25</v>
      </c>
      <c r="N83" s="38">
        <v>22</v>
      </c>
      <c r="O83" s="49"/>
      <c r="P83" s="49">
        <v>15</v>
      </c>
      <c r="Q83" s="85">
        <v>14</v>
      </c>
      <c r="R83" s="85">
        <v>4</v>
      </c>
      <c r="S83" s="85">
        <v>6</v>
      </c>
      <c r="T83" s="85">
        <v>3</v>
      </c>
      <c r="U83" s="85">
        <v>15</v>
      </c>
      <c r="V83" s="85">
        <v>2</v>
      </c>
      <c r="W83" s="85"/>
      <c r="X83" s="85"/>
      <c r="Y83" s="49"/>
      <c r="Z83" s="94"/>
      <c r="AA83" s="95"/>
      <c r="AB83" s="85"/>
      <c r="AC83" s="85"/>
      <c r="AD83" s="85"/>
      <c r="AE83" s="85"/>
      <c r="AF83" s="85"/>
      <c r="AG83" s="49"/>
      <c r="AH83" s="92"/>
      <c r="AI83" s="49"/>
    </row>
    <row r="84" spans="1:35" ht="12.75" x14ac:dyDescent="0.2">
      <c r="A84" s="87" t="s">
        <v>141</v>
      </c>
      <c r="B84" s="70">
        <f t="shared" ref="B84:I84" si="33">B83*B82</f>
        <v>1.25</v>
      </c>
      <c r="C84" s="70">
        <f t="shared" si="33"/>
        <v>4.6000000000000005</v>
      </c>
      <c r="D84" s="70">
        <f t="shared" si="33"/>
        <v>0.8</v>
      </c>
      <c r="E84" s="70">
        <f t="shared" si="33"/>
        <v>5</v>
      </c>
      <c r="F84" s="70">
        <f t="shared" si="33"/>
        <v>10</v>
      </c>
      <c r="G84" s="70">
        <f t="shared" si="33"/>
        <v>10</v>
      </c>
      <c r="H84" s="70">
        <f t="shared" si="33"/>
        <v>5</v>
      </c>
      <c r="I84" s="70">
        <f t="shared" si="33"/>
        <v>0</v>
      </c>
      <c r="J84" s="70">
        <f>SUM(B84:I84)</f>
        <v>36.65</v>
      </c>
      <c r="K84" s="86"/>
      <c r="L84" s="87" t="s">
        <v>141</v>
      </c>
      <c r="M84" s="70">
        <f t="shared" ref="M84:V84" si="34">M83*M82</f>
        <v>1.25</v>
      </c>
      <c r="N84" s="70">
        <f t="shared" si="34"/>
        <v>2.2000000000000002</v>
      </c>
      <c r="O84" s="70">
        <f t="shared" si="34"/>
        <v>0</v>
      </c>
      <c r="P84" s="70">
        <f t="shared" si="34"/>
        <v>7.5</v>
      </c>
      <c r="Q84" s="70">
        <f t="shared" si="34"/>
        <v>14</v>
      </c>
      <c r="R84" s="70">
        <f t="shared" si="34"/>
        <v>8</v>
      </c>
      <c r="S84" s="70">
        <f t="shared" si="34"/>
        <v>30</v>
      </c>
      <c r="T84" s="70">
        <f t="shared" si="34"/>
        <v>30</v>
      </c>
      <c r="U84" s="70">
        <f t="shared" si="34"/>
        <v>300</v>
      </c>
      <c r="V84" s="70">
        <f t="shared" si="34"/>
        <v>100</v>
      </c>
      <c r="W84" s="70">
        <f>SUM(M84:V84)</f>
        <v>492.95</v>
      </c>
      <c r="X84" s="96">
        <f>W84-J84</f>
        <v>456.3</v>
      </c>
      <c r="Y84" s="94">
        <v>92.4</v>
      </c>
      <c r="Z84" s="94">
        <v>198.8</v>
      </c>
      <c r="AA84" s="97">
        <f>X84+Z84</f>
        <v>655.1</v>
      </c>
      <c r="AB84" s="85">
        <v>70</v>
      </c>
      <c r="AC84" s="96">
        <f>Y84-AB84</f>
        <v>22.400000000000006</v>
      </c>
      <c r="AD84" s="96">
        <f>X84-Y84</f>
        <v>363.9</v>
      </c>
      <c r="AE84" s="85"/>
      <c r="AF84" s="96">
        <f>AD84-AE84</f>
        <v>363.9</v>
      </c>
      <c r="AG84" s="49"/>
      <c r="AH84" s="98">
        <f>(SUM(Y84:Z84)/(1+10/100))*(10/100)</f>
        <v>26.472727272727276</v>
      </c>
      <c r="AI84" s="49"/>
    </row>
    <row r="86" spans="1:35" ht="51" x14ac:dyDescent="0.2">
      <c r="A86" s="83" t="s">
        <v>135</v>
      </c>
      <c r="B86" s="84">
        <v>45829</v>
      </c>
      <c r="C86" s="85"/>
      <c r="D86" s="85"/>
      <c r="E86" s="85"/>
      <c r="F86" s="85"/>
      <c r="G86" s="85"/>
      <c r="H86" s="85"/>
      <c r="I86" s="85"/>
      <c r="J86" s="85"/>
      <c r="K86" s="86"/>
      <c r="L86" s="83" t="s">
        <v>136</v>
      </c>
      <c r="M86" s="84">
        <v>57882</v>
      </c>
      <c r="N86" s="85"/>
      <c r="O86" s="85"/>
      <c r="P86" s="85"/>
      <c r="Q86" s="85"/>
      <c r="R86" s="85"/>
      <c r="S86" s="85"/>
      <c r="T86" s="85"/>
      <c r="U86" s="85"/>
      <c r="V86" s="85"/>
      <c r="W86" s="87" t="s">
        <v>141</v>
      </c>
      <c r="X86" s="88" t="s">
        <v>192</v>
      </c>
      <c r="Y86" s="89" t="s">
        <v>142</v>
      </c>
      <c r="Z86" s="90" t="s">
        <v>193</v>
      </c>
      <c r="AA86" s="91" t="s">
        <v>194</v>
      </c>
      <c r="AB86" s="88" t="s">
        <v>288</v>
      </c>
      <c r="AC86" s="87" t="s">
        <v>195</v>
      </c>
      <c r="AD86" s="87" t="s">
        <v>196</v>
      </c>
      <c r="AE86" s="88" t="s">
        <v>197</v>
      </c>
      <c r="AF86" s="87" t="s">
        <v>198</v>
      </c>
      <c r="AG86" s="49"/>
      <c r="AH86" s="92"/>
      <c r="AI86" s="49"/>
    </row>
    <row r="87" spans="1:35" ht="12.75" x14ac:dyDescent="0.2">
      <c r="A87" s="87" t="s">
        <v>199</v>
      </c>
      <c r="B87" s="93">
        <v>0.05</v>
      </c>
      <c r="C87" s="93">
        <v>0.1</v>
      </c>
      <c r="D87" s="93">
        <v>0.2</v>
      </c>
      <c r="E87" s="93">
        <v>0.5</v>
      </c>
      <c r="F87" s="93">
        <v>1</v>
      </c>
      <c r="G87" s="93">
        <v>2</v>
      </c>
      <c r="H87" s="93">
        <v>5</v>
      </c>
      <c r="I87" s="93">
        <v>10</v>
      </c>
      <c r="J87" s="49"/>
      <c r="K87" s="86"/>
      <c r="L87" s="87" t="s">
        <v>199</v>
      </c>
      <c r="M87" s="93">
        <v>0.05</v>
      </c>
      <c r="N87" s="93">
        <v>0.1</v>
      </c>
      <c r="O87" s="93">
        <v>0.2</v>
      </c>
      <c r="P87" s="93">
        <v>0.5</v>
      </c>
      <c r="Q87" s="93">
        <v>1</v>
      </c>
      <c r="R87" s="93">
        <v>2</v>
      </c>
      <c r="S87" s="93">
        <v>5</v>
      </c>
      <c r="T87" s="93">
        <v>10</v>
      </c>
      <c r="U87" s="93">
        <v>20</v>
      </c>
      <c r="V87" s="93">
        <v>50</v>
      </c>
      <c r="W87" s="85"/>
      <c r="X87" s="85"/>
      <c r="Y87" s="49"/>
      <c r="Z87" s="94"/>
      <c r="AA87" s="95"/>
      <c r="AB87" s="85"/>
      <c r="AC87" s="85"/>
      <c r="AD87" s="85"/>
      <c r="AE87" s="85"/>
      <c r="AF87" s="85"/>
      <c r="AG87" s="49"/>
      <c r="AH87" s="92"/>
      <c r="AI87" s="49"/>
    </row>
    <row r="88" spans="1:35" ht="12.75" x14ac:dyDescent="0.2">
      <c r="A88" s="87" t="s">
        <v>200</v>
      </c>
      <c r="B88" s="38">
        <v>25</v>
      </c>
      <c r="C88" s="38">
        <v>22</v>
      </c>
      <c r="D88" s="49"/>
      <c r="E88" s="49">
        <v>15</v>
      </c>
      <c r="F88" s="85">
        <v>10</v>
      </c>
      <c r="G88" s="85">
        <v>4</v>
      </c>
      <c r="H88" s="85">
        <v>2</v>
      </c>
      <c r="I88" s="85"/>
      <c r="J88" s="85"/>
      <c r="K88" s="86"/>
      <c r="L88" s="87" t="s">
        <v>200</v>
      </c>
      <c r="M88" s="38">
        <v>19</v>
      </c>
      <c r="N88" s="38">
        <v>21</v>
      </c>
      <c r="O88" s="49">
        <v>12</v>
      </c>
      <c r="P88" s="49">
        <v>10</v>
      </c>
      <c r="Q88" s="85">
        <v>6</v>
      </c>
      <c r="R88" s="85">
        <v>4</v>
      </c>
      <c r="S88" s="85">
        <v>3</v>
      </c>
      <c r="T88" s="85">
        <v>8</v>
      </c>
      <c r="U88" s="85">
        <v>1</v>
      </c>
      <c r="V88" s="85">
        <v>3</v>
      </c>
      <c r="W88" s="85"/>
      <c r="X88" s="85"/>
      <c r="Y88" s="49"/>
      <c r="Z88" s="94"/>
      <c r="AA88" s="95"/>
      <c r="AB88" s="85"/>
      <c r="AC88" s="85"/>
      <c r="AD88" s="85"/>
      <c r="AE88" s="85"/>
      <c r="AF88" s="85"/>
      <c r="AG88" s="49"/>
      <c r="AH88" s="92"/>
      <c r="AI88" s="49"/>
    </row>
    <row r="89" spans="1:35" ht="12.75" x14ac:dyDescent="0.2">
      <c r="A89" s="87" t="s">
        <v>141</v>
      </c>
      <c r="B89" s="70">
        <f t="shared" ref="B89:I89" si="35">B88*B87</f>
        <v>1.25</v>
      </c>
      <c r="C89" s="70">
        <f t="shared" si="35"/>
        <v>2.2000000000000002</v>
      </c>
      <c r="D89" s="70">
        <f t="shared" si="35"/>
        <v>0</v>
      </c>
      <c r="E89" s="70">
        <f t="shared" si="35"/>
        <v>7.5</v>
      </c>
      <c r="F89" s="70">
        <f t="shared" si="35"/>
        <v>10</v>
      </c>
      <c r="G89" s="70">
        <f t="shared" si="35"/>
        <v>8</v>
      </c>
      <c r="H89" s="70">
        <f t="shared" si="35"/>
        <v>10</v>
      </c>
      <c r="I89" s="70">
        <f t="shared" si="35"/>
        <v>0</v>
      </c>
      <c r="J89" s="70">
        <f>SUM(B89:I89)</f>
        <v>38.950000000000003</v>
      </c>
      <c r="K89" s="86"/>
      <c r="L89" s="87" t="s">
        <v>141</v>
      </c>
      <c r="M89" s="70">
        <f t="shared" ref="M89:V89" si="36">M88*M87</f>
        <v>0.95000000000000007</v>
      </c>
      <c r="N89" s="70">
        <f t="shared" si="36"/>
        <v>2.1</v>
      </c>
      <c r="O89" s="70">
        <f t="shared" si="36"/>
        <v>2.4000000000000004</v>
      </c>
      <c r="P89" s="70">
        <f t="shared" si="36"/>
        <v>5</v>
      </c>
      <c r="Q89" s="70">
        <f t="shared" si="36"/>
        <v>6</v>
      </c>
      <c r="R89" s="70">
        <f t="shared" si="36"/>
        <v>8</v>
      </c>
      <c r="S89" s="70">
        <f t="shared" si="36"/>
        <v>15</v>
      </c>
      <c r="T89" s="70">
        <f t="shared" si="36"/>
        <v>80</v>
      </c>
      <c r="U89" s="70">
        <f t="shared" si="36"/>
        <v>20</v>
      </c>
      <c r="V89" s="70">
        <f t="shared" si="36"/>
        <v>150</v>
      </c>
      <c r="W89" s="70">
        <f>SUM(M89:V89)</f>
        <v>289.45</v>
      </c>
      <c r="X89" s="96">
        <f>W89-J89</f>
        <v>250.5</v>
      </c>
      <c r="Y89" s="94">
        <v>98.4</v>
      </c>
      <c r="Z89" s="94">
        <v>49.2</v>
      </c>
      <c r="AA89" s="97">
        <f>X89+Z89</f>
        <v>299.7</v>
      </c>
      <c r="AB89" s="85">
        <v>70</v>
      </c>
      <c r="AC89" s="96">
        <f>Y89-AB89</f>
        <v>28.400000000000006</v>
      </c>
      <c r="AD89" s="96">
        <f>X89-Y89</f>
        <v>152.1</v>
      </c>
      <c r="AE89" s="85">
        <v>30</v>
      </c>
      <c r="AF89" s="96">
        <f>AD89-AE89</f>
        <v>122.1</v>
      </c>
      <c r="AG89" s="49"/>
      <c r="AH89" s="98">
        <f>(SUM(Y89:Z89)/(1+10/100))*(10/100)</f>
        <v>13.41818181818182</v>
      </c>
      <c r="AI89" s="49"/>
    </row>
    <row r="91" spans="1:35" ht="51" x14ac:dyDescent="0.2">
      <c r="A91" s="83" t="s">
        <v>135</v>
      </c>
      <c r="B91" s="84">
        <v>45831</v>
      </c>
      <c r="C91" s="85"/>
      <c r="D91" s="85"/>
      <c r="E91" s="85"/>
      <c r="F91" s="85"/>
      <c r="G91" s="85"/>
      <c r="H91" s="85"/>
      <c r="I91" s="85"/>
      <c r="J91" s="85"/>
      <c r="K91" s="86"/>
      <c r="L91" s="83" t="s">
        <v>136</v>
      </c>
      <c r="M91" s="84">
        <v>45831</v>
      </c>
      <c r="N91" s="85"/>
      <c r="O91" s="85"/>
      <c r="P91" s="85"/>
      <c r="Q91" s="85"/>
      <c r="R91" s="85"/>
      <c r="S91" s="85"/>
      <c r="T91" s="85"/>
      <c r="U91" s="85"/>
      <c r="V91" s="85"/>
      <c r="W91" s="87" t="s">
        <v>141</v>
      </c>
      <c r="X91" s="88" t="s">
        <v>192</v>
      </c>
      <c r="Y91" s="89" t="s">
        <v>142</v>
      </c>
      <c r="Z91" s="90" t="s">
        <v>193</v>
      </c>
      <c r="AA91" s="91" t="s">
        <v>194</v>
      </c>
      <c r="AB91" s="88" t="s">
        <v>288</v>
      </c>
      <c r="AC91" s="87" t="s">
        <v>195</v>
      </c>
      <c r="AD91" s="87" t="s">
        <v>196</v>
      </c>
      <c r="AE91" s="88" t="s">
        <v>197</v>
      </c>
      <c r="AF91" s="87" t="s">
        <v>198</v>
      </c>
      <c r="AG91" s="49"/>
      <c r="AH91" s="92"/>
      <c r="AI91" s="49"/>
    </row>
    <row r="92" spans="1:35" ht="12.75" x14ac:dyDescent="0.2">
      <c r="A92" s="87" t="s">
        <v>199</v>
      </c>
      <c r="B92" s="93">
        <v>0.05</v>
      </c>
      <c r="C92" s="93">
        <v>0.1</v>
      </c>
      <c r="D92" s="93">
        <v>0.2</v>
      </c>
      <c r="E92" s="93">
        <v>0.5</v>
      </c>
      <c r="F92" s="93">
        <v>1</v>
      </c>
      <c r="G92" s="93">
        <v>2</v>
      </c>
      <c r="H92" s="93">
        <v>5</v>
      </c>
      <c r="I92" s="93">
        <v>10</v>
      </c>
      <c r="J92" s="49"/>
      <c r="K92" s="86"/>
      <c r="L92" s="87" t="s">
        <v>199</v>
      </c>
      <c r="M92" s="93">
        <v>0.05</v>
      </c>
      <c r="N92" s="93">
        <v>0.1</v>
      </c>
      <c r="O92" s="93">
        <v>0.2</v>
      </c>
      <c r="P92" s="93">
        <v>0.5</v>
      </c>
      <c r="Q92" s="93">
        <v>1</v>
      </c>
      <c r="R92" s="93">
        <v>2</v>
      </c>
      <c r="S92" s="93">
        <v>5</v>
      </c>
      <c r="T92" s="93">
        <v>10</v>
      </c>
      <c r="U92" s="93">
        <v>20</v>
      </c>
      <c r="V92" s="93">
        <v>50</v>
      </c>
      <c r="W92" s="85"/>
      <c r="X92" s="85"/>
      <c r="Y92" s="49"/>
      <c r="Z92" s="94"/>
      <c r="AA92" s="95"/>
      <c r="AB92" s="85"/>
      <c r="AC92" s="85"/>
      <c r="AD92" s="85"/>
      <c r="AE92" s="85"/>
      <c r="AF92" s="85"/>
      <c r="AG92" s="49"/>
      <c r="AH92" s="92"/>
      <c r="AI92" s="49"/>
    </row>
    <row r="93" spans="1:35" ht="12.75" x14ac:dyDescent="0.2">
      <c r="A93" s="87" t="s">
        <v>200</v>
      </c>
      <c r="B93" s="38">
        <v>19</v>
      </c>
      <c r="C93" s="38">
        <v>21</v>
      </c>
      <c r="D93" s="49">
        <v>12</v>
      </c>
      <c r="E93" s="49">
        <v>10</v>
      </c>
      <c r="F93" s="85">
        <v>6</v>
      </c>
      <c r="G93" s="85">
        <v>4</v>
      </c>
      <c r="H93" s="85">
        <v>2</v>
      </c>
      <c r="I93" s="85"/>
      <c r="J93" s="85"/>
      <c r="K93" s="86"/>
      <c r="L93" s="87" t="s">
        <v>200</v>
      </c>
      <c r="M93" s="38">
        <v>21</v>
      </c>
      <c r="N93" s="38">
        <v>14</v>
      </c>
      <c r="O93" s="49">
        <v>13</v>
      </c>
      <c r="P93" s="49">
        <v>8</v>
      </c>
      <c r="Q93" s="85">
        <v>18</v>
      </c>
      <c r="R93" s="85">
        <v>19</v>
      </c>
      <c r="S93" s="85">
        <v>9</v>
      </c>
      <c r="T93" s="85">
        <v>10</v>
      </c>
      <c r="U93" s="85">
        <v>2</v>
      </c>
      <c r="V93" s="85">
        <v>3</v>
      </c>
      <c r="W93" s="85"/>
      <c r="X93" s="85"/>
      <c r="Y93" s="49"/>
      <c r="Z93" s="94"/>
      <c r="AA93" s="95"/>
      <c r="AB93" s="85"/>
      <c r="AC93" s="85"/>
      <c r="AD93" s="85"/>
      <c r="AE93" s="85"/>
      <c r="AF93" s="85"/>
      <c r="AG93" s="49"/>
      <c r="AH93" s="92"/>
      <c r="AI93" s="49"/>
    </row>
    <row r="94" spans="1:35" ht="12.75" x14ac:dyDescent="0.2">
      <c r="A94" s="87" t="s">
        <v>141</v>
      </c>
      <c r="B94" s="70">
        <f t="shared" ref="B94:I94" si="37">B93*B92</f>
        <v>0.95000000000000007</v>
      </c>
      <c r="C94" s="70">
        <f t="shared" si="37"/>
        <v>2.1</v>
      </c>
      <c r="D94" s="70">
        <f t="shared" si="37"/>
        <v>2.4000000000000004</v>
      </c>
      <c r="E94" s="70">
        <f t="shared" si="37"/>
        <v>5</v>
      </c>
      <c r="F94" s="70">
        <f t="shared" si="37"/>
        <v>6</v>
      </c>
      <c r="G94" s="70">
        <f t="shared" si="37"/>
        <v>8</v>
      </c>
      <c r="H94" s="70">
        <f t="shared" si="37"/>
        <v>10</v>
      </c>
      <c r="I94" s="70">
        <f t="shared" si="37"/>
        <v>0</v>
      </c>
      <c r="J94" s="70">
        <f>SUM(B94:I94)</f>
        <v>34.450000000000003</v>
      </c>
      <c r="K94" s="86"/>
      <c r="L94" s="87" t="s">
        <v>141</v>
      </c>
      <c r="M94" s="70">
        <f t="shared" ref="M94:V94" si="38">M93*M92</f>
        <v>1.05</v>
      </c>
      <c r="N94" s="70">
        <f t="shared" si="38"/>
        <v>1.4000000000000001</v>
      </c>
      <c r="O94" s="70">
        <f t="shared" si="38"/>
        <v>2.6</v>
      </c>
      <c r="P94" s="70">
        <f t="shared" si="38"/>
        <v>4</v>
      </c>
      <c r="Q94" s="70">
        <f t="shared" si="38"/>
        <v>18</v>
      </c>
      <c r="R94" s="70">
        <f t="shared" si="38"/>
        <v>38</v>
      </c>
      <c r="S94" s="70">
        <f t="shared" si="38"/>
        <v>45</v>
      </c>
      <c r="T94" s="70">
        <f t="shared" si="38"/>
        <v>100</v>
      </c>
      <c r="U94" s="70">
        <f t="shared" si="38"/>
        <v>40</v>
      </c>
      <c r="V94" s="70">
        <f t="shared" si="38"/>
        <v>150</v>
      </c>
      <c r="W94" s="70">
        <f>SUM(M94:V94)</f>
        <v>400.05</v>
      </c>
      <c r="X94" s="96">
        <f>W94-J94</f>
        <v>365.6</v>
      </c>
      <c r="Y94" s="94">
        <v>212</v>
      </c>
      <c r="Z94" s="94">
        <v>70.400000000000006</v>
      </c>
      <c r="AA94" s="97">
        <f>X94+Z94</f>
        <v>436</v>
      </c>
      <c r="AB94" s="85">
        <v>110</v>
      </c>
      <c r="AC94" s="96">
        <f>Y94-AB94</f>
        <v>102</v>
      </c>
      <c r="AD94" s="96">
        <f>X94-Y94</f>
        <v>153.60000000000002</v>
      </c>
      <c r="AE94" s="85"/>
      <c r="AF94" s="96">
        <f>AD94-AE94</f>
        <v>153.60000000000002</v>
      </c>
      <c r="AG94" s="49"/>
      <c r="AH94" s="98">
        <f>(SUM(Y94:Z94)/(1+10/100))*(10/100)</f>
        <v>25.672727272727272</v>
      </c>
      <c r="AI94" s="49"/>
    </row>
    <row r="96" spans="1:35" ht="51" x14ac:dyDescent="0.2">
      <c r="A96" s="83" t="s">
        <v>135</v>
      </c>
      <c r="B96" s="84">
        <v>45832</v>
      </c>
      <c r="C96" s="85"/>
      <c r="D96" s="85"/>
      <c r="E96" s="85"/>
      <c r="F96" s="85"/>
      <c r="G96" s="85"/>
      <c r="H96" s="85"/>
      <c r="I96" s="85"/>
      <c r="J96" s="85"/>
      <c r="K96" s="86"/>
      <c r="L96" s="83" t="s">
        <v>136</v>
      </c>
      <c r="M96" s="84">
        <v>45832</v>
      </c>
      <c r="N96" s="85"/>
      <c r="O96" s="85"/>
      <c r="P96" s="85"/>
      <c r="Q96" s="85"/>
      <c r="R96" s="85"/>
      <c r="S96" s="85"/>
      <c r="T96" s="85"/>
      <c r="U96" s="85"/>
      <c r="V96" s="85"/>
      <c r="W96" s="87" t="s">
        <v>141</v>
      </c>
      <c r="X96" s="88" t="s">
        <v>192</v>
      </c>
      <c r="Y96" s="89" t="s">
        <v>142</v>
      </c>
      <c r="Z96" s="90" t="s">
        <v>193</v>
      </c>
      <c r="AA96" s="91" t="s">
        <v>194</v>
      </c>
      <c r="AB96" s="88" t="s">
        <v>288</v>
      </c>
      <c r="AC96" s="87" t="s">
        <v>195</v>
      </c>
      <c r="AD96" s="87" t="s">
        <v>196</v>
      </c>
      <c r="AE96" s="88" t="s">
        <v>197</v>
      </c>
      <c r="AF96" s="87" t="s">
        <v>198</v>
      </c>
      <c r="AG96" s="49"/>
      <c r="AH96" s="92"/>
      <c r="AI96" s="49"/>
    </row>
    <row r="97" spans="1:35" ht="12.75" x14ac:dyDescent="0.2">
      <c r="A97" s="87" t="s">
        <v>199</v>
      </c>
      <c r="B97" s="93">
        <v>0.05</v>
      </c>
      <c r="C97" s="93">
        <v>0.1</v>
      </c>
      <c r="D97" s="93">
        <v>0.2</v>
      </c>
      <c r="E97" s="93">
        <v>0.5</v>
      </c>
      <c r="F97" s="93">
        <v>1</v>
      </c>
      <c r="G97" s="93">
        <v>2</v>
      </c>
      <c r="H97" s="93">
        <v>5</v>
      </c>
      <c r="I97" s="93">
        <v>10</v>
      </c>
      <c r="J97" s="49"/>
      <c r="K97" s="86"/>
      <c r="L97" s="87" t="s">
        <v>199</v>
      </c>
      <c r="M97" s="93">
        <v>0.05</v>
      </c>
      <c r="N97" s="93">
        <v>0.1</v>
      </c>
      <c r="O97" s="93">
        <v>0.2</v>
      </c>
      <c r="P97" s="93">
        <v>0.5</v>
      </c>
      <c r="Q97" s="93">
        <v>1</v>
      </c>
      <c r="R97" s="93">
        <v>2</v>
      </c>
      <c r="S97" s="93">
        <v>5</v>
      </c>
      <c r="T97" s="93">
        <v>10</v>
      </c>
      <c r="U97" s="93">
        <v>20</v>
      </c>
      <c r="V97" s="93">
        <v>50</v>
      </c>
      <c r="W97" s="85"/>
      <c r="X97" s="85"/>
      <c r="Y97" s="49"/>
      <c r="Z97" s="94"/>
      <c r="AA97" s="95"/>
      <c r="AB97" s="85"/>
      <c r="AC97" s="85"/>
      <c r="AD97" s="85"/>
      <c r="AE97" s="85"/>
      <c r="AF97" s="85"/>
      <c r="AG97" s="49"/>
      <c r="AH97" s="92"/>
      <c r="AI97" s="49"/>
    </row>
    <row r="98" spans="1:35" ht="12.75" x14ac:dyDescent="0.2">
      <c r="A98" s="87" t="s">
        <v>200</v>
      </c>
      <c r="B98" s="38">
        <v>21</v>
      </c>
      <c r="C98" s="38">
        <v>14</v>
      </c>
      <c r="D98" s="49">
        <v>13</v>
      </c>
      <c r="E98" s="49">
        <v>8</v>
      </c>
      <c r="F98" s="85">
        <v>10</v>
      </c>
      <c r="G98" s="85">
        <v>5</v>
      </c>
      <c r="H98" s="85">
        <v>2</v>
      </c>
      <c r="I98" s="85"/>
      <c r="J98" s="85"/>
      <c r="K98" s="86"/>
      <c r="L98" s="87" t="s">
        <v>200</v>
      </c>
      <c r="M98" s="38">
        <v>21</v>
      </c>
      <c r="N98" s="38">
        <v>15</v>
      </c>
      <c r="O98" s="49">
        <v>12</v>
      </c>
      <c r="P98" s="49">
        <v>2</v>
      </c>
      <c r="Q98" s="85">
        <v>17</v>
      </c>
      <c r="R98" s="85">
        <v>15</v>
      </c>
      <c r="S98" s="85">
        <v>9</v>
      </c>
      <c r="T98" s="85">
        <v>4</v>
      </c>
      <c r="U98" s="85">
        <v>9</v>
      </c>
      <c r="V98" s="85">
        <v>0</v>
      </c>
      <c r="W98" s="85"/>
      <c r="X98" s="85"/>
      <c r="Y98" s="49"/>
      <c r="Z98" s="94"/>
      <c r="AA98" s="95"/>
      <c r="AB98" s="85"/>
      <c r="AC98" s="85"/>
      <c r="AD98" s="85"/>
      <c r="AE98" s="85"/>
      <c r="AF98" s="85"/>
      <c r="AG98" s="49"/>
      <c r="AH98" s="92"/>
      <c r="AI98" s="49"/>
    </row>
    <row r="99" spans="1:35" ht="12.75" x14ac:dyDescent="0.2">
      <c r="A99" s="87" t="s">
        <v>141</v>
      </c>
      <c r="B99" s="70">
        <f t="shared" ref="B99:I99" si="39">B98*B97</f>
        <v>1.05</v>
      </c>
      <c r="C99" s="70">
        <f t="shared" si="39"/>
        <v>1.4000000000000001</v>
      </c>
      <c r="D99" s="70">
        <f t="shared" si="39"/>
        <v>2.6</v>
      </c>
      <c r="E99" s="70">
        <f t="shared" si="39"/>
        <v>4</v>
      </c>
      <c r="F99" s="70">
        <f t="shared" si="39"/>
        <v>10</v>
      </c>
      <c r="G99" s="70">
        <f t="shared" si="39"/>
        <v>10</v>
      </c>
      <c r="H99" s="70">
        <f t="shared" si="39"/>
        <v>10</v>
      </c>
      <c r="I99" s="70">
        <f t="shared" si="39"/>
        <v>0</v>
      </c>
      <c r="J99" s="70">
        <f>SUM(B99:I99)</f>
        <v>39.049999999999997</v>
      </c>
      <c r="K99" s="86"/>
      <c r="L99" s="87" t="s">
        <v>141</v>
      </c>
      <c r="M99" s="70">
        <f t="shared" ref="M99:V99" si="40">M98*M97</f>
        <v>1.05</v>
      </c>
      <c r="N99" s="70">
        <f t="shared" si="40"/>
        <v>1.5</v>
      </c>
      <c r="O99" s="70">
        <f t="shared" si="40"/>
        <v>2.4000000000000004</v>
      </c>
      <c r="P99" s="70">
        <f t="shared" si="40"/>
        <v>1</v>
      </c>
      <c r="Q99" s="70">
        <f t="shared" si="40"/>
        <v>17</v>
      </c>
      <c r="R99" s="70">
        <f t="shared" si="40"/>
        <v>30</v>
      </c>
      <c r="S99" s="70">
        <f t="shared" si="40"/>
        <v>45</v>
      </c>
      <c r="T99" s="70">
        <f t="shared" si="40"/>
        <v>40</v>
      </c>
      <c r="U99" s="70">
        <f t="shared" si="40"/>
        <v>180</v>
      </c>
      <c r="V99" s="70">
        <f t="shared" si="40"/>
        <v>0</v>
      </c>
      <c r="W99" s="70">
        <f>SUM(M99:V99)</f>
        <v>317.95</v>
      </c>
      <c r="X99" s="96">
        <f>W99-J99</f>
        <v>278.89999999999998</v>
      </c>
      <c r="Y99" s="94">
        <v>144.4</v>
      </c>
      <c r="Z99" s="94">
        <v>68.3</v>
      </c>
      <c r="AA99" s="97">
        <f>X99+Z99</f>
        <v>347.2</v>
      </c>
      <c r="AB99" s="85">
        <v>50</v>
      </c>
      <c r="AC99" s="96">
        <f>Y99-AB99</f>
        <v>94.4</v>
      </c>
      <c r="AD99" s="96">
        <f>X99-Y99</f>
        <v>134.49999999999997</v>
      </c>
      <c r="AE99" s="85"/>
      <c r="AF99" s="96">
        <f>AD99-AE99</f>
        <v>134.49999999999997</v>
      </c>
      <c r="AG99" s="49"/>
      <c r="AH99" s="98">
        <f>(SUM(Y99:Z99)/(1+10/100))*(10/100)</f>
        <v>19.336363636363636</v>
      </c>
      <c r="AI99" s="49"/>
    </row>
    <row r="101" spans="1:35" ht="51" x14ac:dyDescent="0.2">
      <c r="A101" s="83" t="s">
        <v>135</v>
      </c>
      <c r="B101" s="84">
        <v>45833</v>
      </c>
      <c r="C101" s="85"/>
      <c r="D101" s="85"/>
      <c r="E101" s="85"/>
      <c r="F101" s="85"/>
      <c r="G101" s="85"/>
      <c r="H101" s="85"/>
      <c r="I101" s="85"/>
      <c r="J101" s="85"/>
      <c r="K101" s="86"/>
      <c r="L101" s="83" t="s">
        <v>136</v>
      </c>
      <c r="M101" s="84">
        <v>45833</v>
      </c>
      <c r="N101" s="85"/>
      <c r="O101" s="85"/>
      <c r="P101" s="85"/>
      <c r="Q101" s="85"/>
      <c r="R101" s="85"/>
      <c r="S101" s="85"/>
      <c r="T101" s="85"/>
      <c r="U101" s="85"/>
      <c r="V101" s="85"/>
      <c r="W101" s="87" t="s">
        <v>141</v>
      </c>
      <c r="X101" s="88" t="s">
        <v>192</v>
      </c>
      <c r="Y101" s="89" t="s">
        <v>142</v>
      </c>
      <c r="Z101" s="90" t="s">
        <v>193</v>
      </c>
      <c r="AA101" s="91" t="s">
        <v>194</v>
      </c>
      <c r="AB101" s="88" t="s">
        <v>288</v>
      </c>
      <c r="AC101" s="87" t="s">
        <v>195</v>
      </c>
      <c r="AD101" s="87" t="s">
        <v>196</v>
      </c>
      <c r="AE101" s="88" t="s">
        <v>197</v>
      </c>
      <c r="AF101" s="87" t="s">
        <v>198</v>
      </c>
      <c r="AG101" s="49"/>
      <c r="AH101" s="92"/>
      <c r="AI101" s="49"/>
    </row>
    <row r="102" spans="1:35" ht="12.75" x14ac:dyDescent="0.2">
      <c r="A102" s="87" t="s">
        <v>199</v>
      </c>
      <c r="B102" s="93">
        <v>0.05</v>
      </c>
      <c r="C102" s="93">
        <v>0.1</v>
      </c>
      <c r="D102" s="93">
        <v>0.2</v>
      </c>
      <c r="E102" s="93">
        <v>0.5</v>
      </c>
      <c r="F102" s="93">
        <v>1</v>
      </c>
      <c r="G102" s="93">
        <v>2</v>
      </c>
      <c r="H102" s="93">
        <v>5</v>
      </c>
      <c r="I102" s="93">
        <v>10</v>
      </c>
      <c r="J102" s="49"/>
      <c r="K102" s="86"/>
      <c r="L102" s="87" t="s">
        <v>199</v>
      </c>
      <c r="M102" s="93">
        <v>0.05</v>
      </c>
      <c r="N102" s="93">
        <v>0.1</v>
      </c>
      <c r="O102" s="93">
        <v>0.2</v>
      </c>
      <c r="P102" s="93">
        <v>0.5</v>
      </c>
      <c r="Q102" s="93">
        <v>1</v>
      </c>
      <c r="R102" s="93">
        <v>2</v>
      </c>
      <c r="S102" s="93">
        <v>5</v>
      </c>
      <c r="T102" s="93">
        <v>10</v>
      </c>
      <c r="U102" s="93">
        <v>20</v>
      </c>
      <c r="V102" s="93">
        <v>50</v>
      </c>
      <c r="W102" s="85"/>
      <c r="X102" s="85"/>
      <c r="Y102" s="49"/>
      <c r="Z102" s="94"/>
      <c r="AA102" s="95"/>
      <c r="AB102" s="85"/>
      <c r="AC102" s="85"/>
      <c r="AD102" s="85"/>
      <c r="AE102" s="85"/>
      <c r="AF102" s="85"/>
      <c r="AG102" s="49"/>
      <c r="AH102" s="92"/>
      <c r="AI102" s="49"/>
    </row>
    <row r="103" spans="1:35" ht="12.75" x14ac:dyDescent="0.2">
      <c r="A103" s="87" t="s">
        <v>200</v>
      </c>
      <c r="B103" s="38">
        <v>21</v>
      </c>
      <c r="C103" s="38">
        <v>15</v>
      </c>
      <c r="D103" s="49">
        <v>12</v>
      </c>
      <c r="E103" s="49">
        <v>2</v>
      </c>
      <c r="F103" s="85">
        <v>10</v>
      </c>
      <c r="G103" s="85">
        <v>5</v>
      </c>
      <c r="H103" s="85">
        <v>2</v>
      </c>
      <c r="I103" s="85"/>
      <c r="J103" s="85"/>
      <c r="K103" s="86"/>
      <c r="L103" s="87" t="s">
        <v>200</v>
      </c>
      <c r="M103" s="38">
        <v>23</v>
      </c>
      <c r="N103" s="38">
        <v>9</v>
      </c>
      <c r="O103" s="49">
        <v>10</v>
      </c>
      <c r="P103" s="49">
        <v>1</v>
      </c>
      <c r="Q103" s="85">
        <v>11</v>
      </c>
      <c r="R103" s="85">
        <v>7</v>
      </c>
      <c r="S103" s="85">
        <v>8</v>
      </c>
      <c r="T103" s="85">
        <v>17</v>
      </c>
      <c r="U103" s="85">
        <v>3</v>
      </c>
      <c r="V103" s="85">
        <v>1</v>
      </c>
      <c r="W103" s="85"/>
      <c r="X103" s="85"/>
      <c r="Y103" s="49"/>
      <c r="Z103" s="94"/>
      <c r="AA103" s="95"/>
      <c r="AB103" s="85"/>
      <c r="AC103" s="85"/>
      <c r="AD103" s="85"/>
      <c r="AE103" s="85"/>
      <c r="AF103" s="85"/>
      <c r="AG103" s="49"/>
      <c r="AH103" s="92"/>
      <c r="AI103" s="49"/>
    </row>
    <row r="104" spans="1:35" ht="12.75" x14ac:dyDescent="0.2">
      <c r="A104" s="87" t="s">
        <v>141</v>
      </c>
      <c r="B104" s="70">
        <f t="shared" ref="B104:I104" si="41">B103*B102</f>
        <v>1.05</v>
      </c>
      <c r="C104" s="70">
        <f t="shared" si="41"/>
        <v>1.5</v>
      </c>
      <c r="D104" s="70">
        <f t="shared" si="41"/>
        <v>2.4000000000000004</v>
      </c>
      <c r="E104" s="70">
        <f t="shared" si="41"/>
        <v>1</v>
      </c>
      <c r="F104" s="70">
        <f t="shared" si="41"/>
        <v>10</v>
      </c>
      <c r="G104" s="70">
        <f t="shared" si="41"/>
        <v>10</v>
      </c>
      <c r="H104" s="70">
        <f t="shared" si="41"/>
        <v>10</v>
      </c>
      <c r="I104" s="70">
        <f t="shared" si="41"/>
        <v>0</v>
      </c>
      <c r="J104" s="70">
        <f>SUM(B104:I104)</f>
        <v>35.950000000000003</v>
      </c>
      <c r="K104" s="86"/>
      <c r="L104" s="87" t="s">
        <v>141</v>
      </c>
      <c r="M104" s="70">
        <f t="shared" ref="M104:T104" si="42">M103*M102</f>
        <v>1.1500000000000001</v>
      </c>
      <c r="N104" s="70">
        <f t="shared" si="42"/>
        <v>0.9</v>
      </c>
      <c r="O104" s="70">
        <f t="shared" si="42"/>
        <v>2</v>
      </c>
      <c r="P104" s="70">
        <f t="shared" si="42"/>
        <v>0.5</v>
      </c>
      <c r="Q104" s="70">
        <f t="shared" si="42"/>
        <v>11</v>
      </c>
      <c r="R104" s="70">
        <f t="shared" si="42"/>
        <v>14</v>
      </c>
      <c r="S104" s="70">
        <f t="shared" si="42"/>
        <v>40</v>
      </c>
      <c r="T104" s="70">
        <f t="shared" si="42"/>
        <v>170</v>
      </c>
      <c r="U104" s="70">
        <v>60</v>
      </c>
      <c r="V104" s="70">
        <f>V103*V102</f>
        <v>50</v>
      </c>
      <c r="W104" s="70">
        <f>SUM(M104:V104)</f>
        <v>349.55</v>
      </c>
      <c r="X104" s="96">
        <f>W104-J104</f>
        <v>313.60000000000002</v>
      </c>
      <c r="Y104" s="94">
        <v>138</v>
      </c>
      <c r="Z104" s="94">
        <v>55.6</v>
      </c>
      <c r="AA104" s="97">
        <f>X104+Z104</f>
        <v>369.20000000000005</v>
      </c>
      <c r="AB104" s="85">
        <v>100</v>
      </c>
      <c r="AC104" s="96">
        <f>Y104-AB104</f>
        <v>38</v>
      </c>
      <c r="AD104" s="96">
        <f>X104-Y104</f>
        <v>175.60000000000002</v>
      </c>
      <c r="AE104" s="85">
        <v>10</v>
      </c>
      <c r="AF104" s="96">
        <f>AD104-AE104</f>
        <v>165.60000000000002</v>
      </c>
      <c r="AG104" s="49"/>
      <c r="AH104" s="98">
        <f>(SUM(Y104:Z104)/(1+10/100))*(10/100)</f>
        <v>17.599999999999998</v>
      </c>
      <c r="AI104" s="49"/>
    </row>
    <row r="106" spans="1:35" ht="51" x14ac:dyDescent="0.2">
      <c r="A106" s="83" t="s">
        <v>135</v>
      </c>
      <c r="B106" s="84">
        <v>45834</v>
      </c>
      <c r="C106" s="85"/>
      <c r="D106" s="85"/>
      <c r="E106" s="85"/>
      <c r="F106" s="85"/>
      <c r="G106" s="85"/>
      <c r="H106" s="85"/>
      <c r="I106" s="85"/>
      <c r="J106" s="85"/>
      <c r="K106" s="86"/>
      <c r="L106" s="83" t="s">
        <v>136</v>
      </c>
      <c r="M106" s="84">
        <v>45834</v>
      </c>
      <c r="N106" s="85"/>
      <c r="O106" s="85"/>
      <c r="P106" s="85"/>
      <c r="Q106" s="85"/>
      <c r="R106" s="85"/>
      <c r="S106" s="85"/>
      <c r="T106" s="85"/>
      <c r="U106" s="85"/>
      <c r="V106" s="85"/>
      <c r="W106" s="87" t="s">
        <v>141</v>
      </c>
      <c r="X106" s="88" t="s">
        <v>192</v>
      </c>
      <c r="Y106" s="89" t="s">
        <v>142</v>
      </c>
      <c r="Z106" s="90" t="s">
        <v>193</v>
      </c>
      <c r="AA106" s="91" t="s">
        <v>194</v>
      </c>
      <c r="AB106" s="88" t="s">
        <v>288</v>
      </c>
      <c r="AC106" s="87" t="s">
        <v>195</v>
      </c>
      <c r="AD106" s="87" t="s">
        <v>196</v>
      </c>
      <c r="AE106" s="88" t="s">
        <v>197</v>
      </c>
      <c r="AF106" s="87" t="s">
        <v>198</v>
      </c>
      <c r="AG106" s="49"/>
      <c r="AH106" s="92"/>
      <c r="AI106" s="49"/>
    </row>
    <row r="107" spans="1:35" ht="12.75" x14ac:dyDescent="0.2">
      <c r="A107" s="87" t="s">
        <v>199</v>
      </c>
      <c r="B107" s="93">
        <v>0.05</v>
      </c>
      <c r="C107" s="93">
        <v>0.1</v>
      </c>
      <c r="D107" s="93">
        <v>0.2</v>
      </c>
      <c r="E107" s="93">
        <v>0.5</v>
      </c>
      <c r="F107" s="93">
        <v>1</v>
      </c>
      <c r="G107" s="93">
        <v>2</v>
      </c>
      <c r="H107" s="93">
        <v>5</v>
      </c>
      <c r="I107" s="93">
        <v>10</v>
      </c>
      <c r="J107" s="49"/>
      <c r="K107" s="86"/>
      <c r="L107" s="87" t="s">
        <v>199</v>
      </c>
      <c r="M107" s="93">
        <v>0.05</v>
      </c>
      <c r="N107" s="93">
        <v>0.1</v>
      </c>
      <c r="O107" s="93">
        <v>0.2</v>
      </c>
      <c r="P107" s="93">
        <v>0.5</v>
      </c>
      <c r="Q107" s="93">
        <v>1</v>
      </c>
      <c r="R107" s="93">
        <v>2</v>
      </c>
      <c r="S107" s="93">
        <v>5</v>
      </c>
      <c r="T107" s="93">
        <v>10</v>
      </c>
      <c r="U107" s="93">
        <v>20</v>
      </c>
      <c r="V107" s="93">
        <v>50</v>
      </c>
      <c r="W107" s="85"/>
      <c r="X107" s="85"/>
      <c r="Y107" s="49"/>
      <c r="Z107" s="94"/>
      <c r="AA107" s="95"/>
      <c r="AB107" s="85"/>
      <c r="AC107" s="85"/>
      <c r="AD107" s="85"/>
      <c r="AE107" s="85"/>
      <c r="AF107" s="85"/>
      <c r="AG107" s="49"/>
      <c r="AH107" s="92"/>
      <c r="AI107" s="49"/>
    </row>
    <row r="108" spans="1:35" ht="12.75" x14ac:dyDescent="0.2">
      <c r="A108" s="87" t="s">
        <v>200</v>
      </c>
      <c r="B108" s="38">
        <v>23</v>
      </c>
      <c r="C108" s="38">
        <v>9</v>
      </c>
      <c r="D108" s="49">
        <v>10</v>
      </c>
      <c r="E108" s="49">
        <v>1</v>
      </c>
      <c r="F108" s="85">
        <v>11</v>
      </c>
      <c r="G108" s="85">
        <v>7</v>
      </c>
      <c r="H108" s="85">
        <v>2</v>
      </c>
      <c r="I108" s="85"/>
      <c r="J108" s="85"/>
      <c r="K108" s="86"/>
      <c r="L108" s="87" t="s">
        <v>200</v>
      </c>
      <c r="M108" s="38">
        <v>25</v>
      </c>
      <c r="N108" s="38">
        <v>11</v>
      </c>
      <c r="O108" s="49">
        <v>10</v>
      </c>
      <c r="P108" s="49">
        <v>1</v>
      </c>
      <c r="Q108" s="85">
        <v>12</v>
      </c>
      <c r="R108" s="85">
        <v>9</v>
      </c>
      <c r="S108" s="85">
        <v>4</v>
      </c>
      <c r="T108" s="85">
        <v>11</v>
      </c>
      <c r="U108" s="85">
        <v>2</v>
      </c>
      <c r="V108" s="85">
        <v>1</v>
      </c>
      <c r="W108" s="85"/>
      <c r="X108" s="85"/>
      <c r="Y108" s="49"/>
      <c r="Z108" s="94"/>
      <c r="AA108" s="95"/>
      <c r="AB108" s="85"/>
      <c r="AC108" s="85"/>
      <c r="AD108" s="85"/>
      <c r="AE108" s="85"/>
      <c r="AF108" s="85"/>
      <c r="AG108" s="49"/>
      <c r="AH108" s="92"/>
      <c r="AI108" s="49"/>
    </row>
    <row r="109" spans="1:35" ht="12.75" x14ac:dyDescent="0.2">
      <c r="A109" s="87" t="s">
        <v>141</v>
      </c>
      <c r="B109" s="70">
        <f t="shared" ref="B109:I109" si="43">B108*B107</f>
        <v>1.1500000000000001</v>
      </c>
      <c r="C109" s="70">
        <f t="shared" si="43"/>
        <v>0.9</v>
      </c>
      <c r="D109" s="70">
        <f t="shared" si="43"/>
        <v>2</v>
      </c>
      <c r="E109" s="70">
        <f t="shared" si="43"/>
        <v>0.5</v>
      </c>
      <c r="F109" s="70">
        <f t="shared" si="43"/>
        <v>11</v>
      </c>
      <c r="G109" s="70">
        <f t="shared" si="43"/>
        <v>14</v>
      </c>
      <c r="H109" s="70">
        <f t="shared" si="43"/>
        <v>10</v>
      </c>
      <c r="I109" s="70">
        <f t="shared" si="43"/>
        <v>0</v>
      </c>
      <c r="J109" s="70">
        <f>SUM(B109:I109)</f>
        <v>39.549999999999997</v>
      </c>
      <c r="K109" s="86"/>
      <c r="L109" s="87" t="s">
        <v>141</v>
      </c>
      <c r="M109" s="70">
        <f t="shared" ref="M109:V109" si="44">M108*M107</f>
        <v>1.25</v>
      </c>
      <c r="N109" s="70">
        <f t="shared" si="44"/>
        <v>1.1000000000000001</v>
      </c>
      <c r="O109" s="70">
        <f t="shared" si="44"/>
        <v>2</v>
      </c>
      <c r="P109" s="70">
        <f t="shared" si="44"/>
        <v>0.5</v>
      </c>
      <c r="Q109" s="70">
        <f t="shared" si="44"/>
        <v>12</v>
      </c>
      <c r="R109" s="70">
        <f t="shared" si="44"/>
        <v>18</v>
      </c>
      <c r="S109" s="70">
        <f t="shared" si="44"/>
        <v>20</v>
      </c>
      <c r="T109" s="70">
        <f t="shared" si="44"/>
        <v>110</v>
      </c>
      <c r="U109" s="70">
        <f t="shared" si="44"/>
        <v>40</v>
      </c>
      <c r="V109" s="70">
        <f t="shared" si="44"/>
        <v>50</v>
      </c>
      <c r="W109" s="70">
        <f>SUM(M109:V109)</f>
        <v>254.85</v>
      </c>
      <c r="X109" s="96">
        <f>W109-J109</f>
        <v>215.3</v>
      </c>
      <c r="Y109" s="94">
        <v>97.6</v>
      </c>
      <c r="Z109" s="94">
        <v>24.1</v>
      </c>
      <c r="AA109" s="97">
        <f>X109+Z109</f>
        <v>239.4</v>
      </c>
      <c r="AB109" s="85">
        <v>50</v>
      </c>
      <c r="AC109" s="96">
        <f>Y109-AB109</f>
        <v>47.599999999999994</v>
      </c>
      <c r="AD109" s="96">
        <f>X109-Y109</f>
        <v>117.70000000000002</v>
      </c>
      <c r="AE109" s="85">
        <v>20</v>
      </c>
      <c r="AF109" s="96">
        <f>AD109-AE109</f>
        <v>97.700000000000017</v>
      </c>
      <c r="AG109" s="49"/>
      <c r="AH109" s="98">
        <f>(SUM(Y109:Z109)/(1+10/100))*(10/100)</f>
        <v>11.063636363636363</v>
      </c>
      <c r="AI109" s="49"/>
    </row>
    <row r="111" spans="1:35" ht="51" x14ac:dyDescent="0.2">
      <c r="A111" s="83" t="s">
        <v>135</v>
      </c>
      <c r="B111" s="84">
        <v>45835</v>
      </c>
      <c r="C111" s="85"/>
      <c r="D111" s="85"/>
      <c r="E111" s="85"/>
      <c r="F111" s="85"/>
      <c r="G111" s="85"/>
      <c r="H111" s="85"/>
      <c r="I111" s="85"/>
      <c r="J111" s="85"/>
      <c r="K111" s="86"/>
      <c r="L111" s="83" t="s">
        <v>136</v>
      </c>
      <c r="M111" s="84">
        <v>45835</v>
      </c>
      <c r="N111" s="85"/>
      <c r="O111" s="85"/>
      <c r="P111" s="85"/>
      <c r="Q111" s="85"/>
      <c r="R111" s="85"/>
      <c r="S111" s="85"/>
      <c r="T111" s="85"/>
      <c r="U111" s="85"/>
      <c r="V111" s="85"/>
      <c r="W111" s="87" t="s">
        <v>141</v>
      </c>
      <c r="X111" s="88" t="s">
        <v>192</v>
      </c>
      <c r="Y111" s="89" t="s">
        <v>142</v>
      </c>
      <c r="Z111" s="90" t="s">
        <v>193</v>
      </c>
      <c r="AA111" s="91" t="s">
        <v>194</v>
      </c>
      <c r="AB111" s="88" t="s">
        <v>288</v>
      </c>
      <c r="AC111" s="87" t="s">
        <v>195</v>
      </c>
      <c r="AD111" s="87" t="s">
        <v>196</v>
      </c>
      <c r="AE111" s="88" t="s">
        <v>197</v>
      </c>
      <c r="AF111" s="87" t="s">
        <v>198</v>
      </c>
      <c r="AG111" s="49"/>
      <c r="AH111" s="92"/>
      <c r="AI111" s="49"/>
    </row>
    <row r="112" spans="1:35" ht="12.75" x14ac:dyDescent="0.2">
      <c r="A112" s="87" t="s">
        <v>199</v>
      </c>
      <c r="B112" s="93">
        <v>0.05</v>
      </c>
      <c r="C112" s="93">
        <v>0.1</v>
      </c>
      <c r="D112" s="93">
        <v>0.2</v>
      </c>
      <c r="E112" s="93">
        <v>0.5</v>
      </c>
      <c r="F112" s="93">
        <v>1</v>
      </c>
      <c r="G112" s="93">
        <v>2</v>
      </c>
      <c r="H112" s="93">
        <v>5</v>
      </c>
      <c r="I112" s="93">
        <v>10</v>
      </c>
      <c r="J112" s="49"/>
      <c r="K112" s="86"/>
      <c r="L112" s="87" t="s">
        <v>199</v>
      </c>
      <c r="M112" s="93">
        <v>0.05</v>
      </c>
      <c r="N112" s="93">
        <v>0.1</v>
      </c>
      <c r="O112" s="93">
        <v>0.2</v>
      </c>
      <c r="P112" s="93">
        <v>0.5</v>
      </c>
      <c r="Q112" s="93">
        <v>1</v>
      </c>
      <c r="R112" s="93">
        <v>2</v>
      </c>
      <c r="S112" s="93">
        <v>5</v>
      </c>
      <c r="T112" s="93">
        <v>10</v>
      </c>
      <c r="U112" s="93">
        <v>20</v>
      </c>
      <c r="V112" s="93">
        <v>50</v>
      </c>
      <c r="W112" s="85"/>
      <c r="X112" s="85"/>
      <c r="Y112" s="49"/>
      <c r="Z112" s="94"/>
      <c r="AA112" s="95"/>
      <c r="AB112" s="85"/>
      <c r="AC112" s="85"/>
      <c r="AD112" s="85"/>
      <c r="AE112" s="85"/>
      <c r="AF112" s="85"/>
      <c r="AG112" s="49"/>
      <c r="AH112" s="92"/>
      <c r="AI112" s="49"/>
    </row>
    <row r="113" spans="1:35" ht="12.75" x14ac:dyDescent="0.2">
      <c r="A113" s="87" t="s">
        <v>200</v>
      </c>
      <c r="B113" s="38">
        <v>25</v>
      </c>
      <c r="C113" s="38">
        <v>11</v>
      </c>
      <c r="D113" s="49">
        <v>10</v>
      </c>
      <c r="E113" s="49">
        <v>1</v>
      </c>
      <c r="F113" s="85">
        <v>10</v>
      </c>
      <c r="G113" s="85">
        <v>5</v>
      </c>
      <c r="H113" s="85">
        <v>2</v>
      </c>
      <c r="I113" s="85"/>
      <c r="J113" s="85"/>
      <c r="K113" s="86"/>
      <c r="L113" s="87" t="s">
        <v>200</v>
      </c>
      <c r="M113" s="38">
        <v>25</v>
      </c>
      <c r="N113" s="38">
        <v>20</v>
      </c>
      <c r="O113" s="49">
        <v>7</v>
      </c>
      <c r="P113" s="49">
        <v>1</v>
      </c>
      <c r="Q113" s="85">
        <v>19</v>
      </c>
      <c r="R113" s="85">
        <v>6</v>
      </c>
      <c r="S113" s="85">
        <v>3</v>
      </c>
      <c r="T113" s="85">
        <v>6</v>
      </c>
      <c r="U113" s="85">
        <v>6</v>
      </c>
      <c r="V113" s="85">
        <v>2</v>
      </c>
      <c r="W113" s="85"/>
      <c r="X113" s="85"/>
      <c r="Y113" s="49"/>
      <c r="Z113" s="94"/>
      <c r="AA113" s="95"/>
      <c r="AB113" s="85"/>
      <c r="AC113" s="85"/>
      <c r="AD113" s="85"/>
      <c r="AE113" s="85"/>
      <c r="AF113" s="85"/>
      <c r="AG113" s="49"/>
      <c r="AH113" s="92"/>
      <c r="AI113" s="49"/>
    </row>
    <row r="114" spans="1:35" ht="12.75" x14ac:dyDescent="0.2">
      <c r="A114" s="87" t="s">
        <v>141</v>
      </c>
      <c r="B114" s="70">
        <f t="shared" ref="B114:I114" si="45">B113*B112</f>
        <v>1.25</v>
      </c>
      <c r="C114" s="70">
        <f t="shared" si="45"/>
        <v>1.1000000000000001</v>
      </c>
      <c r="D114" s="70">
        <f t="shared" si="45"/>
        <v>2</v>
      </c>
      <c r="E114" s="70">
        <f t="shared" si="45"/>
        <v>0.5</v>
      </c>
      <c r="F114" s="70">
        <f t="shared" si="45"/>
        <v>10</v>
      </c>
      <c r="G114" s="70">
        <f t="shared" si="45"/>
        <v>10</v>
      </c>
      <c r="H114" s="70">
        <f t="shared" si="45"/>
        <v>10</v>
      </c>
      <c r="I114" s="70">
        <f t="shared" si="45"/>
        <v>0</v>
      </c>
      <c r="J114" s="70">
        <f>SUM(B114:I114)</f>
        <v>34.85</v>
      </c>
      <c r="K114" s="86"/>
      <c r="L114" s="87" t="s">
        <v>141</v>
      </c>
      <c r="M114" s="70">
        <f t="shared" ref="M114:V114" si="46">M113*M112</f>
        <v>1.25</v>
      </c>
      <c r="N114" s="70">
        <f t="shared" si="46"/>
        <v>2</v>
      </c>
      <c r="O114" s="70">
        <f t="shared" si="46"/>
        <v>1.4000000000000001</v>
      </c>
      <c r="P114" s="70">
        <f t="shared" si="46"/>
        <v>0.5</v>
      </c>
      <c r="Q114" s="70">
        <f t="shared" si="46"/>
        <v>19</v>
      </c>
      <c r="R114" s="70">
        <f t="shared" si="46"/>
        <v>12</v>
      </c>
      <c r="S114" s="70">
        <f t="shared" si="46"/>
        <v>15</v>
      </c>
      <c r="T114" s="70">
        <f t="shared" si="46"/>
        <v>60</v>
      </c>
      <c r="U114" s="70">
        <f t="shared" si="46"/>
        <v>120</v>
      </c>
      <c r="V114" s="70">
        <f t="shared" si="46"/>
        <v>100</v>
      </c>
      <c r="W114" s="70">
        <f>SUM(M114:V114)</f>
        <v>331.15</v>
      </c>
      <c r="X114" s="96">
        <f>W114-J114</f>
        <v>296.29999999999995</v>
      </c>
      <c r="Y114" s="94">
        <v>152.1</v>
      </c>
      <c r="Z114" s="94">
        <f>74.1+35.1</f>
        <v>109.19999999999999</v>
      </c>
      <c r="AA114" s="97">
        <f>X114+Z114</f>
        <v>405.49999999999994</v>
      </c>
      <c r="AB114" s="85">
        <v>81</v>
      </c>
      <c r="AC114" s="96">
        <f>Y114-AB114</f>
        <v>71.099999999999994</v>
      </c>
      <c r="AD114" s="96">
        <f>X114-Y114</f>
        <v>144.19999999999996</v>
      </c>
      <c r="AE114" s="85">
        <v>10</v>
      </c>
      <c r="AF114" s="96">
        <f>AD114-AE114</f>
        <v>134.19999999999996</v>
      </c>
      <c r="AG114" s="49"/>
      <c r="AH114" s="98">
        <f>(SUM(Y114:Z114)/(1+10/100))*(10/100)</f>
        <v>23.75454545454545</v>
      </c>
      <c r="AI114" s="49"/>
    </row>
    <row r="116" spans="1:35" ht="51" x14ac:dyDescent="0.2">
      <c r="A116" s="83" t="s">
        <v>135</v>
      </c>
      <c r="B116" s="84">
        <v>45836</v>
      </c>
      <c r="C116" s="85"/>
      <c r="D116" s="85"/>
      <c r="E116" s="85"/>
      <c r="F116" s="85"/>
      <c r="G116" s="85"/>
      <c r="H116" s="85"/>
      <c r="I116" s="85"/>
      <c r="J116" s="85"/>
      <c r="K116" s="86"/>
      <c r="L116" s="83" t="s">
        <v>136</v>
      </c>
      <c r="M116" s="84">
        <v>45836</v>
      </c>
      <c r="N116" s="85"/>
      <c r="O116" s="85"/>
      <c r="P116" s="85"/>
      <c r="Q116" s="85"/>
      <c r="R116" s="85"/>
      <c r="S116" s="85"/>
      <c r="T116" s="85"/>
      <c r="U116" s="85"/>
      <c r="V116" s="85"/>
      <c r="W116" s="87" t="s">
        <v>141</v>
      </c>
      <c r="X116" s="88" t="s">
        <v>192</v>
      </c>
      <c r="Y116" s="89" t="s">
        <v>142</v>
      </c>
      <c r="Z116" s="90" t="s">
        <v>193</v>
      </c>
      <c r="AA116" s="91" t="s">
        <v>194</v>
      </c>
      <c r="AB116" s="88" t="s">
        <v>288</v>
      </c>
      <c r="AC116" s="87" t="s">
        <v>195</v>
      </c>
      <c r="AD116" s="87" t="s">
        <v>196</v>
      </c>
      <c r="AE116" s="88" t="s">
        <v>197</v>
      </c>
      <c r="AF116" s="87" t="s">
        <v>198</v>
      </c>
      <c r="AG116" s="49"/>
      <c r="AH116" s="92"/>
      <c r="AI116" s="49"/>
    </row>
    <row r="117" spans="1:35" ht="12.75" x14ac:dyDescent="0.2">
      <c r="A117" s="87" t="s">
        <v>199</v>
      </c>
      <c r="B117" s="93">
        <v>0.05</v>
      </c>
      <c r="C117" s="93">
        <v>0.1</v>
      </c>
      <c r="D117" s="93">
        <v>0.2</v>
      </c>
      <c r="E117" s="93">
        <v>0.5</v>
      </c>
      <c r="F117" s="93">
        <v>1</v>
      </c>
      <c r="G117" s="93">
        <v>2</v>
      </c>
      <c r="H117" s="93">
        <v>5</v>
      </c>
      <c r="I117" s="93">
        <v>10</v>
      </c>
      <c r="J117" s="49"/>
      <c r="K117" s="86"/>
      <c r="L117" s="87" t="s">
        <v>199</v>
      </c>
      <c r="M117" s="93">
        <v>0.05</v>
      </c>
      <c r="N117" s="93">
        <v>0.1</v>
      </c>
      <c r="O117" s="93">
        <v>0.2</v>
      </c>
      <c r="P117" s="93">
        <v>0.5</v>
      </c>
      <c r="Q117" s="93">
        <v>1</v>
      </c>
      <c r="R117" s="93">
        <v>2</v>
      </c>
      <c r="S117" s="93">
        <v>5</v>
      </c>
      <c r="T117" s="93">
        <v>10</v>
      </c>
      <c r="U117" s="93">
        <v>20</v>
      </c>
      <c r="V117" s="93">
        <v>50</v>
      </c>
      <c r="W117" s="85"/>
      <c r="X117" s="85"/>
      <c r="Y117" s="49"/>
      <c r="Z117" s="94"/>
      <c r="AA117" s="95"/>
      <c r="AB117" s="85"/>
      <c r="AC117" s="85"/>
      <c r="AD117" s="85"/>
      <c r="AE117" s="85"/>
      <c r="AF117" s="85"/>
      <c r="AG117" s="49"/>
      <c r="AH117" s="92"/>
      <c r="AI117" s="49"/>
    </row>
    <row r="118" spans="1:35" ht="12.75" x14ac:dyDescent="0.2">
      <c r="A118" s="87" t="s">
        <v>200</v>
      </c>
      <c r="B118" s="38">
        <v>25</v>
      </c>
      <c r="C118" s="38">
        <v>20</v>
      </c>
      <c r="D118" s="49">
        <v>7</v>
      </c>
      <c r="E118" s="49">
        <v>1</v>
      </c>
      <c r="F118" s="85">
        <v>10</v>
      </c>
      <c r="G118" s="85">
        <v>6</v>
      </c>
      <c r="H118" s="85">
        <v>2</v>
      </c>
      <c r="I118" s="85"/>
      <c r="J118" s="85"/>
      <c r="K118" s="86"/>
      <c r="L118" s="87" t="s">
        <v>200</v>
      </c>
      <c r="M118" s="38">
        <v>25</v>
      </c>
      <c r="N118" s="38">
        <v>17</v>
      </c>
      <c r="O118" s="49">
        <v>8</v>
      </c>
      <c r="P118" s="49">
        <v>4</v>
      </c>
      <c r="Q118" s="85">
        <v>21</v>
      </c>
      <c r="R118" s="85">
        <v>14</v>
      </c>
      <c r="S118" s="85">
        <v>2</v>
      </c>
      <c r="T118" s="85">
        <v>5</v>
      </c>
      <c r="U118" s="85">
        <v>5</v>
      </c>
      <c r="V118" s="85">
        <v>0</v>
      </c>
      <c r="W118" s="85"/>
      <c r="X118" s="85"/>
      <c r="Y118" s="49"/>
      <c r="Z118" s="94"/>
      <c r="AA118" s="95"/>
      <c r="AB118" s="85"/>
      <c r="AC118" s="85"/>
      <c r="AD118" s="85"/>
      <c r="AE118" s="85"/>
      <c r="AF118" s="85"/>
      <c r="AG118" s="49"/>
      <c r="AH118" s="92"/>
      <c r="AI118" s="49"/>
    </row>
    <row r="119" spans="1:35" ht="12.75" x14ac:dyDescent="0.2">
      <c r="A119" s="87" t="s">
        <v>141</v>
      </c>
      <c r="B119" s="70">
        <f t="shared" ref="B119:I119" si="47">B118*B117</f>
        <v>1.25</v>
      </c>
      <c r="C119" s="70">
        <f t="shared" si="47"/>
        <v>2</v>
      </c>
      <c r="D119" s="70">
        <f t="shared" si="47"/>
        <v>1.4000000000000001</v>
      </c>
      <c r="E119" s="70">
        <f t="shared" si="47"/>
        <v>0.5</v>
      </c>
      <c r="F119" s="70">
        <f t="shared" si="47"/>
        <v>10</v>
      </c>
      <c r="G119" s="70">
        <f t="shared" si="47"/>
        <v>12</v>
      </c>
      <c r="H119" s="70">
        <f t="shared" si="47"/>
        <v>10</v>
      </c>
      <c r="I119" s="70">
        <f t="shared" si="47"/>
        <v>0</v>
      </c>
      <c r="J119" s="70">
        <f>SUM(B119:I119)</f>
        <v>37.15</v>
      </c>
      <c r="K119" s="86"/>
      <c r="L119" s="87" t="s">
        <v>141</v>
      </c>
      <c r="M119" s="70">
        <f t="shared" ref="M119:R119" si="48">M118*M117</f>
        <v>1.25</v>
      </c>
      <c r="N119" s="70">
        <f t="shared" si="48"/>
        <v>1.7000000000000002</v>
      </c>
      <c r="O119" s="70">
        <f t="shared" si="48"/>
        <v>1.6</v>
      </c>
      <c r="P119" s="70">
        <f t="shared" si="48"/>
        <v>2</v>
      </c>
      <c r="Q119" s="70">
        <f t="shared" si="48"/>
        <v>21</v>
      </c>
      <c r="R119" s="70">
        <f t="shared" si="48"/>
        <v>28</v>
      </c>
      <c r="S119" s="70">
        <v>10</v>
      </c>
      <c r="T119" s="70">
        <f t="shared" ref="T119:V119" si="49">T118*T117</f>
        <v>50</v>
      </c>
      <c r="U119" s="70">
        <f t="shared" si="49"/>
        <v>100</v>
      </c>
      <c r="V119" s="70">
        <f t="shared" si="49"/>
        <v>0</v>
      </c>
      <c r="W119" s="70">
        <f>SUM(M119:V119)</f>
        <v>215.55</v>
      </c>
      <c r="X119" s="96">
        <f>W119-J119</f>
        <v>178.4</v>
      </c>
      <c r="Y119" s="94">
        <v>85.2</v>
      </c>
      <c r="Z119" s="94">
        <v>59.1</v>
      </c>
      <c r="AA119" s="97">
        <f>X119+Z119</f>
        <v>237.5</v>
      </c>
      <c r="AB119" s="85">
        <v>85.2</v>
      </c>
      <c r="AC119" s="96">
        <f>Y119-AB119</f>
        <v>0</v>
      </c>
      <c r="AD119" s="96">
        <f>X119-Y119</f>
        <v>93.2</v>
      </c>
      <c r="AE119" s="85">
        <v>30</v>
      </c>
      <c r="AF119" s="96">
        <f>AD119-AE119</f>
        <v>63.2</v>
      </c>
      <c r="AG119" s="49"/>
      <c r="AH119" s="98">
        <f>(SUM(Y119:Z119)/(1+10/100))*(10/100)</f>
        <v>13.118181818181819</v>
      </c>
      <c r="AI119" s="49"/>
    </row>
    <row r="121" spans="1:35" ht="51" x14ac:dyDescent="0.2">
      <c r="A121" s="83" t="s">
        <v>135</v>
      </c>
      <c r="B121" s="84">
        <v>45838</v>
      </c>
      <c r="C121" s="85"/>
      <c r="D121" s="85"/>
      <c r="E121" s="85"/>
      <c r="F121" s="85"/>
      <c r="G121" s="85"/>
      <c r="H121" s="85"/>
      <c r="I121" s="85"/>
      <c r="J121" s="85"/>
      <c r="K121" s="86"/>
      <c r="L121" s="83" t="s">
        <v>136</v>
      </c>
      <c r="M121" s="84">
        <v>45838</v>
      </c>
      <c r="N121" s="85"/>
      <c r="O121" s="85"/>
      <c r="P121" s="85"/>
      <c r="Q121" s="85"/>
      <c r="R121" s="85"/>
      <c r="S121" s="85"/>
      <c r="T121" s="85"/>
      <c r="U121" s="85"/>
      <c r="V121" s="85"/>
      <c r="W121" s="87" t="s">
        <v>141</v>
      </c>
      <c r="X121" s="88" t="s">
        <v>192</v>
      </c>
      <c r="Y121" s="89" t="s">
        <v>142</v>
      </c>
      <c r="Z121" s="90" t="s">
        <v>193</v>
      </c>
      <c r="AA121" s="91" t="s">
        <v>194</v>
      </c>
      <c r="AB121" s="88" t="s">
        <v>288</v>
      </c>
      <c r="AC121" s="87" t="s">
        <v>195</v>
      </c>
      <c r="AD121" s="87" t="s">
        <v>196</v>
      </c>
      <c r="AE121" s="88" t="s">
        <v>197</v>
      </c>
      <c r="AF121" s="87" t="s">
        <v>198</v>
      </c>
      <c r="AG121" s="49"/>
      <c r="AH121" s="92"/>
      <c r="AI121" s="49"/>
    </row>
    <row r="122" spans="1:35" ht="12.75" x14ac:dyDescent="0.2">
      <c r="A122" s="87" t="s">
        <v>199</v>
      </c>
      <c r="B122" s="93">
        <v>0.05</v>
      </c>
      <c r="C122" s="93">
        <v>0.1</v>
      </c>
      <c r="D122" s="93">
        <v>0.2</v>
      </c>
      <c r="E122" s="93">
        <v>0.5</v>
      </c>
      <c r="F122" s="93">
        <v>1</v>
      </c>
      <c r="G122" s="93">
        <v>2</v>
      </c>
      <c r="H122" s="93">
        <v>5</v>
      </c>
      <c r="I122" s="93">
        <v>10</v>
      </c>
      <c r="J122" s="49"/>
      <c r="K122" s="86"/>
      <c r="L122" s="87" t="s">
        <v>199</v>
      </c>
      <c r="M122" s="93">
        <v>0.05</v>
      </c>
      <c r="N122" s="93">
        <v>0.1</v>
      </c>
      <c r="O122" s="93">
        <v>0.2</v>
      </c>
      <c r="P122" s="93">
        <v>0.5</v>
      </c>
      <c r="Q122" s="93">
        <v>1</v>
      </c>
      <c r="R122" s="93">
        <v>2</v>
      </c>
      <c r="S122" s="93">
        <v>5</v>
      </c>
      <c r="T122" s="93">
        <v>10</v>
      </c>
      <c r="U122" s="93">
        <v>20</v>
      </c>
      <c r="V122" s="93">
        <v>50</v>
      </c>
      <c r="W122" s="85"/>
      <c r="X122" s="85"/>
      <c r="Y122" s="49"/>
      <c r="Z122" s="94"/>
      <c r="AA122" s="95"/>
      <c r="AB122" s="85"/>
      <c r="AC122" s="85"/>
      <c r="AD122" s="85"/>
      <c r="AE122" s="85"/>
      <c r="AF122" s="85"/>
      <c r="AG122" s="49"/>
      <c r="AH122" s="92"/>
      <c r="AI122" s="49"/>
    </row>
    <row r="123" spans="1:35" ht="12.75" x14ac:dyDescent="0.2">
      <c r="A123" s="87" t="s">
        <v>200</v>
      </c>
      <c r="B123" s="38">
        <v>25</v>
      </c>
      <c r="C123" s="38">
        <v>17</v>
      </c>
      <c r="D123" s="49">
        <v>8</v>
      </c>
      <c r="E123" s="49">
        <v>4</v>
      </c>
      <c r="F123" s="85">
        <v>10</v>
      </c>
      <c r="G123" s="85">
        <v>5</v>
      </c>
      <c r="H123" s="85">
        <v>2</v>
      </c>
      <c r="I123" s="85"/>
      <c r="J123" s="85"/>
      <c r="K123" s="86"/>
      <c r="L123" s="87" t="s">
        <v>200</v>
      </c>
      <c r="M123" s="38">
        <v>27</v>
      </c>
      <c r="N123" s="38">
        <v>21</v>
      </c>
      <c r="O123" s="49">
        <v>8</v>
      </c>
      <c r="P123" s="49">
        <v>3</v>
      </c>
      <c r="Q123" s="85">
        <v>10</v>
      </c>
      <c r="R123" s="85">
        <v>16</v>
      </c>
      <c r="S123" s="85">
        <v>3</v>
      </c>
      <c r="T123" s="85">
        <v>7</v>
      </c>
      <c r="U123" s="85">
        <v>2</v>
      </c>
      <c r="V123" s="85">
        <v>1</v>
      </c>
      <c r="W123" s="85"/>
      <c r="X123" s="85"/>
      <c r="Y123" s="49"/>
      <c r="Z123" s="94"/>
      <c r="AA123" s="95"/>
      <c r="AB123" s="85"/>
      <c r="AC123" s="85"/>
      <c r="AD123" s="85"/>
      <c r="AE123" s="85"/>
      <c r="AF123" s="85"/>
      <c r="AG123" s="49"/>
      <c r="AH123" s="92"/>
      <c r="AI123" s="49"/>
    </row>
    <row r="124" spans="1:35" ht="12.75" x14ac:dyDescent="0.2">
      <c r="A124" s="87" t="s">
        <v>141</v>
      </c>
      <c r="B124" s="70">
        <f>B123*B122</f>
        <v>1.25</v>
      </c>
      <c r="C124" s="70">
        <v>1.7</v>
      </c>
      <c r="D124" s="70">
        <f t="shared" ref="D124:I124" si="50">D123*D122</f>
        <v>1.6</v>
      </c>
      <c r="E124" s="70">
        <f t="shared" si="50"/>
        <v>2</v>
      </c>
      <c r="F124" s="70">
        <f t="shared" si="50"/>
        <v>10</v>
      </c>
      <c r="G124" s="70">
        <f t="shared" si="50"/>
        <v>10</v>
      </c>
      <c r="H124" s="70">
        <f t="shared" si="50"/>
        <v>10</v>
      </c>
      <c r="I124" s="70">
        <f t="shared" si="50"/>
        <v>0</v>
      </c>
      <c r="J124" s="70">
        <f>SUM(B124:I124)</f>
        <v>36.549999999999997</v>
      </c>
      <c r="K124" s="86"/>
      <c r="L124" s="87" t="s">
        <v>141</v>
      </c>
      <c r="M124" s="70">
        <f t="shared" ref="M124:V124" si="51">M123*M122</f>
        <v>1.35</v>
      </c>
      <c r="N124" s="70">
        <f t="shared" si="51"/>
        <v>2.1</v>
      </c>
      <c r="O124" s="70">
        <f t="shared" si="51"/>
        <v>1.6</v>
      </c>
      <c r="P124" s="70">
        <f t="shared" si="51"/>
        <v>1.5</v>
      </c>
      <c r="Q124" s="70">
        <f t="shared" si="51"/>
        <v>10</v>
      </c>
      <c r="R124" s="70">
        <f t="shared" si="51"/>
        <v>32</v>
      </c>
      <c r="S124" s="70">
        <f t="shared" si="51"/>
        <v>15</v>
      </c>
      <c r="T124" s="70">
        <f t="shared" si="51"/>
        <v>70</v>
      </c>
      <c r="U124" s="70">
        <f t="shared" si="51"/>
        <v>40</v>
      </c>
      <c r="V124" s="70">
        <f t="shared" si="51"/>
        <v>50</v>
      </c>
      <c r="W124" s="70">
        <f>SUM(M124:V124)</f>
        <v>223.55</v>
      </c>
      <c r="X124" s="96">
        <f>W124-J124</f>
        <v>187</v>
      </c>
      <c r="Y124" s="94">
        <v>83.2</v>
      </c>
      <c r="Z124" s="94">
        <v>60.1</v>
      </c>
      <c r="AA124" s="97">
        <f>X124+Z124</f>
        <v>247.1</v>
      </c>
      <c r="AB124" s="85">
        <v>83.2</v>
      </c>
      <c r="AC124" s="96">
        <f>Y124-AB124</f>
        <v>0</v>
      </c>
      <c r="AD124" s="96">
        <f>X124-Y124</f>
        <v>103.8</v>
      </c>
      <c r="AE124" s="85">
        <v>20</v>
      </c>
      <c r="AF124" s="96">
        <f>AD124-AE124</f>
        <v>83.8</v>
      </c>
      <c r="AG124" s="49"/>
      <c r="AH124" s="98">
        <f>(SUM(Y124:Z124)/(1+10/100))*(10/100)</f>
        <v>13.027272727272729</v>
      </c>
      <c r="AI124" s="49"/>
    </row>
    <row r="126" spans="1:35" ht="51" x14ac:dyDescent="0.2">
      <c r="A126" s="83" t="s">
        <v>135</v>
      </c>
      <c r="B126" s="84"/>
      <c r="C126" s="85"/>
      <c r="D126" s="85"/>
      <c r="E126" s="85"/>
      <c r="F126" s="85"/>
      <c r="G126" s="85"/>
      <c r="H126" s="85"/>
      <c r="I126" s="85"/>
      <c r="J126" s="85"/>
      <c r="K126" s="86"/>
      <c r="L126" s="83" t="s">
        <v>136</v>
      </c>
      <c r="M126" s="84"/>
      <c r="N126" s="85"/>
      <c r="O126" s="85"/>
      <c r="P126" s="85"/>
      <c r="Q126" s="85"/>
      <c r="R126" s="85"/>
      <c r="S126" s="85"/>
      <c r="T126" s="85"/>
      <c r="U126" s="85"/>
      <c r="V126" s="85"/>
      <c r="W126" s="87" t="s">
        <v>141</v>
      </c>
      <c r="X126" s="88" t="s">
        <v>192</v>
      </c>
      <c r="Y126" s="89" t="s">
        <v>142</v>
      </c>
      <c r="Z126" s="90" t="s">
        <v>193</v>
      </c>
      <c r="AA126" s="91" t="s">
        <v>194</v>
      </c>
      <c r="AB126" s="88" t="s">
        <v>288</v>
      </c>
      <c r="AC126" s="87" t="s">
        <v>195</v>
      </c>
      <c r="AD126" s="87" t="s">
        <v>196</v>
      </c>
      <c r="AE126" s="88" t="s">
        <v>197</v>
      </c>
      <c r="AF126" s="87" t="s">
        <v>198</v>
      </c>
      <c r="AG126" s="49"/>
      <c r="AH126" s="92"/>
      <c r="AI126" s="49"/>
    </row>
    <row r="127" spans="1:35" ht="12.75" x14ac:dyDescent="0.2">
      <c r="A127" s="87" t="s">
        <v>199</v>
      </c>
      <c r="B127" s="93">
        <v>0.05</v>
      </c>
      <c r="C127" s="93">
        <v>0.1</v>
      </c>
      <c r="D127" s="93">
        <v>0.2</v>
      </c>
      <c r="E127" s="93">
        <v>0.5</v>
      </c>
      <c r="F127" s="93">
        <v>1</v>
      </c>
      <c r="G127" s="93">
        <v>2</v>
      </c>
      <c r="H127" s="93">
        <v>5</v>
      </c>
      <c r="I127" s="93">
        <v>10</v>
      </c>
      <c r="J127" s="49"/>
      <c r="K127" s="86"/>
      <c r="L127" s="87" t="s">
        <v>199</v>
      </c>
      <c r="M127" s="93">
        <v>0.05</v>
      </c>
      <c r="N127" s="93">
        <v>0.1</v>
      </c>
      <c r="O127" s="93">
        <v>0.2</v>
      </c>
      <c r="P127" s="93">
        <v>0.5</v>
      </c>
      <c r="Q127" s="93">
        <v>1</v>
      </c>
      <c r="R127" s="93">
        <v>2</v>
      </c>
      <c r="S127" s="93">
        <v>5</v>
      </c>
      <c r="T127" s="93">
        <v>10</v>
      </c>
      <c r="U127" s="93">
        <v>20</v>
      </c>
      <c r="V127" s="93">
        <v>50</v>
      </c>
      <c r="W127" s="85"/>
      <c r="X127" s="85"/>
      <c r="Y127" s="49"/>
      <c r="Z127" s="94"/>
      <c r="AA127" s="95"/>
      <c r="AB127" s="85"/>
      <c r="AC127" s="85"/>
      <c r="AD127" s="85"/>
      <c r="AE127" s="85"/>
      <c r="AF127" s="85"/>
      <c r="AG127" s="49"/>
      <c r="AH127" s="92"/>
      <c r="AI127" s="49"/>
    </row>
    <row r="128" spans="1:35" ht="12.75" x14ac:dyDescent="0.2">
      <c r="A128" s="87" t="s">
        <v>200</v>
      </c>
      <c r="D128" s="49"/>
      <c r="E128" s="49"/>
      <c r="F128" s="85"/>
      <c r="G128" s="85"/>
      <c r="H128" s="85"/>
      <c r="I128" s="85"/>
      <c r="J128" s="85"/>
      <c r="K128" s="86"/>
      <c r="L128" s="87" t="s">
        <v>200</v>
      </c>
      <c r="O128" s="49"/>
      <c r="P128" s="49"/>
      <c r="Q128" s="85"/>
      <c r="R128" s="85"/>
      <c r="S128" s="85"/>
      <c r="T128" s="85"/>
      <c r="U128" s="85"/>
      <c r="V128" s="85"/>
      <c r="W128" s="85"/>
      <c r="X128" s="85"/>
      <c r="Y128" s="49"/>
      <c r="Z128" s="94"/>
      <c r="AA128" s="95"/>
      <c r="AB128" s="85"/>
      <c r="AC128" s="85"/>
      <c r="AD128" s="85"/>
      <c r="AE128" s="85"/>
      <c r="AF128" s="85"/>
      <c r="AG128" s="49"/>
      <c r="AH128" s="92"/>
      <c r="AI128" s="49"/>
    </row>
    <row r="129" spans="1:35" ht="12.75" x14ac:dyDescent="0.2">
      <c r="A129" s="87" t="s">
        <v>141</v>
      </c>
      <c r="B129" s="70">
        <f t="shared" ref="B129:I129" si="52">B128*B127</f>
        <v>0</v>
      </c>
      <c r="C129" s="70">
        <f t="shared" si="52"/>
        <v>0</v>
      </c>
      <c r="D129" s="70">
        <f t="shared" si="52"/>
        <v>0</v>
      </c>
      <c r="E129" s="70">
        <f t="shared" si="52"/>
        <v>0</v>
      </c>
      <c r="F129" s="70">
        <f t="shared" si="52"/>
        <v>0</v>
      </c>
      <c r="G129" s="70">
        <f t="shared" si="52"/>
        <v>0</v>
      </c>
      <c r="H129" s="70">
        <f t="shared" si="52"/>
        <v>0</v>
      </c>
      <c r="I129" s="70">
        <f t="shared" si="52"/>
        <v>0</v>
      </c>
      <c r="J129" s="70">
        <f>SUM(B129:I129)</f>
        <v>0</v>
      </c>
      <c r="K129" s="86"/>
      <c r="L129" s="87" t="s">
        <v>141</v>
      </c>
      <c r="M129" s="70">
        <f t="shared" ref="M129:V129" si="53">M128*M127</f>
        <v>0</v>
      </c>
      <c r="N129" s="70">
        <f t="shared" si="53"/>
        <v>0</v>
      </c>
      <c r="O129" s="70">
        <f t="shared" si="53"/>
        <v>0</v>
      </c>
      <c r="P129" s="70">
        <f t="shared" si="53"/>
        <v>0</v>
      </c>
      <c r="Q129" s="70">
        <f t="shared" si="53"/>
        <v>0</v>
      </c>
      <c r="R129" s="70">
        <f t="shared" si="53"/>
        <v>0</v>
      </c>
      <c r="S129" s="70">
        <f t="shared" si="53"/>
        <v>0</v>
      </c>
      <c r="T129" s="70">
        <f t="shared" si="53"/>
        <v>0</v>
      </c>
      <c r="U129" s="70">
        <f t="shared" si="53"/>
        <v>0</v>
      </c>
      <c r="V129" s="70">
        <f t="shared" si="53"/>
        <v>0</v>
      </c>
      <c r="W129" s="70">
        <f>SUM(M129:V129)</f>
        <v>0</v>
      </c>
      <c r="X129" s="96">
        <f>W129-J129</f>
        <v>0</v>
      </c>
      <c r="Y129" s="94"/>
      <c r="Z129" s="94"/>
      <c r="AA129" s="97">
        <f>X129+Z129</f>
        <v>0</v>
      </c>
      <c r="AB129" s="85"/>
      <c r="AC129" s="96">
        <f>Y129-AB129</f>
        <v>0</v>
      </c>
      <c r="AD129" s="96">
        <f>X129-Y129</f>
        <v>0</v>
      </c>
      <c r="AE129" s="85"/>
      <c r="AF129" s="96">
        <f>AD129-AE129</f>
        <v>0</v>
      </c>
      <c r="AG129" s="49"/>
      <c r="AH129" s="98">
        <f>(SUM(Y129:Z129)/(1+10/100))*(10/100)</f>
        <v>0</v>
      </c>
      <c r="AI129" s="49"/>
    </row>
    <row r="134" spans="1:35" ht="38.25" x14ac:dyDescent="0.2">
      <c r="Y134" s="89" t="s">
        <v>142</v>
      </c>
      <c r="Z134" s="90" t="s">
        <v>193</v>
      </c>
      <c r="AA134" s="91" t="s">
        <v>194</v>
      </c>
      <c r="AB134" s="88" t="s">
        <v>165</v>
      </c>
      <c r="AC134" s="87" t="s">
        <v>195</v>
      </c>
      <c r="AD134" s="87" t="s">
        <v>196</v>
      </c>
      <c r="AE134" s="88" t="s">
        <v>197</v>
      </c>
      <c r="AF134" s="87" t="s">
        <v>198</v>
      </c>
    </row>
    <row r="135" spans="1:35" ht="12.75" x14ac:dyDescent="0.2">
      <c r="AB135" s="99"/>
      <c r="AC135" s="100"/>
      <c r="AE135" s="99"/>
      <c r="AF135" s="100"/>
    </row>
    <row r="136" spans="1:35" ht="15.75" customHeight="1" x14ac:dyDescent="0.25">
      <c r="X136" s="68" t="s">
        <v>208</v>
      </c>
      <c r="Y136" s="69">
        <f t="shared" ref="Y136:AF136" si="54">SUM(Y1:Y130)</f>
        <v>2758.1</v>
      </c>
      <c r="Z136" s="69">
        <f t="shared" si="54"/>
        <v>1764.9999999999998</v>
      </c>
      <c r="AA136" s="69">
        <f t="shared" si="54"/>
        <v>8307.0999999999985</v>
      </c>
      <c r="AB136" s="69">
        <f t="shared" si="54"/>
        <v>1731.3000000000002</v>
      </c>
      <c r="AC136" s="69">
        <f t="shared" si="54"/>
        <v>963.59999999999991</v>
      </c>
      <c r="AD136" s="69">
        <f t="shared" si="54"/>
        <v>3783.9999999999995</v>
      </c>
      <c r="AE136" s="69">
        <f t="shared" si="54"/>
        <v>572.79999999999995</v>
      </c>
      <c r="AF136" s="69">
        <f t="shared" si="54"/>
        <v>3211.1999999999994</v>
      </c>
    </row>
    <row r="137" spans="1:35" ht="12.75" x14ac:dyDescent="0.2">
      <c r="AE137" s="38"/>
    </row>
    <row r="138" spans="1:35" ht="12.75" x14ac:dyDescent="0.2">
      <c r="AB138" s="38" t="s">
        <v>300</v>
      </c>
      <c r="AC138" s="38">
        <v>-60</v>
      </c>
      <c r="AE138" s="38" t="s">
        <v>301</v>
      </c>
      <c r="AF138" s="38">
        <v>-90</v>
      </c>
    </row>
    <row r="139" spans="1:35" ht="12.75" x14ac:dyDescent="0.2">
      <c r="AB139" s="38" t="s">
        <v>300</v>
      </c>
      <c r="AC139" s="38">
        <v>-30</v>
      </c>
      <c r="AE139" s="38" t="s">
        <v>221</v>
      </c>
      <c r="AF139" s="42">
        <v>-1100</v>
      </c>
      <c r="AG139" s="107">
        <v>200</v>
      </c>
      <c r="AH139" s="38" t="s">
        <v>262</v>
      </c>
      <c r="AI139" s="38" t="s">
        <v>302</v>
      </c>
    </row>
    <row r="140" spans="1:35" ht="12.75" x14ac:dyDescent="0.2">
      <c r="AB140" s="38" t="s">
        <v>210</v>
      </c>
      <c r="AC140" s="38">
        <v>-600</v>
      </c>
      <c r="AE140" s="38" t="s">
        <v>292</v>
      </c>
      <c r="AF140" s="42">
        <v>-1100</v>
      </c>
      <c r="AG140" s="107">
        <v>200</v>
      </c>
      <c r="AH140" s="38" t="s">
        <v>262</v>
      </c>
      <c r="AI140" s="38" t="s">
        <v>302</v>
      </c>
    </row>
    <row r="141" spans="1:35" ht="12.75" x14ac:dyDescent="0.2">
      <c r="AB141" s="38" t="s">
        <v>303</v>
      </c>
      <c r="AC141" s="38">
        <v>-199</v>
      </c>
      <c r="AE141" s="38" t="s">
        <v>262</v>
      </c>
      <c r="AF141" s="38">
        <v>-700</v>
      </c>
      <c r="AI141" s="38" t="s">
        <v>302</v>
      </c>
    </row>
    <row r="143" spans="1:35" ht="12.75" x14ac:dyDescent="0.2">
      <c r="AE143" s="38" t="s">
        <v>304</v>
      </c>
      <c r="AF143" s="38">
        <v>-100</v>
      </c>
    </row>
    <row r="144" spans="1:35" ht="12.75" x14ac:dyDescent="0.2">
      <c r="AE144" s="61" t="s">
        <v>305</v>
      </c>
      <c r="AF144" s="61">
        <v>100</v>
      </c>
    </row>
    <row r="145" spans="27:29" ht="12.75" x14ac:dyDescent="0.2">
      <c r="AA145" s="61" t="s">
        <v>282</v>
      </c>
      <c r="AB145" s="61" t="s">
        <v>221</v>
      </c>
      <c r="AC145" s="61" t="s">
        <v>211</v>
      </c>
    </row>
    <row r="146" spans="27:29" ht="12.75" x14ac:dyDescent="0.2">
      <c r="AA146" s="71" t="s">
        <v>285</v>
      </c>
      <c r="AB146" s="38">
        <v>600</v>
      </c>
      <c r="AC146" s="38">
        <v>400</v>
      </c>
    </row>
    <row r="147" spans="27:29" ht="25.5" x14ac:dyDescent="0.2">
      <c r="AA147" s="71" t="s">
        <v>286</v>
      </c>
      <c r="AB147" s="38">
        <v>100</v>
      </c>
      <c r="AC147" s="38">
        <v>100</v>
      </c>
    </row>
    <row r="148" spans="27:29" ht="25.5" x14ac:dyDescent="0.2">
      <c r="AA148" s="71" t="s">
        <v>287</v>
      </c>
      <c r="AB148" s="38">
        <v>350</v>
      </c>
      <c r="AC148" s="38">
        <v>350</v>
      </c>
    </row>
    <row r="149" spans="27:29" ht="25.5" x14ac:dyDescent="0.2">
      <c r="AA149" s="71" t="s">
        <v>296</v>
      </c>
      <c r="AB149" s="38">
        <v>350</v>
      </c>
      <c r="AC149" s="38">
        <v>350</v>
      </c>
    </row>
    <row r="150" spans="27:29" ht="12.75" x14ac:dyDescent="0.2">
      <c r="AA150" s="73" t="s">
        <v>297</v>
      </c>
      <c r="AB150" s="38">
        <v>400</v>
      </c>
      <c r="AC150" s="38">
        <v>400</v>
      </c>
    </row>
    <row r="151" spans="27:29" ht="12.75" x14ac:dyDescent="0.2">
      <c r="AA151" s="71"/>
      <c r="AB151" s="61">
        <v>200</v>
      </c>
      <c r="AC151" s="61">
        <v>200</v>
      </c>
    </row>
    <row r="152" spans="27:29" ht="25.5" x14ac:dyDescent="0.2">
      <c r="AA152" s="73" t="s">
        <v>306</v>
      </c>
      <c r="AB152" s="61">
        <v>350</v>
      </c>
      <c r="AC152" s="61">
        <v>350</v>
      </c>
    </row>
    <row r="155" spans="27:29" ht="12.75" x14ac:dyDescent="0.2">
      <c r="AA155" s="61" t="s">
        <v>141</v>
      </c>
      <c r="AB155" s="38">
        <f t="shared" ref="AB155:AC155" si="55">SUM(AB146:AB152)</f>
        <v>2350</v>
      </c>
      <c r="AC155" s="38">
        <f t="shared" si="55"/>
        <v>2150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K158"/>
  <sheetViews>
    <sheetView workbookViewId="0">
      <selection activeCell="AG148" sqref="AG148"/>
    </sheetView>
  </sheetViews>
  <sheetFormatPr defaultColWidth="12.5703125" defaultRowHeight="15.75" customHeight="1" x14ac:dyDescent="0.2"/>
  <cols>
    <col min="1" max="1" width="8" customWidth="1"/>
    <col min="2" max="2" width="9.140625" customWidth="1"/>
    <col min="3" max="3" width="5.42578125" customWidth="1"/>
    <col min="4" max="4" width="5.140625" customWidth="1"/>
    <col min="5" max="5" width="5.42578125" customWidth="1"/>
    <col min="6" max="6" width="5.5703125" customWidth="1"/>
    <col min="7" max="8" width="6.140625" customWidth="1"/>
    <col min="9" max="9" width="6.42578125" customWidth="1"/>
    <col min="10" max="10" width="5" customWidth="1"/>
    <col min="11" max="11" width="3.42578125" customWidth="1"/>
    <col min="12" max="12" width="8.28515625" customWidth="1"/>
    <col min="13" max="13" width="10" customWidth="1"/>
    <col min="14" max="14" width="6.28515625" customWidth="1"/>
    <col min="15" max="15" width="6.140625" customWidth="1"/>
    <col min="16" max="16" width="6.7109375" customWidth="1"/>
    <col min="17" max="17" width="6" customWidth="1"/>
    <col min="18" max="18" width="5.5703125" customWidth="1"/>
    <col min="19" max="19" width="6" customWidth="1"/>
    <col min="20" max="20" width="6.5703125" customWidth="1"/>
    <col min="21" max="22" width="6.42578125" customWidth="1"/>
    <col min="23" max="23" width="7.5703125" customWidth="1"/>
    <col min="24" max="24" width="9.85546875" style="131" customWidth="1"/>
    <col min="25" max="25" width="7.7109375" customWidth="1"/>
    <col min="26" max="26" width="6.7109375" customWidth="1"/>
    <col min="27" max="27" width="7.7109375" customWidth="1"/>
    <col min="28" max="28" width="9.42578125" customWidth="1"/>
    <col min="29" max="29" width="7.28515625" customWidth="1"/>
    <col min="30" max="30" width="7" customWidth="1"/>
    <col min="31" max="31" width="7.42578125" customWidth="1"/>
    <col min="32" max="32" width="6.7109375" customWidth="1"/>
    <col min="34" max="34" width="6.42578125" customWidth="1"/>
  </cols>
  <sheetData>
    <row r="1" spans="1:37" x14ac:dyDescent="0.2">
      <c r="A1" s="83" t="s">
        <v>135</v>
      </c>
      <c r="B1" s="84">
        <v>45839</v>
      </c>
      <c r="C1" s="85"/>
      <c r="D1" s="85"/>
      <c r="E1" s="85"/>
      <c r="F1" s="85"/>
      <c r="G1" s="85"/>
      <c r="H1" s="85"/>
      <c r="I1" s="85"/>
      <c r="J1" s="85"/>
      <c r="K1" s="86"/>
      <c r="L1" s="83" t="s">
        <v>136</v>
      </c>
      <c r="M1" s="84"/>
      <c r="N1" s="85"/>
      <c r="O1" s="85"/>
      <c r="P1" s="85"/>
      <c r="Q1" s="85"/>
      <c r="R1" s="85"/>
      <c r="S1" s="85"/>
      <c r="T1" s="85"/>
      <c r="U1" s="85"/>
      <c r="V1" s="85"/>
      <c r="W1" s="87" t="s">
        <v>141</v>
      </c>
      <c r="X1" s="88" t="s">
        <v>192</v>
      </c>
      <c r="Y1" s="89" t="s">
        <v>142</v>
      </c>
      <c r="Z1" s="90" t="s">
        <v>193</v>
      </c>
      <c r="AA1" s="91" t="s">
        <v>194</v>
      </c>
      <c r="AB1" s="88" t="s">
        <v>288</v>
      </c>
      <c r="AC1" s="87" t="s">
        <v>195</v>
      </c>
      <c r="AD1" s="87" t="s">
        <v>196</v>
      </c>
      <c r="AE1" s="88" t="s">
        <v>197</v>
      </c>
      <c r="AF1" s="87" t="s">
        <v>198</v>
      </c>
      <c r="AG1" s="49"/>
      <c r="AH1" s="92"/>
      <c r="AI1" s="49"/>
      <c r="AJ1" s="49"/>
      <c r="AK1" s="49"/>
    </row>
    <row r="2" spans="1:37" x14ac:dyDescent="0.2">
      <c r="A2" s="87" t="s">
        <v>199</v>
      </c>
      <c r="B2" s="93">
        <v>0.05</v>
      </c>
      <c r="C2" s="93">
        <v>0.1</v>
      </c>
      <c r="D2" s="93">
        <v>0.2</v>
      </c>
      <c r="E2" s="93">
        <v>0.5</v>
      </c>
      <c r="F2" s="93">
        <v>1</v>
      </c>
      <c r="G2" s="93">
        <v>2</v>
      </c>
      <c r="H2" s="93">
        <v>5</v>
      </c>
      <c r="I2" s="93">
        <v>10</v>
      </c>
      <c r="J2" s="49"/>
      <c r="K2" s="86"/>
      <c r="L2" s="87" t="s">
        <v>199</v>
      </c>
      <c r="M2" s="93">
        <v>0.05</v>
      </c>
      <c r="N2" s="93">
        <v>0.1</v>
      </c>
      <c r="O2" s="93">
        <v>0.2</v>
      </c>
      <c r="P2" s="93">
        <v>0.5</v>
      </c>
      <c r="Q2" s="93">
        <v>1</v>
      </c>
      <c r="R2" s="93">
        <v>2</v>
      </c>
      <c r="S2" s="93">
        <v>5</v>
      </c>
      <c r="T2" s="93">
        <v>10</v>
      </c>
      <c r="U2" s="93">
        <v>20</v>
      </c>
      <c r="V2" s="93">
        <v>50</v>
      </c>
      <c r="W2" s="85"/>
      <c r="X2" s="129"/>
      <c r="Y2" s="49"/>
      <c r="Z2" s="94"/>
      <c r="AA2" s="95"/>
      <c r="AB2" s="85"/>
      <c r="AC2" s="85"/>
      <c r="AD2" s="85"/>
      <c r="AE2" s="85"/>
      <c r="AF2" s="85"/>
      <c r="AG2" s="49"/>
      <c r="AH2" s="92"/>
      <c r="AI2" s="49"/>
      <c r="AJ2" s="49"/>
      <c r="AK2" s="49"/>
    </row>
    <row r="3" spans="1:37" x14ac:dyDescent="0.2">
      <c r="A3" s="87" t="s">
        <v>200</v>
      </c>
      <c r="B3" s="38">
        <v>27</v>
      </c>
      <c r="C3" s="38">
        <v>21</v>
      </c>
      <c r="D3" s="49">
        <v>8</v>
      </c>
      <c r="E3" s="49">
        <v>3</v>
      </c>
      <c r="F3" s="85">
        <v>10</v>
      </c>
      <c r="G3" s="85">
        <v>5</v>
      </c>
      <c r="H3" s="85">
        <v>2</v>
      </c>
      <c r="I3" s="85"/>
      <c r="J3" s="85"/>
      <c r="K3" s="86"/>
      <c r="L3" s="87" t="s">
        <v>200</v>
      </c>
      <c r="M3" s="38">
        <v>30</v>
      </c>
      <c r="N3" s="38">
        <v>24</v>
      </c>
      <c r="O3" s="49">
        <v>12</v>
      </c>
      <c r="P3" s="49">
        <v>11</v>
      </c>
      <c r="Q3" s="85">
        <v>9</v>
      </c>
      <c r="R3" s="85">
        <v>4</v>
      </c>
      <c r="S3" s="85">
        <v>9</v>
      </c>
      <c r="T3" s="85">
        <v>4</v>
      </c>
      <c r="U3" s="85">
        <v>6</v>
      </c>
      <c r="V3" s="85">
        <v>1</v>
      </c>
      <c r="W3" s="85"/>
      <c r="X3" s="129"/>
      <c r="Y3" s="49"/>
      <c r="Z3" s="94"/>
      <c r="AA3" s="95"/>
      <c r="AB3" s="85"/>
      <c r="AC3" s="85"/>
      <c r="AD3" s="85"/>
      <c r="AE3" s="85"/>
      <c r="AF3" s="85"/>
      <c r="AG3" s="49"/>
      <c r="AH3" s="92"/>
      <c r="AI3" s="49"/>
      <c r="AJ3" s="49"/>
      <c r="AK3" s="49"/>
    </row>
    <row r="4" spans="1:37" x14ac:dyDescent="0.2">
      <c r="A4" s="87" t="s">
        <v>141</v>
      </c>
      <c r="B4" s="70">
        <f t="shared" ref="B4:I4" si="0">B3*B2</f>
        <v>1.35</v>
      </c>
      <c r="C4" s="70">
        <f t="shared" si="0"/>
        <v>2.1</v>
      </c>
      <c r="D4" s="70">
        <f t="shared" si="0"/>
        <v>1.6</v>
      </c>
      <c r="E4" s="70">
        <f t="shared" si="0"/>
        <v>1.5</v>
      </c>
      <c r="F4" s="70">
        <f t="shared" si="0"/>
        <v>10</v>
      </c>
      <c r="G4" s="70">
        <f t="shared" si="0"/>
        <v>10</v>
      </c>
      <c r="H4" s="70">
        <f t="shared" si="0"/>
        <v>10</v>
      </c>
      <c r="I4" s="70">
        <f t="shared" si="0"/>
        <v>0</v>
      </c>
      <c r="J4" s="70">
        <f>SUM(B4:I4)</f>
        <v>36.549999999999997</v>
      </c>
      <c r="K4" s="86"/>
      <c r="L4" s="87" t="s">
        <v>141</v>
      </c>
      <c r="M4" s="70">
        <f t="shared" ref="M4:V4" si="1">M3*M2</f>
        <v>1.5</v>
      </c>
      <c r="N4" s="70">
        <f t="shared" si="1"/>
        <v>2.4000000000000004</v>
      </c>
      <c r="O4" s="70">
        <f t="shared" si="1"/>
        <v>2.4000000000000004</v>
      </c>
      <c r="P4" s="70">
        <f t="shared" si="1"/>
        <v>5.5</v>
      </c>
      <c r="Q4" s="70">
        <f t="shared" si="1"/>
        <v>9</v>
      </c>
      <c r="R4" s="70">
        <f t="shared" si="1"/>
        <v>8</v>
      </c>
      <c r="S4" s="70">
        <f t="shared" si="1"/>
        <v>45</v>
      </c>
      <c r="T4" s="70">
        <f t="shared" si="1"/>
        <v>40</v>
      </c>
      <c r="U4" s="70">
        <f t="shared" si="1"/>
        <v>120</v>
      </c>
      <c r="V4" s="70">
        <f t="shared" si="1"/>
        <v>50</v>
      </c>
      <c r="W4" s="70">
        <f>SUM(M4:V4)</f>
        <v>283.8</v>
      </c>
      <c r="X4" s="132">
        <f>W4-J4</f>
        <v>247.25</v>
      </c>
      <c r="Y4" s="94">
        <v>85.3</v>
      </c>
      <c r="Z4" s="94">
        <v>39.200000000000003</v>
      </c>
      <c r="AA4" s="97">
        <f>X4+Z4</f>
        <v>286.45</v>
      </c>
      <c r="AB4" s="85">
        <v>50</v>
      </c>
      <c r="AC4" s="96">
        <f>Y4-AB4</f>
        <v>35.299999999999997</v>
      </c>
      <c r="AD4" s="96">
        <f>X4-Y4</f>
        <v>161.94999999999999</v>
      </c>
      <c r="AE4" s="85"/>
      <c r="AF4" s="96">
        <f>AD4-AE4</f>
        <v>161.94999999999999</v>
      </c>
      <c r="AG4" s="49"/>
      <c r="AH4" s="98">
        <f>(SUM(Y4:Z4)/(1+10/100))*(10/100)</f>
        <v>11.318181818181818</v>
      </c>
      <c r="AI4" s="49"/>
      <c r="AJ4" s="49"/>
      <c r="AK4" s="49"/>
    </row>
    <row r="6" spans="1:37" x14ac:dyDescent="0.2">
      <c r="A6" s="83" t="s">
        <v>135</v>
      </c>
      <c r="B6" s="84">
        <v>45840</v>
      </c>
      <c r="C6" s="85"/>
      <c r="D6" s="85"/>
      <c r="E6" s="85"/>
      <c r="F6" s="85"/>
      <c r="G6" s="85"/>
      <c r="H6" s="85"/>
      <c r="I6" s="85"/>
      <c r="J6" s="85"/>
      <c r="K6" s="86"/>
      <c r="L6" s="83" t="s">
        <v>136</v>
      </c>
      <c r="M6" s="84">
        <v>45840</v>
      </c>
      <c r="N6" s="85"/>
      <c r="O6" s="85"/>
      <c r="P6" s="85"/>
      <c r="Q6" s="85"/>
      <c r="R6" s="85"/>
      <c r="S6" s="85"/>
      <c r="T6" s="85"/>
      <c r="U6" s="85"/>
      <c r="V6" s="85"/>
      <c r="W6" s="87" t="s">
        <v>141</v>
      </c>
      <c r="X6" s="88" t="s">
        <v>192</v>
      </c>
      <c r="Y6" s="89" t="s">
        <v>142</v>
      </c>
      <c r="Z6" s="90" t="s">
        <v>193</v>
      </c>
      <c r="AA6" s="91" t="s">
        <v>194</v>
      </c>
      <c r="AB6" s="88" t="s">
        <v>288</v>
      </c>
      <c r="AC6" s="87" t="s">
        <v>195</v>
      </c>
      <c r="AD6" s="87" t="s">
        <v>196</v>
      </c>
      <c r="AE6" s="88" t="s">
        <v>197</v>
      </c>
      <c r="AF6" s="87" t="s">
        <v>198</v>
      </c>
      <c r="AG6" s="49"/>
      <c r="AH6" s="92"/>
      <c r="AI6" s="49"/>
      <c r="AJ6" s="49"/>
      <c r="AK6" s="49"/>
    </row>
    <row r="7" spans="1:37" x14ac:dyDescent="0.2">
      <c r="A7" s="87" t="s">
        <v>199</v>
      </c>
      <c r="B7" s="93">
        <v>0.05</v>
      </c>
      <c r="C7" s="93">
        <v>0.1</v>
      </c>
      <c r="D7" s="93">
        <v>0.2</v>
      </c>
      <c r="E7" s="93">
        <v>0.5</v>
      </c>
      <c r="F7" s="93">
        <v>1</v>
      </c>
      <c r="G7" s="93">
        <v>2</v>
      </c>
      <c r="H7" s="93">
        <v>5</v>
      </c>
      <c r="I7" s="93">
        <v>10</v>
      </c>
      <c r="J7" s="49"/>
      <c r="K7" s="86"/>
      <c r="L7" s="87" t="s">
        <v>199</v>
      </c>
      <c r="M7" s="93">
        <v>0.05</v>
      </c>
      <c r="N7" s="93">
        <v>0.1</v>
      </c>
      <c r="O7" s="93">
        <v>0.2</v>
      </c>
      <c r="P7" s="93">
        <v>0.5</v>
      </c>
      <c r="Q7" s="93">
        <v>1</v>
      </c>
      <c r="R7" s="93">
        <v>2</v>
      </c>
      <c r="S7" s="93">
        <v>5</v>
      </c>
      <c r="T7" s="93">
        <v>10</v>
      </c>
      <c r="U7" s="93">
        <v>20</v>
      </c>
      <c r="V7" s="93">
        <v>50</v>
      </c>
      <c r="W7" s="85"/>
      <c r="X7" s="129"/>
      <c r="Y7" s="49"/>
      <c r="Z7" s="94"/>
      <c r="AA7" s="95"/>
      <c r="AB7" s="85"/>
      <c r="AC7" s="85"/>
      <c r="AD7" s="85"/>
      <c r="AE7" s="85"/>
      <c r="AF7" s="85"/>
      <c r="AG7" s="49"/>
      <c r="AH7" s="92"/>
      <c r="AI7" s="49"/>
      <c r="AJ7" s="49"/>
      <c r="AK7" s="49"/>
    </row>
    <row r="8" spans="1:37" x14ac:dyDescent="0.2">
      <c r="A8" s="87" t="s">
        <v>200</v>
      </c>
      <c r="B8" s="38">
        <v>30</v>
      </c>
      <c r="C8" s="38">
        <v>24</v>
      </c>
      <c r="D8" s="49">
        <v>12</v>
      </c>
      <c r="E8" s="49">
        <v>11</v>
      </c>
      <c r="F8" s="85">
        <v>9</v>
      </c>
      <c r="G8" s="85">
        <v>4</v>
      </c>
      <c r="H8" s="85">
        <v>2</v>
      </c>
      <c r="I8" s="85"/>
      <c r="J8" s="85"/>
      <c r="K8" s="86"/>
      <c r="L8" s="87" t="s">
        <v>200</v>
      </c>
      <c r="M8" s="38">
        <v>36</v>
      </c>
      <c r="N8" s="38">
        <v>27</v>
      </c>
      <c r="O8" s="49">
        <v>8</v>
      </c>
      <c r="P8" s="49">
        <v>12</v>
      </c>
      <c r="Q8" s="85">
        <v>11</v>
      </c>
      <c r="R8" s="85">
        <v>8</v>
      </c>
      <c r="S8" s="85">
        <v>10</v>
      </c>
      <c r="T8" s="85">
        <v>5</v>
      </c>
      <c r="U8" s="85">
        <v>3</v>
      </c>
      <c r="V8" s="85">
        <v>0</v>
      </c>
      <c r="W8" s="85"/>
      <c r="X8" s="129"/>
      <c r="Y8" s="49"/>
      <c r="Z8" s="94"/>
      <c r="AA8" s="95"/>
      <c r="AB8" s="85"/>
      <c r="AC8" s="85"/>
      <c r="AD8" s="85"/>
      <c r="AE8" s="85"/>
      <c r="AF8" s="85"/>
      <c r="AG8" s="49"/>
      <c r="AH8" s="92"/>
      <c r="AI8" s="49"/>
      <c r="AJ8" s="49"/>
      <c r="AK8" s="49"/>
    </row>
    <row r="9" spans="1:37" x14ac:dyDescent="0.2">
      <c r="A9" s="87" t="s">
        <v>141</v>
      </c>
      <c r="B9" s="70">
        <f t="shared" ref="B9:I9" si="2">B8*B7</f>
        <v>1.5</v>
      </c>
      <c r="C9" s="70">
        <f t="shared" si="2"/>
        <v>2.4000000000000004</v>
      </c>
      <c r="D9" s="70">
        <f t="shared" si="2"/>
        <v>2.4000000000000004</v>
      </c>
      <c r="E9" s="70">
        <f t="shared" si="2"/>
        <v>5.5</v>
      </c>
      <c r="F9" s="70">
        <f t="shared" si="2"/>
        <v>9</v>
      </c>
      <c r="G9" s="70">
        <f t="shared" si="2"/>
        <v>8</v>
      </c>
      <c r="H9" s="70">
        <f t="shared" si="2"/>
        <v>10</v>
      </c>
      <c r="I9" s="70">
        <f t="shared" si="2"/>
        <v>0</v>
      </c>
      <c r="J9" s="70">
        <f>SUM(B9:I9)</f>
        <v>38.799999999999997</v>
      </c>
      <c r="K9" s="86"/>
      <c r="L9" s="87" t="s">
        <v>141</v>
      </c>
      <c r="M9" s="70">
        <f t="shared" ref="M9:V9" si="3">M8*M7</f>
        <v>1.8</v>
      </c>
      <c r="N9" s="70">
        <f t="shared" si="3"/>
        <v>2.7</v>
      </c>
      <c r="O9" s="70">
        <f t="shared" si="3"/>
        <v>1.6</v>
      </c>
      <c r="P9" s="70">
        <f t="shared" si="3"/>
        <v>6</v>
      </c>
      <c r="Q9" s="70">
        <f t="shared" si="3"/>
        <v>11</v>
      </c>
      <c r="R9" s="70">
        <f t="shared" si="3"/>
        <v>16</v>
      </c>
      <c r="S9" s="70">
        <f t="shared" si="3"/>
        <v>50</v>
      </c>
      <c r="T9" s="70">
        <f t="shared" si="3"/>
        <v>50</v>
      </c>
      <c r="U9" s="70">
        <f t="shared" si="3"/>
        <v>60</v>
      </c>
      <c r="V9" s="70">
        <f t="shared" si="3"/>
        <v>0</v>
      </c>
      <c r="W9" s="70">
        <f>SUM(M9:V9)</f>
        <v>199.1</v>
      </c>
      <c r="X9" s="132">
        <f>W9-J9</f>
        <v>160.30000000000001</v>
      </c>
      <c r="Y9" s="94">
        <v>35</v>
      </c>
      <c r="Z9" s="94">
        <v>47.9</v>
      </c>
      <c r="AA9" s="97">
        <f>X9+Z9</f>
        <v>208.20000000000002</v>
      </c>
      <c r="AB9" s="85"/>
      <c r="AC9" s="96">
        <f>Y9-AB9</f>
        <v>35</v>
      </c>
      <c r="AD9" s="96">
        <f>X9-Y9</f>
        <v>125.30000000000001</v>
      </c>
      <c r="AE9" s="85">
        <v>70</v>
      </c>
      <c r="AF9" s="96">
        <f>AD9-AE9</f>
        <v>55.300000000000011</v>
      </c>
      <c r="AG9" s="49"/>
      <c r="AH9" s="98">
        <f>(SUM(Y9:Z9)/(1+10/100))*(10/100)</f>
        <v>7.5363636363636362</v>
      </c>
      <c r="AI9" s="108"/>
      <c r="AJ9" s="45"/>
      <c r="AK9" s="49"/>
    </row>
    <row r="11" spans="1:37" x14ac:dyDescent="0.2">
      <c r="A11" s="83" t="s">
        <v>135</v>
      </c>
      <c r="B11" s="84">
        <v>45841</v>
      </c>
      <c r="C11" s="85"/>
      <c r="D11" s="85"/>
      <c r="E11" s="85"/>
      <c r="F11" s="85"/>
      <c r="G11" s="85"/>
      <c r="H11" s="85"/>
      <c r="I11" s="85"/>
      <c r="J11" s="85"/>
      <c r="K11" s="86"/>
      <c r="L11" s="83" t="s">
        <v>136</v>
      </c>
      <c r="M11" s="84">
        <v>45841</v>
      </c>
      <c r="N11" s="85"/>
      <c r="O11" s="85"/>
      <c r="P11" s="85"/>
      <c r="Q11" s="85"/>
      <c r="R11" s="85"/>
      <c r="S11" s="85"/>
      <c r="T11" s="85"/>
      <c r="U11" s="85"/>
      <c r="V11" s="85"/>
      <c r="W11" s="87" t="s">
        <v>141</v>
      </c>
      <c r="X11" s="88" t="s">
        <v>192</v>
      </c>
      <c r="Y11" s="89" t="s">
        <v>142</v>
      </c>
      <c r="Z11" s="90" t="s">
        <v>193</v>
      </c>
      <c r="AA11" s="91" t="s">
        <v>194</v>
      </c>
      <c r="AB11" s="88" t="s">
        <v>288</v>
      </c>
      <c r="AC11" s="87" t="s">
        <v>195</v>
      </c>
      <c r="AD11" s="87" t="s">
        <v>196</v>
      </c>
      <c r="AE11" s="88" t="s">
        <v>197</v>
      </c>
      <c r="AF11" s="87" t="s">
        <v>198</v>
      </c>
      <c r="AG11" s="49"/>
      <c r="AH11" s="92"/>
      <c r="AI11" s="49"/>
      <c r="AJ11" s="49"/>
      <c r="AK11" s="49"/>
    </row>
    <row r="12" spans="1:37" x14ac:dyDescent="0.2">
      <c r="A12" s="87" t="s">
        <v>199</v>
      </c>
      <c r="B12" s="93">
        <v>0.05</v>
      </c>
      <c r="C12" s="93">
        <v>0.1</v>
      </c>
      <c r="D12" s="93">
        <v>0.2</v>
      </c>
      <c r="E12" s="93">
        <v>0.5</v>
      </c>
      <c r="F12" s="93">
        <v>1</v>
      </c>
      <c r="G12" s="93">
        <v>2</v>
      </c>
      <c r="H12" s="93">
        <v>5</v>
      </c>
      <c r="I12" s="93">
        <v>10</v>
      </c>
      <c r="J12" s="49"/>
      <c r="K12" s="86"/>
      <c r="L12" s="87" t="s">
        <v>199</v>
      </c>
      <c r="M12" s="93">
        <v>0.05</v>
      </c>
      <c r="N12" s="93">
        <v>0.1</v>
      </c>
      <c r="O12" s="93">
        <v>0.2</v>
      </c>
      <c r="P12" s="93">
        <v>0.5</v>
      </c>
      <c r="Q12" s="93">
        <v>1</v>
      </c>
      <c r="R12" s="93">
        <v>2</v>
      </c>
      <c r="S12" s="93">
        <v>5</v>
      </c>
      <c r="T12" s="93">
        <v>10</v>
      </c>
      <c r="U12" s="93">
        <v>20</v>
      </c>
      <c r="V12" s="93">
        <v>50</v>
      </c>
      <c r="W12" s="85"/>
      <c r="X12" s="129"/>
      <c r="Y12" s="49"/>
      <c r="Z12" s="94"/>
      <c r="AA12" s="95"/>
      <c r="AB12" s="85"/>
      <c r="AC12" s="85"/>
      <c r="AD12" s="85"/>
      <c r="AE12" s="85"/>
      <c r="AF12" s="85"/>
      <c r="AG12" s="49"/>
      <c r="AH12" s="92"/>
      <c r="AI12" s="49"/>
      <c r="AJ12" s="49"/>
      <c r="AK12" s="49"/>
    </row>
    <row r="13" spans="1:37" x14ac:dyDescent="0.2">
      <c r="A13" s="87" t="s">
        <v>200</v>
      </c>
      <c r="B13" s="38">
        <v>36</v>
      </c>
      <c r="C13" s="38">
        <v>27</v>
      </c>
      <c r="D13" s="49">
        <v>8</v>
      </c>
      <c r="E13" s="49">
        <v>8</v>
      </c>
      <c r="F13" s="85">
        <v>9</v>
      </c>
      <c r="G13" s="85">
        <v>5</v>
      </c>
      <c r="H13" s="85">
        <v>2</v>
      </c>
      <c r="I13" s="85"/>
      <c r="J13" s="85"/>
      <c r="K13" s="86"/>
      <c r="L13" s="87" t="s">
        <v>200</v>
      </c>
      <c r="M13" s="38">
        <v>32</v>
      </c>
      <c r="N13" s="38">
        <v>21</v>
      </c>
      <c r="O13" s="49"/>
      <c r="P13" s="49"/>
      <c r="Q13" s="85"/>
      <c r="R13" s="85">
        <v>3</v>
      </c>
      <c r="S13" s="85">
        <v>12</v>
      </c>
      <c r="T13" s="85">
        <v>6</v>
      </c>
      <c r="U13" s="85">
        <v>7</v>
      </c>
      <c r="V13" s="85"/>
      <c r="W13" s="85"/>
      <c r="X13" s="129"/>
      <c r="Y13" s="49"/>
      <c r="Z13" s="94"/>
      <c r="AA13" s="95"/>
      <c r="AB13" s="85"/>
      <c r="AC13" s="85"/>
      <c r="AD13" s="85"/>
      <c r="AE13" s="85"/>
      <c r="AF13" s="85"/>
      <c r="AG13" s="49"/>
      <c r="AH13" s="92"/>
      <c r="AI13" s="49"/>
      <c r="AJ13" s="108"/>
      <c r="AK13" s="45"/>
    </row>
    <row r="14" spans="1:37" x14ac:dyDescent="0.2">
      <c r="A14" s="87" t="s">
        <v>141</v>
      </c>
      <c r="B14" s="70">
        <f t="shared" ref="B14:I14" si="4">B13*B12</f>
        <v>1.8</v>
      </c>
      <c r="C14" s="70">
        <f t="shared" si="4"/>
        <v>2.7</v>
      </c>
      <c r="D14" s="70">
        <f t="shared" si="4"/>
        <v>1.6</v>
      </c>
      <c r="E14" s="70">
        <f t="shared" si="4"/>
        <v>4</v>
      </c>
      <c r="F14" s="70">
        <f t="shared" si="4"/>
        <v>9</v>
      </c>
      <c r="G14" s="70">
        <f t="shared" si="4"/>
        <v>10</v>
      </c>
      <c r="H14" s="70">
        <f t="shared" si="4"/>
        <v>10</v>
      </c>
      <c r="I14" s="70">
        <f t="shared" si="4"/>
        <v>0</v>
      </c>
      <c r="J14" s="70">
        <f>SUM(B14:I14)</f>
        <v>39.1</v>
      </c>
      <c r="K14" s="86"/>
      <c r="L14" s="87" t="s">
        <v>141</v>
      </c>
      <c r="M14" s="70">
        <f t="shared" ref="M14:V14" si="5">M13*M12</f>
        <v>1.6</v>
      </c>
      <c r="N14" s="70">
        <f t="shared" si="5"/>
        <v>2.1</v>
      </c>
      <c r="O14" s="70">
        <f t="shared" si="5"/>
        <v>0</v>
      </c>
      <c r="P14" s="70">
        <f t="shared" si="5"/>
        <v>0</v>
      </c>
      <c r="Q14" s="70">
        <f t="shared" si="5"/>
        <v>0</v>
      </c>
      <c r="R14" s="70">
        <f t="shared" si="5"/>
        <v>6</v>
      </c>
      <c r="S14" s="70">
        <f t="shared" si="5"/>
        <v>60</v>
      </c>
      <c r="T14" s="70">
        <f t="shared" si="5"/>
        <v>60</v>
      </c>
      <c r="U14" s="70">
        <f t="shared" si="5"/>
        <v>140</v>
      </c>
      <c r="V14" s="70">
        <f t="shared" si="5"/>
        <v>0</v>
      </c>
      <c r="W14" s="70">
        <f>SUM(M14:V14)</f>
        <v>269.7</v>
      </c>
      <c r="X14" s="132">
        <f>W14-J14</f>
        <v>230.6</v>
      </c>
      <c r="Y14" s="94">
        <v>102.7</v>
      </c>
      <c r="Z14" s="94">
        <v>44.7</v>
      </c>
      <c r="AA14" s="97">
        <f>X14+Z14</f>
        <v>275.3</v>
      </c>
      <c r="AB14" s="85"/>
      <c r="AC14" s="96">
        <f>Y14-AB14</f>
        <v>102.7</v>
      </c>
      <c r="AD14" s="96">
        <f>X14-Y14</f>
        <v>127.89999999999999</v>
      </c>
      <c r="AE14" s="85"/>
      <c r="AF14" s="96">
        <f>AD14-AE14</f>
        <v>127.89999999999999</v>
      </c>
      <c r="AG14" s="49"/>
      <c r="AH14" s="98">
        <f>(SUM(Y14:Z14)/(1+10/100))*(10/100)</f>
        <v>13.4</v>
      </c>
      <c r="AI14" s="108"/>
      <c r="AJ14" s="45"/>
    </row>
    <row r="16" spans="1:37" x14ac:dyDescent="0.2">
      <c r="A16" s="83" t="s">
        <v>135</v>
      </c>
      <c r="B16" s="84">
        <v>45842</v>
      </c>
      <c r="C16" s="85"/>
      <c r="D16" s="85"/>
      <c r="E16" s="85"/>
      <c r="F16" s="85"/>
      <c r="G16" s="85"/>
      <c r="H16" s="85"/>
      <c r="I16" s="85"/>
      <c r="J16" s="85"/>
      <c r="K16" s="86"/>
      <c r="L16" s="83" t="s">
        <v>136</v>
      </c>
      <c r="M16" s="84">
        <v>45842</v>
      </c>
      <c r="N16" s="85"/>
      <c r="O16" s="85"/>
      <c r="P16" s="85"/>
      <c r="Q16" s="85"/>
      <c r="R16" s="85"/>
      <c r="S16" s="85"/>
      <c r="T16" s="85"/>
      <c r="U16" s="85"/>
      <c r="V16" s="85"/>
      <c r="W16" s="87" t="s">
        <v>141</v>
      </c>
      <c r="X16" s="88" t="s">
        <v>192</v>
      </c>
      <c r="Y16" s="89" t="s">
        <v>142</v>
      </c>
      <c r="Z16" s="90" t="s">
        <v>193</v>
      </c>
      <c r="AA16" s="91" t="s">
        <v>194</v>
      </c>
      <c r="AB16" s="88" t="s">
        <v>288</v>
      </c>
      <c r="AC16" s="87" t="s">
        <v>195</v>
      </c>
      <c r="AD16" s="87" t="s">
        <v>196</v>
      </c>
      <c r="AE16" s="88" t="s">
        <v>197</v>
      </c>
      <c r="AF16" s="87" t="s">
        <v>198</v>
      </c>
      <c r="AG16" s="49"/>
      <c r="AH16" s="92"/>
      <c r="AI16" s="49"/>
    </row>
    <row r="17" spans="1:37" x14ac:dyDescent="0.2">
      <c r="A17" s="87" t="s">
        <v>199</v>
      </c>
      <c r="B17" s="93">
        <v>0.05</v>
      </c>
      <c r="C17" s="93">
        <v>0.1</v>
      </c>
      <c r="D17" s="93">
        <v>0.2</v>
      </c>
      <c r="E17" s="93">
        <v>0.5</v>
      </c>
      <c r="F17" s="93">
        <v>1</v>
      </c>
      <c r="G17" s="93">
        <v>2</v>
      </c>
      <c r="H17" s="93">
        <v>5</v>
      </c>
      <c r="I17" s="93">
        <v>10</v>
      </c>
      <c r="J17" s="49"/>
      <c r="K17" s="86"/>
      <c r="L17" s="87" t="s">
        <v>199</v>
      </c>
      <c r="M17" s="93">
        <v>0.05</v>
      </c>
      <c r="N17" s="93">
        <v>0.1</v>
      </c>
      <c r="O17" s="93">
        <v>0.2</v>
      </c>
      <c r="P17" s="93">
        <v>0.5</v>
      </c>
      <c r="Q17" s="93">
        <v>1</v>
      </c>
      <c r="R17" s="93">
        <v>2</v>
      </c>
      <c r="S17" s="93">
        <v>5</v>
      </c>
      <c r="T17" s="93">
        <v>10</v>
      </c>
      <c r="U17" s="93">
        <v>20</v>
      </c>
      <c r="V17" s="93">
        <v>50</v>
      </c>
      <c r="W17" s="85"/>
      <c r="X17" s="129"/>
      <c r="Y17" s="49"/>
      <c r="Z17" s="94"/>
      <c r="AA17" s="95"/>
      <c r="AB17" s="85"/>
      <c r="AC17" s="85"/>
      <c r="AD17" s="85"/>
      <c r="AE17" s="85"/>
      <c r="AF17" s="85"/>
      <c r="AG17" s="49"/>
      <c r="AH17" s="92"/>
      <c r="AI17" s="49"/>
    </row>
    <row r="18" spans="1:37" x14ac:dyDescent="0.2">
      <c r="A18" s="87" t="s">
        <v>200</v>
      </c>
      <c r="B18" s="38">
        <v>32</v>
      </c>
      <c r="C18" s="38">
        <v>21</v>
      </c>
      <c r="D18" s="49"/>
      <c r="E18" s="49"/>
      <c r="F18" s="85"/>
      <c r="G18" s="85">
        <v>3</v>
      </c>
      <c r="H18" s="85">
        <v>2</v>
      </c>
      <c r="I18" s="85"/>
      <c r="J18" s="85"/>
      <c r="K18" s="86"/>
      <c r="L18" s="87" t="s">
        <v>200</v>
      </c>
      <c r="M18" s="38">
        <v>27</v>
      </c>
      <c r="N18" s="38">
        <v>36</v>
      </c>
      <c r="O18" s="49">
        <v>11</v>
      </c>
      <c r="P18" s="49">
        <v>7</v>
      </c>
      <c r="Q18" s="85">
        <v>1</v>
      </c>
      <c r="R18" s="85"/>
      <c r="S18" s="85">
        <v>2</v>
      </c>
      <c r="T18" s="85"/>
      <c r="U18" s="85">
        <v>11</v>
      </c>
      <c r="V18" s="85">
        <v>3</v>
      </c>
      <c r="W18" s="85"/>
      <c r="X18" s="129"/>
      <c r="Y18" s="49"/>
      <c r="Z18" s="94"/>
      <c r="AA18" s="95"/>
      <c r="AB18" s="85"/>
      <c r="AC18" s="85"/>
      <c r="AD18" s="85"/>
      <c r="AE18" s="85"/>
      <c r="AF18" s="85"/>
      <c r="AG18" s="49"/>
      <c r="AH18" s="92"/>
      <c r="AI18" s="49"/>
    </row>
    <row r="19" spans="1:37" x14ac:dyDescent="0.2">
      <c r="A19" s="87" t="s">
        <v>141</v>
      </c>
      <c r="B19" s="70">
        <f t="shared" ref="B19:I19" si="6">B18*B17</f>
        <v>1.6</v>
      </c>
      <c r="C19" s="70">
        <f t="shared" si="6"/>
        <v>2.1</v>
      </c>
      <c r="D19" s="70">
        <f t="shared" si="6"/>
        <v>0</v>
      </c>
      <c r="E19" s="70">
        <f t="shared" si="6"/>
        <v>0</v>
      </c>
      <c r="F19" s="70">
        <f t="shared" si="6"/>
        <v>0</v>
      </c>
      <c r="G19" s="70">
        <f t="shared" si="6"/>
        <v>6</v>
      </c>
      <c r="H19" s="70">
        <f t="shared" si="6"/>
        <v>10</v>
      </c>
      <c r="I19" s="70">
        <f t="shared" si="6"/>
        <v>0</v>
      </c>
      <c r="J19" s="70">
        <f>SUM(B19:I19)</f>
        <v>19.7</v>
      </c>
      <c r="K19" s="86"/>
      <c r="L19" s="87" t="s">
        <v>141</v>
      </c>
      <c r="M19" s="70">
        <f t="shared" ref="M19:V19" si="7">M18*M17</f>
        <v>1.35</v>
      </c>
      <c r="N19" s="70">
        <f t="shared" si="7"/>
        <v>3.6</v>
      </c>
      <c r="O19" s="70">
        <f t="shared" si="7"/>
        <v>2.2000000000000002</v>
      </c>
      <c r="P19" s="70">
        <f t="shared" si="7"/>
        <v>3.5</v>
      </c>
      <c r="Q19" s="70">
        <f t="shared" si="7"/>
        <v>1</v>
      </c>
      <c r="R19" s="70">
        <f t="shared" si="7"/>
        <v>0</v>
      </c>
      <c r="S19" s="70">
        <f t="shared" si="7"/>
        <v>10</v>
      </c>
      <c r="T19" s="70">
        <f t="shared" si="7"/>
        <v>0</v>
      </c>
      <c r="U19" s="70">
        <f t="shared" si="7"/>
        <v>220</v>
      </c>
      <c r="V19" s="70">
        <f t="shared" si="7"/>
        <v>150</v>
      </c>
      <c r="W19" s="70">
        <f>SUM(M19:V19)</f>
        <v>391.65</v>
      </c>
      <c r="X19" s="132">
        <f>W19-J19</f>
        <v>371.95</v>
      </c>
      <c r="Y19" s="94">
        <v>194.4</v>
      </c>
      <c r="Z19" s="94">
        <v>48.1</v>
      </c>
      <c r="AA19" s="97">
        <f>X19+Z19</f>
        <v>420.05</v>
      </c>
      <c r="AB19" s="85">
        <v>20</v>
      </c>
      <c r="AC19" s="96">
        <f>Y19-AB19</f>
        <v>174.4</v>
      </c>
      <c r="AD19" s="96">
        <f>X19-Y19</f>
        <v>177.54999999999998</v>
      </c>
      <c r="AE19" s="85">
        <v>17.55</v>
      </c>
      <c r="AF19" s="96">
        <f>AD19-AE19</f>
        <v>159.99999999999997</v>
      </c>
      <c r="AG19" s="49"/>
      <c r="AH19" s="98">
        <f>(SUM(Y19:Z19)/(1+10/100))*(10/100)</f>
        <v>22.045454545454547</v>
      </c>
      <c r="AI19" s="108"/>
      <c r="AJ19" s="45"/>
      <c r="AK19" s="49"/>
    </row>
    <row r="20" spans="1:37" x14ac:dyDescent="0.2">
      <c r="AC20" s="109">
        <v>-4.4000000000000004</v>
      </c>
    </row>
    <row r="21" spans="1:37" x14ac:dyDescent="0.2">
      <c r="A21" s="83" t="s">
        <v>135</v>
      </c>
      <c r="B21" s="84">
        <v>45843</v>
      </c>
      <c r="C21" s="85"/>
      <c r="D21" s="85"/>
      <c r="E21" s="85"/>
      <c r="F21" s="85"/>
      <c r="G21" s="85"/>
      <c r="H21" s="85"/>
      <c r="I21" s="85"/>
      <c r="J21" s="85"/>
      <c r="K21" s="86"/>
      <c r="L21" s="83" t="s">
        <v>136</v>
      </c>
      <c r="M21" s="84">
        <v>45752</v>
      </c>
      <c r="N21" s="85"/>
      <c r="O21" s="85"/>
      <c r="P21" s="85"/>
      <c r="Q21" s="85"/>
      <c r="R21" s="85"/>
      <c r="S21" s="85"/>
      <c r="T21" s="85"/>
      <c r="U21" s="85"/>
      <c r="V21" s="85"/>
      <c r="W21" s="87" t="s">
        <v>141</v>
      </c>
      <c r="X21" s="88" t="s">
        <v>192</v>
      </c>
      <c r="Y21" s="89" t="s">
        <v>142</v>
      </c>
      <c r="Z21" s="90" t="s">
        <v>193</v>
      </c>
      <c r="AA21" s="91" t="s">
        <v>194</v>
      </c>
      <c r="AB21" s="88" t="s">
        <v>288</v>
      </c>
      <c r="AC21" s="87" t="s">
        <v>195</v>
      </c>
      <c r="AD21" s="87" t="s">
        <v>196</v>
      </c>
      <c r="AE21" s="88" t="s">
        <v>197</v>
      </c>
      <c r="AF21" s="87" t="s">
        <v>198</v>
      </c>
      <c r="AG21" s="49"/>
      <c r="AH21" s="92"/>
      <c r="AI21" s="49"/>
      <c r="AJ21" s="49"/>
      <c r="AK21" s="49"/>
    </row>
    <row r="22" spans="1:37" x14ac:dyDescent="0.2">
      <c r="A22" s="87" t="s">
        <v>199</v>
      </c>
      <c r="B22" s="93">
        <v>0.05</v>
      </c>
      <c r="C22" s="93">
        <v>0.1</v>
      </c>
      <c r="D22" s="93">
        <v>0.2</v>
      </c>
      <c r="E22" s="93">
        <v>0.5</v>
      </c>
      <c r="F22" s="93">
        <v>1</v>
      </c>
      <c r="G22" s="93">
        <v>2</v>
      </c>
      <c r="H22" s="93">
        <v>5</v>
      </c>
      <c r="I22" s="93">
        <v>10</v>
      </c>
      <c r="J22" s="49"/>
      <c r="K22" s="86"/>
      <c r="L22" s="87" t="s">
        <v>199</v>
      </c>
      <c r="M22" s="93">
        <v>0.05</v>
      </c>
      <c r="N22" s="93">
        <v>0.1</v>
      </c>
      <c r="O22" s="93">
        <v>0.2</v>
      </c>
      <c r="P22" s="93">
        <v>0.5</v>
      </c>
      <c r="Q22" s="93">
        <v>1</v>
      </c>
      <c r="R22" s="93">
        <v>2</v>
      </c>
      <c r="S22" s="93">
        <v>5</v>
      </c>
      <c r="T22" s="93">
        <v>10</v>
      </c>
      <c r="U22" s="93">
        <v>20</v>
      </c>
      <c r="V22" s="93">
        <v>50</v>
      </c>
      <c r="W22" s="85"/>
      <c r="X22" s="129"/>
      <c r="Y22" s="49"/>
      <c r="Z22" s="94"/>
      <c r="AA22" s="95"/>
      <c r="AB22" s="85"/>
      <c r="AC22" s="85"/>
      <c r="AD22" s="85"/>
      <c r="AE22" s="85"/>
      <c r="AF22" s="85"/>
      <c r="AG22" s="49"/>
      <c r="AH22" s="92"/>
      <c r="AI22" s="49"/>
      <c r="AJ22" s="49"/>
      <c r="AK22" s="49"/>
    </row>
    <row r="23" spans="1:37" x14ac:dyDescent="0.2">
      <c r="A23" s="87" t="s">
        <v>200</v>
      </c>
      <c r="B23" s="38">
        <v>27</v>
      </c>
      <c r="C23" s="38">
        <v>36</v>
      </c>
      <c r="D23" s="49">
        <v>11</v>
      </c>
      <c r="E23" s="49">
        <v>7</v>
      </c>
      <c r="F23" s="85">
        <v>1</v>
      </c>
      <c r="G23" s="85"/>
      <c r="H23" s="85">
        <v>2</v>
      </c>
      <c r="I23" s="85"/>
      <c r="J23" s="85"/>
      <c r="K23" s="86"/>
      <c r="L23" s="87" t="s">
        <v>200</v>
      </c>
      <c r="M23" s="38">
        <v>30</v>
      </c>
      <c r="N23" s="38">
        <v>19</v>
      </c>
      <c r="O23" s="49">
        <v>2</v>
      </c>
      <c r="P23" s="49"/>
      <c r="Q23" s="85">
        <v>12</v>
      </c>
      <c r="R23" s="85">
        <v>6</v>
      </c>
      <c r="S23" s="85">
        <v>10</v>
      </c>
      <c r="T23" s="85">
        <v>3</v>
      </c>
      <c r="U23" s="85">
        <v>5</v>
      </c>
      <c r="V23" s="85">
        <v>1</v>
      </c>
      <c r="W23" s="85"/>
      <c r="X23" s="129"/>
      <c r="Y23" s="49"/>
      <c r="Z23" s="94"/>
      <c r="AA23" s="95"/>
      <c r="AB23" s="85"/>
      <c r="AC23" s="85"/>
      <c r="AD23" s="85"/>
      <c r="AE23" s="85"/>
      <c r="AF23" s="85"/>
      <c r="AG23" s="49"/>
      <c r="AH23" s="92"/>
      <c r="AI23" s="49"/>
      <c r="AJ23" s="49"/>
      <c r="AK23" s="49"/>
    </row>
    <row r="24" spans="1:37" x14ac:dyDescent="0.2">
      <c r="A24" s="87" t="s">
        <v>141</v>
      </c>
      <c r="B24" s="70">
        <f t="shared" ref="B24:I24" si="8">B23*B22</f>
        <v>1.35</v>
      </c>
      <c r="C24" s="70">
        <f t="shared" si="8"/>
        <v>3.6</v>
      </c>
      <c r="D24" s="70">
        <f t="shared" si="8"/>
        <v>2.2000000000000002</v>
      </c>
      <c r="E24" s="70">
        <f t="shared" si="8"/>
        <v>3.5</v>
      </c>
      <c r="F24" s="70">
        <f t="shared" si="8"/>
        <v>1</v>
      </c>
      <c r="G24" s="70">
        <f t="shared" si="8"/>
        <v>0</v>
      </c>
      <c r="H24" s="70">
        <f t="shared" si="8"/>
        <v>10</v>
      </c>
      <c r="I24" s="70">
        <f t="shared" si="8"/>
        <v>0</v>
      </c>
      <c r="J24" s="70">
        <f>SUM(B24:I24)</f>
        <v>21.65</v>
      </c>
      <c r="K24" s="86"/>
      <c r="L24" s="87" t="s">
        <v>141</v>
      </c>
      <c r="M24" s="70">
        <f t="shared" ref="M24:V24" si="9">M23*M22</f>
        <v>1.5</v>
      </c>
      <c r="N24" s="70">
        <f t="shared" si="9"/>
        <v>1.9000000000000001</v>
      </c>
      <c r="O24" s="70">
        <f t="shared" si="9"/>
        <v>0.4</v>
      </c>
      <c r="P24" s="70">
        <f t="shared" si="9"/>
        <v>0</v>
      </c>
      <c r="Q24" s="70">
        <f t="shared" si="9"/>
        <v>12</v>
      </c>
      <c r="R24" s="70">
        <f t="shared" si="9"/>
        <v>12</v>
      </c>
      <c r="S24" s="70">
        <f t="shared" si="9"/>
        <v>50</v>
      </c>
      <c r="T24" s="70">
        <f t="shared" si="9"/>
        <v>30</v>
      </c>
      <c r="U24" s="70">
        <f t="shared" si="9"/>
        <v>100</v>
      </c>
      <c r="V24" s="70">
        <f t="shared" si="9"/>
        <v>50</v>
      </c>
      <c r="W24" s="70">
        <f>SUM(M24:V24)</f>
        <v>257.8</v>
      </c>
      <c r="X24" s="132">
        <f>W24-J24</f>
        <v>236.15</v>
      </c>
      <c r="Y24" s="94">
        <v>114.9</v>
      </c>
      <c r="Z24" s="94">
        <v>41.8</v>
      </c>
      <c r="AA24" s="97">
        <f>X24+Z24</f>
        <v>277.95</v>
      </c>
      <c r="AB24" s="85">
        <v>24.9</v>
      </c>
      <c r="AC24" s="96">
        <f>Y24-AB24</f>
        <v>90</v>
      </c>
      <c r="AD24" s="96">
        <f>X24-Y24</f>
        <v>121.25</v>
      </c>
      <c r="AE24" s="85">
        <v>36.25</v>
      </c>
      <c r="AF24" s="96">
        <f>AD24-AE24</f>
        <v>85</v>
      </c>
      <c r="AG24" s="110"/>
      <c r="AH24" s="98">
        <f>(SUM(Y24:Z24)/(1+10/100))*(10/100)</f>
        <v>14.245454545454544</v>
      </c>
      <c r="AI24" s="49"/>
      <c r="AJ24" s="49"/>
      <c r="AK24" s="49"/>
    </row>
    <row r="25" spans="1:37" x14ac:dyDescent="0.2">
      <c r="AC25" s="38">
        <v>-85</v>
      </c>
      <c r="AG25" s="38"/>
    </row>
    <row r="26" spans="1:37" x14ac:dyDescent="0.2">
      <c r="A26" s="83" t="s">
        <v>135</v>
      </c>
      <c r="B26" s="84">
        <v>45845</v>
      </c>
      <c r="C26" s="85"/>
      <c r="D26" s="85"/>
      <c r="E26" s="85"/>
      <c r="F26" s="85"/>
      <c r="G26" s="85"/>
      <c r="H26" s="85"/>
      <c r="I26" s="85"/>
      <c r="J26" s="85"/>
      <c r="K26" s="86"/>
      <c r="L26" s="83" t="s">
        <v>136</v>
      </c>
      <c r="M26" s="84">
        <v>45845</v>
      </c>
      <c r="N26" s="85"/>
      <c r="O26" s="85"/>
      <c r="P26" s="85"/>
      <c r="Q26" s="85"/>
      <c r="R26" s="85"/>
      <c r="S26" s="85"/>
      <c r="T26" s="85"/>
      <c r="U26" s="85"/>
      <c r="V26" s="85"/>
      <c r="W26" s="87" t="s">
        <v>141</v>
      </c>
      <c r="X26" s="88" t="s">
        <v>192</v>
      </c>
      <c r="Y26" s="89" t="s">
        <v>142</v>
      </c>
      <c r="Z26" s="90" t="s">
        <v>193</v>
      </c>
      <c r="AA26" s="91" t="s">
        <v>194</v>
      </c>
      <c r="AB26" s="88" t="s">
        <v>288</v>
      </c>
      <c r="AC26" s="87" t="s">
        <v>195</v>
      </c>
      <c r="AD26" s="87" t="s">
        <v>196</v>
      </c>
      <c r="AE26" s="88" t="s">
        <v>197</v>
      </c>
      <c r="AF26" s="87" t="s">
        <v>198</v>
      </c>
      <c r="AG26" s="49"/>
      <c r="AH26" s="92"/>
      <c r="AI26" s="108"/>
      <c r="AJ26" s="45"/>
      <c r="AK26" s="38"/>
    </row>
    <row r="27" spans="1:37" x14ac:dyDescent="0.2">
      <c r="A27" s="87" t="s">
        <v>199</v>
      </c>
      <c r="B27" s="93">
        <v>0.05</v>
      </c>
      <c r="C27" s="93">
        <v>0.1</v>
      </c>
      <c r="D27" s="93">
        <v>0.2</v>
      </c>
      <c r="E27" s="93">
        <v>0.5</v>
      </c>
      <c r="F27" s="93">
        <v>1</v>
      </c>
      <c r="G27" s="93">
        <v>2</v>
      </c>
      <c r="H27" s="93">
        <v>5</v>
      </c>
      <c r="I27" s="93">
        <v>10</v>
      </c>
      <c r="J27" s="49"/>
      <c r="K27" s="86"/>
      <c r="L27" s="87" t="s">
        <v>199</v>
      </c>
      <c r="M27" s="93">
        <v>0.05</v>
      </c>
      <c r="N27" s="93">
        <v>0.1</v>
      </c>
      <c r="O27" s="93">
        <v>0.2</v>
      </c>
      <c r="P27" s="93">
        <v>0.5</v>
      </c>
      <c r="Q27" s="93">
        <v>1</v>
      </c>
      <c r="R27" s="93">
        <v>2</v>
      </c>
      <c r="S27" s="93">
        <v>5</v>
      </c>
      <c r="T27" s="93">
        <v>10</v>
      </c>
      <c r="U27" s="93">
        <v>20</v>
      </c>
      <c r="V27" s="93">
        <v>50</v>
      </c>
      <c r="W27" s="85"/>
      <c r="X27" s="129"/>
      <c r="Y27" s="49"/>
      <c r="Z27" s="94"/>
      <c r="AA27" s="95"/>
      <c r="AB27" s="85"/>
      <c r="AC27" s="85"/>
      <c r="AD27" s="85"/>
      <c r="AE27" s="85"/>
      <c r="AF27" s="85"/>
      <c r="AG27" s="49"/>
      <c r="AH27" s="92"/>
      <c r="AI27" s="49"/>
      <c r="AJ27" s="49"/>
      <c r="AK27" s="49"/>
    </row>
    <row r="28" spans="1:37" x14ac:dyDescent="0.2">
      <c r="A28" s="87" t="s">
        <v>200</v>
      </c>
      <c r="B28" s="38">
        <v>30</v>
      </c>
      <c r="C28" s="38">
        <v>19</v>
      </c>
      <c r="D28" s="49">
        <v>2</v>
      </c>
      <c r="E28" s="49"/>
      <c r="F28" s="85">
        <v>12</v>
      </c>
      <c r="G28" s="85">
        <v>6</v>
      </c>
      <c r="H28" s="85">
        <v>2</v>
      </c>
      <c r="I28" s="85"/>
      <c r="J28" s="85"/>
      <c r="K28" s="86"/>
      <c r="L28" s="87" t="s">
        <v>200</v>
      </c>
      <c r="M28" s="38">
        <v>32</v>
      </c>
      <c r="N28" s="38">
        <v>28</v>
      </c>
      <c r="O28" s="49">
        <v>12</v>
      </c>
      <c r="P28" s="49">
        <v>3</v>
      </c>
      <c r="Q28" s="85">
        <v>2</v>
      </c>
      <c r="R28" s="85">
        <v>1</v>
      </c>
      <c r="S28" s="85">
        <v>7</v>
      </c>
      <c r="T28" s="85">
        <v>3</v>
      </c>
      <c r="U28" s="85">
        <v>7</v>
      </c>
      <c r="V28" s="85">
        <v>2</v>
      </c>
      <c r="W28" s="85"/>
      <c r="X28" s="129"/>
      <c r="Y28" s="49"/>
      <c r="Z28" s="94"/>
      <c r="AA28" s="95"/>
      <c r="AB28" s="85"/>
      <c r="AC28" s="85"/>
      <c r="AD28" s="85"/>
      <c r="AE28" s="85"/>
      <c r="AF28" s="85"/>
      <c r="AG28" s="49"/>
      <c r="AH28" s="92"/>
      <c r="AI28" s="49"/>
      <c r="AJ28" s="49"/>
      <c r="AK28" s="49"/>
    </row>
    <row r="29" spans="1:37" x14ac:dyDescent="0.2">
      <c r="A29" s="87" t="s">
        <v>141</v>
      </c>
      <c r="B29" s="70">
        <f t="shared" ref="B29:I29" si="10">B28*B27</f>
        <v>1.5</v>
      </c>
      <c r="C29" s="70">
        <f t="shared" si="10"/>
        <v>1.9000000000000001</v>
      </c>
      <c r="D29" s="70">
        <f t="shared" si="10"/>
        <v>0.4</v>
      </c>
      <c r="E29" s="70">
        <f t="shared" si="10"/>
        <v>0</v>
      </c>
      <c r="F29" s="70">
        <f t="shared" si="10"/>
        <v>12</v>
      </c>
      <c r="G29" s="70">
        <f t="shared" si="10"/>
        <v>12</v>
      </c>
      <c r="H29" s="70">
        <f t="shared" si="10"/>
        <v>10</v>
      </c>
      <c r="I29" s="70">
        <f t="shared" si="10"/>
        <v>0</v>
      </c>
      <c r="J29" s="70">
        <f>SUM(B29:I29)</f>
        <v>37.799999999999997</v>
      </c>
      <c r="K29" s="86"/>
      <c r="L29" s="87" t="s">
        <v>141</v>
      </c>
      <c r="M29" s="70">
        <f t="shared" ref="M29:V29" si="11">M28*M27</f>
        <v>1.6</v>
      </c>
      <c r="N29" s="70">
        <f t="shared" si="11"/>
        <v>2.8000000000000003</v>
      </c>
      <c r="O29" s="70">
        <f t="shared" si="11"/>
        <v>2.4000000000000004</v>
      </c>
      <c r="P29" s="70">
        <f t="shared" si="11"/>
        <v>1.5</v>
      </c>
      <c r="Q29" s="70">
        <f t="shared" si="11"/>
        <v>2</v>
      </c>
      <c r="R29" s="70">
        <f t="shared" si="11"/>
        <v>2</v>
      </c>
      <c r="S29" s="70">
        <f t="shared" si="11"/>
        <v>35</v>
      </c>
      <c r="T29" s="70">
        <f t="shared" si="11"/>
        <v>30</v>
      </c>
      <c r="U29" s="70">
        <f t="shared" si="11"/>
        <v>140</v>
      </c>
      <c r="V29" s="70">
        <f t="shared" si="11"/>
        <v>100</v>
      </c>
      <c r="W29" s="70">
        <f>SUM(M29:V29)</f>
        <v>317.3</v>
      </c>
      <c r="X29" s="132">
        <f>W29-J29</f>
        <v>279.5</v>
      </c>
      <c r="Y29" s="94">
        <v>133.5</v>
      </c>
      <c r="Z29" s="94">
        <v>68.2</v>
      </c>
      <c r="AA29" s="97">
        <f>X29+Z29</f>
        <v>347.7</v>
      </c>
      <c r="AB29" s="85">
        <v>45</v>
      </c>
      <c r="AC29" s="96">
        <f>Y29-AB29</f>
        <v>88.5</v>
      </c>
      <c r="AD29" s="96">
        <f>X29-Y29</f>
        <v>146</v>
      </c>
      <c r="AE29" s="85">
        <v>20</v>
      </c>
      <c r="AF29" s="96">
        <f>AD29-AE29</f>
        <v>126</v>
      </c>
      <c r="AG29" s="49"/>
      <c r="AH29" s="98">
        <f>(SUM(Y29:Z29)/(1+10/100))*(10/100)</f>
        <v>18.336363636363636</v>
      </c>
      <c r="AI29" s="49"/>
      <c r="AJ29" s="49"/>
      <c r="AK29" s="49"/>
    </row>
    <row r="30" spans="1:37" x14ac:dyDescent="0.2">
      <c r="AC30" s="109">
        <v>-3.5</v>
      </c>
    </row>
    <row r="31" spans="1:37" x14ac:dyDescent="0.2">
      <c r="A31" s="83" t="s">
        <v>135</v>
      </c>
      <c r="B31" s="84">
        <v>45846</v>
      </c>
      <c r="C31" s="85"/>
      <c r="D31" s="85"/>
      <c r="E31" s="85"/>
      <c r="F31" s="85"/>
      <c r="G31" s="85"/>
      <c r="H31" s="85"/>
      <c r="I31" s="85"/>
      <c r="J31" s="85"/>
      <c r="K31" s="86"/>
      <c r="L31" s="83" t="s">
        <v>136</v>
      </c>
      <c r="M31" s="84">
        <v>45846</v>
      </c>
      <c r="N31" s="85"/>
      <c r="O31" s="85"/>
      <c r="P31" s="85"/>
      <c r="Q31" s="85"/>
      <c r="R31" s="85"/>
      <c r="S31" s="85"/>
      <c r="T31" s="85"/>
      <c r="U31" s="85"/>
      <c r="V31" s="85"/>
      <c r="W31" s="87" t="s">
        <v>141</v>
      </c>
      <c r="X31" s="88" t="s">
        <v>192</v>
      </c>
      <c r="Y31" s="89" t="s">
        <v>142</v>
      </c>
      <c r="Z31" s="90" t="s">
        <v>193</v>
      </c>
      <c r="AA31" s="91" t="s">
        <v>194</v>
      </c>
      <c r="AB31" s="88" t="s">
        <v>288</v>
      </c>
      <c r="AC31" s="87" t="s">
        <v>195</v>
      </c>
      <c r="AD31" s="87" t="s">
        <v>196</v>
      </c>
      <c r="AE31" s="88" t="s">
        <v>197</v>
      </c>
      <c r="AF31" s="87" t="s">
        <v>198</v>
      </c>
      <c r="AG31" s="49"/>
      <c r="AH31" s="92"/>
      <c r="AI31" s="49"/>
      <c r="AJ31" s="49"/>
      <c r="AK31" s="49"/>
    </row>
    <row r="32" spans="1:37" x14ac:dyDescent="0.2">
      <c r="A32" s="87" t="s">
        <v>199</v>
      </c>
      <c r="B32" s="93">
        <v>0.05</v>
      </c>
      <c r="C32" s="93">
        <v>0.1</v>
      </c>
      <c r="D32" s="93">
        <v>0.2</v>
      </c>
      <c r="E32" s="93">
        <v>0.5</v>
      </c>
      <c r="F32" s="93">
        <v>1</v>
      </c>
      <c r="G32" s="93">
        <v>2</v>
      </c>
      <c r="H32" s="93">
        <v>5</v>
      </c>
      <c r="I32" s="93">
        <v>10</v>
      </c>
      <c r="J32" s="49"/>
      <c r="K32" s="86"/>
      <c r="L32" s="87" t="s">
        <v>199</v>
      </c>
      <c r="M32" s="93">
        <v>0.05</v>
      </c>
      <c r="N32" s="93">
        <v>0.1</v>
      </c>
      <c r="O32" s="93">
        <v>0.2</v>
      </c>
      <c r="P32" s="93">
        <v>0.5</v>
      </c>
      <c r="Q32" s="93">
        <v>1</v>
      </c>
      <c r="R32" s="93">
        <v>2</v>
      </c>
      <c r="S32" s="93">
        <v>5</v>
      </c>
      <c r="T32" s="93">
        <v>10</v>
      </c>
      <c r="U32" s="93">
        <v>20</v>
      </c>
      <c r="V32" s="93">
        <v>50</v>
      </c>
      <c r="W32" s="85"/>
      <c r="X32" s="129"/>
      <c r="Y32" s="49"/>
      <c r="Z32" s="94"/>
      <c r="AA32" s="95"/>
      <c r="AB32" s="85"/>
      <c r="AC32" s="85"/>
      <c r="AD32" s="85"/>
      <c r="AE32" s="85"/>
      <c r="AF32" s="85"/>
      <c r="AG32" s="49"/>
      <c r="AH32" s="92"/>
      <c r="AI32" s="49"/>
      <c r="AJ32" s="49"/>
      <c r="AK32" s="49"/>
    </row>
    <row r="33" spans="1:37" x14ac:dyDescent="0.2">
      <c r="A33" s="87" t="s">
        <v>200</v>
      </c>
      <c r="B33" s="38">
        <v>32</v>
      </c>
      <c r="C33" s="38">
        <v>28</v>
      </c>
      <c r="D33" s="49">
        <v>12</v>
      </c>
      <c r="E33" s="49">
        <v>3</v>
      </c>
      <c r="F33" s="85">
        <v>2</v>
      </c>
      <c r="G33" s="85">
        <v>1</v>
      </c>
      <c r="H33" s="85">
        <v>2</v>
      </c>
      <c r="I33" s="85"/>
      <c r="J33" s="85"/>
      <c r="K33" s="86"/>
      <c r="L33" s="87" t="s">
        <v>200</v>
      </c>
      <c r="M33" s="38">
        <v>19</v>
      </c>
      <c r="N33" s="38">
        <v>41</v>
      </c>
      <c r="O33" s="49">
        <v>27</v>
      </c>
      <c r="P33" s="49">
        <v>11</v>
      </c>
      <c r="Q33" s="85">
        <v>10</v>
      </c>
      <c r="R33" s="85">
        <v>4</v>
      </c>
      <c r="S33" s="85">
        <v>5</v>
      </c>
      <c r="T33" s="85">
        <v>1</v>
      </c>
      <c r="U33" s="85">
        <v>5</v>
      </c>
      <c r="V33" s="85">
        <v>2</v>
      </c>
      <c r="W33" s="85"/>
      <c r="X33" s="129"/>
      <c r="Y33" s="49"/>
      <c r="Z33" s="94"/>
      <c r="AA33" s="95"/>
      <c r="AB33" s="85"/>
      <c r="AC33" s="85"/>
      <c r="AD33" s="85"/>
      <c r="AE33" s="85"/>
      <c r="AF33" s="85"/>
      <c r="AG33" s="49"/>
      <c r="AH33" s="92"/>
      <c r="AI33" s="49"/>
      <c r="AJ33" s="49"/>
      <c r="AK33" s="49"/>
    </row>
    <row r="34" spans="1:37" x14ac:dyDescent="0.2">
      <c r="A34" s="87" t="s">
        <v>141</v>
      </c>
      <c r="B34" s="70">
        <f t="shared" ref="B34:I34" si="12">B33*B32</f>
        <v>1.6</v>
      </c>
      <c r="C34" s="70">
        <f t="shared" si="12"/>
        <v>2.8000000000000003</v>
      </c>
      <c r="D34" s="70">
        <f t="shared" si="12"/>
        <v>2.4000000000000004</v>
      </c>
      <c r="E34" s="70">
        <f t="shared" si="12"/>
        <v>1.5</v>
      </c>
      <c r="F34" s="70">
        <f t="shared" si="12"/>
        <v>2</v>
      </c>
      <c r="G34" s="70">
        <f t="shared" si="12"/>
        <v>2</v>
      </c>
      <c r="H34" s="70">
        <f t="shared" si="12"/>
        <v>10</v>
      </c>
      <c r="I34" s="70">
        <f t="shared" si="12"/>
        <v>0</v>
      </c>
      <c r="J34" s="70">
        <f>SUM(B34:I34)</f>
        <v>22.3</v>
      </c>
      <c r="K34" s="86"/>
      <c r="L34" s="87" t="s">
        <v>141</v>
      </c>
      <c r="M34" s="70">
        <f t="shared" ref="M34:S34" si="13">M33*M32</f>
        <v>0.95000000000000007</v>
      </c>
      <c r="N34" s="70">
        <f t="shared" si="13"/>
        <v>4.1000000000000005</v>
      </c>
      <c r="O34" s="70">
        <f t="shared" si="13"/>
        <v>5.4</v>
      </c>
      <c r="P34" s="70">
        <f t="shared" si="13"/>
        <v>5.5</v>
      </c>
      <c r="Q34" s="70">
        <f t="shared" si="13"/>
        <v>10</v>
      </c>
      <c r="R34" s="70">
        <f t="shared" si="13"/>
        <v>8</v>
      </c>
      <c r="S34" s="70">
        <f t="shared" si="13"/>
        <v>25</v>
      </c>
      <c r="T34" s="70">
        <v>10</v>
      </c>
      <c r="U34" s="70">
        <f t="shared" ref="U34:V34" si="14">U33*U32</f>
        <v>100</v>
      </c>
      <c r="V34" s="70">
        <f t="shared" si="14"/>
        <v>100</v>
      </c>
      <c r="W34" s="70">
        <f>SUM(M34:V34)</f>
        <v>268.95</v>
      </c>
      <c r="X34" s="132">
        <f>W34-J34</f>
        <v>246.64999999999998</v>
      </c>
      <c r="Y34" s="94">
        <v>108.6</v>
      </c>
      <c r="Z34" s="94">
        <v>38.700000000000003</v>
      </c>
      <c r="AA34" s="97">
        <f>X34+Z34</f>
        <v>285.34999999999997</v>
      </c>
      <c r="AB34" s="85"/>
      <c r="AC34" s="96">
        <f>Y34-AB34</f>
        <v>108.6</v>
      </c>
      <c r="AD34" s="96">
        <f>X34-Y34</f>
        <v>138.04999999999998</v>
      </c>
      <c r="AE34" s="85">
        <v>16.05</v>
      </c>
      <c r="AF34" s="96">
        <f>AD34-AE34</f>
        <v>121.99999999999999</v>
      </c>
      <c r="AG34" s="110"/>
      <c r="AH34" s="98">
        <f>(SUM(Y34:Z34)/(1+10/100))*(10/100)</f>
        <v>13.390909090909091</v>
      </c>
      <c r="AI34" s="49"/>
      <c r="AJ34" s="49"/>
      <c r="AK34" s="49"/>
    </row>
    <row r="35" spans="1:37" x14ac:dyDescent="0.2">
      <c r="AG35" s="38"/>
    </row>
    <row r="36" spans="1:37" x14ac:dyDescent="0.2">
      <c r="A36" s="83" t="s">
        <v>135</v>
      </c>
      <c r="B36" s="84">
        <v>45847</v>
      </c>
      <c r="C36" s="85"/>
      <c r="D36" s="85"/>
      <c r="E36" s="85"/>
      <c r="F36" s="85"/>
      <c r="G36" s="85"/>
      <c r="H36" s="85"/>
      <c r="I36" s="85"/>
      <c r="J36" s="85"/>
      <c r="K36" s="86"/>
      <c r="L36" s="83" t="s">
        <v>136</v>
      </c>
      <c r="M36" s="84">
        <v>45847</v>
      </c>
      <c r="N36" s="85"/>
      <c r="O36" s="85"/>
      <c r="P36" s="85"/>
      <c r="Q36" s="85"/>
      <c r="R36" s="85"/>
      <c r="S36" s="85"/>
      <c r="T36" s="85"/>
      <c r="U36" s="85"/>
      <c r="V36" s="85"/>
      <c r="W36" s="87" t="s">
        <v>141</v>
      </c>
      <c r="X36" s="88" t="s">
        <v>192</v>
      </c>
      <c r="Y36" s="89" t="s">
        <v>142</v>
      </c>
      <c r="Z36" s="90" t="s">
        <v>193</v>
      </c>
      <c r="AA36" s="91" t="s">
        <v>194</v>
      </c>
      <c r="AB36" s="88" t="s">
        <v>288</v>
      </c>
      <c r="AC36" s="87" t="s">
        <v>195</v>
      </c>
      <c r="AD36" s="87" t="s">
        <v>196</v>
      </c>
      <c r="AE36" s="88" t="s">
        <v>197</v>
      </c>
      <c r="AF36" s="87" t="s">
        <v>198</v>
      </c>
      <c r="AG36" s="49"/>
      <c r="AH36" s="92"/>
      <c r="AI36" s="49"/>
      <c r="AJ36" s="49"/>
      <c r="AK36" s="49"/>
    </row>
    <row r="37" spans="1:37" x14ac:dyDescent="0.2">
      <c r="A37" s="87" t="s">
        <v>199</v>
      </c>
      <c r="B37" s="93">
        <v>0.05</v>
      </c>
      <c r="C37" s="93">
        <v>0.1</v>
      </c>
      <c r="D37" s="93">
        <v>0.2</v>
      </c>
      <c r="E37" s="93">
        <v>0.5</v>
      </c>
      <c r="F37" s="93">
        <v>1</v>
      </c>
      <c r="G37" s="93">
        <v>2</v>
      </c>
      <c r="H37" s="93">
        <v>5</v>
      </c>
      <c r="I37" s="93">
        <v>10</v>
      </c>
      <c r="J37" s="49"/>
      <c r="K37" s="86"/>
      <c r="L37" s="87" t="s">
        <v>199</v>
      </c>
      <c r="M37" s="93">
        <v>0.05</v>
      </c>
      <c r="N37" s="93">
        <v>0.1</v>
      </c>
      <c r="O37" s="93">
        <v>0.2</v>
      </c>
      <c r="P37" s="93">
        <v>0.5</v>
      </c>
      <c r="Q37" s="93">
        <v>1</v>
      </c>
      <c r="R37" s="93">
        <v>2</v>
      </c>
      <c r="S37" s="93">
        <v>5</v>
      </c>
      <c r="T37" s="93">
        <v>10</v>
      </c>
      <c r="U37" s="93">
        <v>20</v>
      </c>
      <c r="V37" s="93">
        <v>50</v>
      </c>
      <c r="W37" s="85"/>
      <c r="X37" s="129"/>
      <c r="Y37" s="49"/>
      <c r="Z37" s="94"/>
      <c r="AA37" s="95"/>
      <c r="AB37" s="85"/>
      <c r="AC37" s="85"/>
      <c r="AD37" s="85"/>
      <c r="AE37" s="85"/>
      <c r="AF37" s="85"/>
      <c r="AG37" s="49"/>
      <c r="AH37" s="92"/>
      <c r="AI37" s="49"/>
      <c r="AJ37" s="49"/>
      <c r="AK37" s="49"/>
    </row>
    <row r="38" spans="1:37" x14ac:dyDescent="0.2">
      <c r="A38" s="87" t="s">
        <v>200</v>
      </c>
      <c r="B38" s="38">
        <v>19</v>
      </c>
      <c r="C38" s="38">
        <v>41</v>
      </c>
      <c r="D38" s="49">
        <v>27</v>
      </c>
      <c r="E38" s="49">
        <v>11</v>
      </c>
      <c r="F38" s="85">
        <v>8</v>
      </c>
      <c r="G38" s="85">
        <v>3</v>
      </c>
      <c r="H38" s="85">
        <v>2</v>
      </c>
      <c r="I38" s="85"/>
      <c r="J38" s="85"/>
      <c r="K38" s="86"/>
      <c r="L38" s="87" t="s">
        <v>200</v>
      </c>
      <c r="M38" s="38">
        <v>13</v>
      </c>
      <c r="N38" s="38">
        <v>41</v>
      </c>
      <c r="O38" s="49">
        <v>25</v>
      </c>
      <c r="P38" s="49">
        <v>24</v>
      </c>
      <c r="Q38" s="85">
        <v>21</v>
      </c>
      <c r="R38" s="85">
        <v>6</v>
      </c>
      <c r="S38" s="85">
        <v>5</v>
      </c>
      <c r="T38" s="85">
        <v>6</v>
      </c>
      <c r="U38" s="85">
        <v>5</v>
      </c>
      <c r="V38" s="85">
        <v>3</v>
      </c>
      <c r="W38" s="85"/>
      <c r="X38" s="129"/>
      <c r="Y38" s="49"/>
      <c r="Z38" s="94"/>
      <c r="AA38" s="95"/>
      <c r="AB38" s="85"/>
      <c r="AC38" s="85"/>
      <c r="AD38" s="85"/>
      <c r="AE38" s="85"/>
      <c r="AF38" s="85"/>
      <c r="AG38" s="49"/>
      <c r="AH38" s="92"/>
      <c r="AI38" s="49"/>
      <c r="AJ38" s="49"/>
      <c r="AK38" s="49"/>
    </row>
    <row r="39" spans="1:37" x14ac:dyDescent="0.2">
      <c r="A39" s="87" t="s">
        <v>141</v>
      </c>
      <c r="B39" s="70">
        <f t="shared" ref="B39:I39" si="15">B38*B37</f>
        <v>0.95000000000000007</v>
      </c>
      <c r="C39" s="70">
        <f t="shared" si="15"/>
        <v>4.1000000000000005</v>
      </c>
      <c r="D39" s="70">
        <f t="shared" si="15"/>
        <v>5.4</v>
      </c>
      <c r="E39" s="70">
        <f t="shared" si="15"/>
        <v>5.5</v>
      </c>
      <c r="F39" s="70">
        <f t="shared" si="15"/>
        <v>8</v>
      </c>
      <c r="G39" s="70">
        <f t="shared" si="15"/>
        <v>6</v>
      </c>
      <c r="H39" s="70">
        <f t="shared" si="15"/>
        <v>10</v>
      </c>
      <c r="I39" s="70">
        <f t="shared" si="15"/>
        <v>0</v>
      </c>
      <c r="J39" s="70">
        <f>SUM(B39:I39)</f>
        <v>39.950000000000003</v>
      </c>
      <c r="K39" s="86"/>
      <c r="L39" s="87" t="s">
        <v>141</v>
      </c>
      <c r="M39" s="70">
        <f t="shared" ref="M39:V39" si="16">M38*M37</f>
        <v>0.65</v>
      </c>
      <c r="N39" s="70">
        <f t="shared" si="16"/>
        <v>4.1000000000000005</v>
      </c>
      <c r="O39" s="70">
        <f t="shared" si="16"/>
        <v>5</v>
      </c>
      <c r="P39" s="70">
        <f t="shared" si="16"/>
        <v>12</v>
      </c>
      <c r="Q39" s="70">
        <f t="shared" si="16"/>
        <v>21</v>
      </c>
      <c r="R39" s="70">
        <f t="shared" si="16"/>
        <v>12</v>
      </c>
      <c r="S39" s="70">
        <f t="shared" si="16"/>
        <v>25</v>
      </c>
      <c r="T39" s="70">
        <f t="shared" si="16"/>
        <v>60</v>
      </c>
      <c r="U39" s="70">
        <f t="shared" si="16"/>
        <v>100</v>
      </c>
      <c r="V39" s="70">
        <f t="shared" si="16"/>
        <v>150</v>
      </c>
      <c r="W39" s="70">
        <f>SUM(M39:V39)</f>
        <v>389.75</v>
      </c>
      <c r="X39" s="132">
        <f>W39-J39</f>
        <v>349.8</v>
      </c>
      <c r="Y39" s="94">
        <v>123.1</v>
      </c>
      <c r="Z39" s="94">
        <v>46.1</v>
      </c>
      <c r="AA39" s="97">
        <f>X39+Z39</f>
        <v>395.90000000000003</v>
      </c>
      <c r="AB39" s="85">
        <v>123.1</v>
      </c>
      <c r="AC39" s="96">
        <f>Y39-AB39</f>
        <v>0</v>
      </c>
      <c r="AD39" s="96">
        <f>X39-Y39</f>
        <v>226.70000000000002</v>
      </c>
      <c r="AE39" s="85">
        <v>30</v>
      </c>
      <c r="AF39" s="96">
        <f>AD39-AE39</f>
        <v>196.70000000000002</v>
      </c>
      <c r="AG39" s="49"/>
      <c r="AH39" s="98">
        <f>(SUM(Y39:Z39)/(1+10/100))*(10/100)</f>
        <v>15.381818181818179</v>
      </c>
      <c r="AI39" s="49"/>
      <c r="AJ39" s="49"/>
      <c r="AK39" s="49"/>
    </row>
    <row r="41" spans="1:37" x14ac:dyDescent="0.2">
      <c r="A41" s="83" t="s">
        <v>135</v>
      </c>
      <c r="B41" s="84">
        <v>45848</v>
      </c>
      <c r="C41" s="85"/>
      <c r="D41" s="85"/>
      <c r="E41" s="85"/>
      <c r="F41" s="85"/>
      <c r="G41" s="85"/>
      <c r="H41" s="85"/>
      <c r="I41" s="85"/>
      <c r="J41" s="85"/>
      <c r="K41" s="86"/>
      <c r="L41" s="83" t="s">
        <v>136</v>
      </c>
      <c r="M41" s="84">
        <v>45848</v>
      </c>
      <c r="N41" s="85"/>
      <c r="O41" s="85"/>
      <c r="P41" s="85"/>
      <c r="Q41" s="85"/>
      <c r="R41" s="85"/>
      <c r="S41" s="85"/>
      <c r="T41" s="85"/>
      <c r="U41" s="85"/>
      <c r="V41" s="85"/>
      <c r="W41" s="87" t="s">
        <v>141</v>
      </c>
      <c r="X41" s="88" t="s">
        <v>192</v>
      </c>
      <c r="Y41" s="89" t="s">
        <v>142</v>
      </c>
      <c r="Z41" s="90" t="s">
        <v>193</v>
      </c>
      <c r="AA41" s="91" t="s">
        <v>194</v>
      </c>
      <c r="AB41" s="88" t="s">
        <v>288</v>
      </c>
      <c r="AC41" s="87" t="s">
        <v>195</v>
      </c>
      <c r="AD41" s="87" t="s">
        <v>196</v>
      </c>
      <c r="AE41" s="88" t="s">
        <v>197</v>
      </c>
      <c r="AF41" s="87" t="s">
        <v>198</v>
      </c>
      <c r="AG41" s="49"/>
      <c r="AH41" s="92"/>
      <c r="AI41" s="49"/>
      <c r="AJ41" s="49"/>
      <c r="AK41" s="49"/>
    </row>
    <row r="42" spans="1:37" x14ac:dyDescent="0.2">
      <c r="A42" s="87" t="s">
        <v>199</v>
      </c>
      <c r="B42" s="93">
        <v>0.05</v>
      </c>
      <c r="C42" s="93">
        <v>0.1</v>
      </c>
      <c r="D42" s="93">
        <v>0.2</v>
      </c>
      <c r="E42" s="93">
        <v>0.5</v>
      </c>
      <c r="F42" s="93">
        <v>1</v>
      </c>
      <c r="G42" s="93">
        <v>2</v>
      </c>
      <c r="H42" s="93">
        <v>5</v>
      </c>
      <c r="I42" s="93">
        <v>10</v>
      </c>
      <c r="J42" s="49"/>
      <c r="K42" s="86"/>
      <c r="L42" s="87" t="s">
        <v>199</v>
      </c>
      <c r="M42" s="93">
        <v>0.05</v>
      </c>
      <c r="N42" s="93">
        <v>0.1</v>
      </c>
      <c r="O42" s="93">
        <v>0.2</v>
      </c>
      <c r="P42" s="93">
        <v>0.5</v>
      </c>
      <c r="Q42" s="93">
        <v>1</v>
      </c>
      <c r="R42" s="93">
        <v>2</v>
      </c>
      <c r="S42" s="93">
        <v>5</v>
      </c>
      <c r="T42" s="93">
        <v>10</v>
      </c>
      <c r="U42" s="93">
        <v>20</v>
      </c>
      <c r="V42" s="93">
        <v>50</v>
      </c>
      <c r="W42" s="85"/>
      <c r="X42" s="129"/>
      <c r="Y42" s="49"/>
      <c r="Z42" s="94"/>
      <c r="AA42" s="95"/>
      <c r="AB42" s="85"/>
      <c r="AC42" s="85"/>
      <c r="AD42" s="85"/>
      <c r="AE42" s="85"/>
      <c r="AF42" s="85"/>
      <c r="AG42" s="49"/>
      <c r="AH42" s="92"/>
      <c r="AI42" s="49"/>
      <c r="AJ42" s="49"/>
      <c r="AK42" s="49"/>
    </row>
    <row r="43" spans="1:37" x14ac:dyDescent="0.2">
      <c r="A43" s="87" t="s">
        <v>200</v>
      </c>
      <c r="B43" s="38">
        <v>13</v>
      </c>
      <c r="C43" s="38">
        <v>41</v>
      </c>
      <c r="D43" s="49">
        <v>25</v>
      </c>
      <c r="E43" s="49">
        <v>10</v>
      </c>
      <c r="F43" s="85">
        <v>8</v>
      </c>
      <c r="G43" s="85">
        <v>4</v>
      </c>
      <c r="H43" s="85">
        <v>2</v>
      </c>
      <c r="I43" s="85"/>
      <c r="J43" s="85"/>
      <c r="K43" s="86"/>
      <c r="L43" s="87" t="s">
        <v>200</v>
      </c>
      <c r="M43" s="38">
        <v>16</v>
      </c>
      <c r="N43" s="38">
        <v>46</v>
      </c>
      <c r="O43" s="49">
        <v>22</v>
      </c>
      <c r="P43" s="49">
        <v>10</v>
      </c>
      <c r="Q43" s="85">
        <v>7</v>
      </c>
      <c r="R43" s="85">
        <v>4</v>
      </c>
      <c r="S43" s="85">
        <v>4</v>
      </c>
      <c r="T43" s="85">
        <v>5</v>
      </c>
      <c r="U43" s="85">
        <v>8</v>
      </c>
      <c r="V43" s="85">
        <v>1</v>
      </c>
      <c r="W43" s="85"/>
      <c r="X43" s="129"/>
      <c r="Y43" s="49"/>
      <c r="Z43" s="94"/>
      <c r="AA43" s="95"/>
      <c r="AB43" s="85"/>
      <c r="AC43" s="85"/>
      <c r="AD43" s="85"/>
      <c r="AE43" s="85"/>
      <c r="AF43" s="85"/>
      <c r="AG43" s="49"/>
      <c r="AH43" s="92"/>
      <c r="AI43" s="49"/>
      <c r="AJ43" s="49"/>
      <c r="AK43" s="49"/>
    </row>
    <row r="44" spans="1:37" x14ac:dyDescent="0.2">
      <c r="A44" s="87" t="s">
        <v>141</v>
      </c>
      <c r="B44" s="70">
        <f t="shared" ref="B44:I44" si="17">B43*B42</f>
        <v>0.65</v>
      </c>
      <c r="C44" s="70">
        <f t="shared" si="17"/>
        <v>4.1000000000000005</v>
      </c>
      <c r="D44" s="70">
        <f t="shared" si="17"/>
        <v>5</v>
      </c>
      <c r="E44" s="70">
        <f t="shared" si="17"/>
        <v>5</v>
      </c>
      <c r="F44" s="70">
        <f t="shared" si="17"/>
        <v>8</v>
      </c>
      <c r="G44" s="70">
        <f t="shared" si="17"/>
        <v>8</v>
      </c>
      <c r="H44" s="70">
        <f t="shared" si="17"/>
        <v>10</v>
      </c>
      <c r="I44" s="70">
        <f t="shared" si="17"/>
        <v>0</v>
      </c>
      <c r="J44" s="70">
        <f>SUM(B44:I44)</f>
        <v>40.75</v>
      </c>
      <c r="K44" s="86"/>
      <c r="L44" s="87" t="s">
        <v>141</v>
      </c>
      <c r="M44" s="70">
        <f t="shared" ref="M44:V44" si="18">M43*M42</f>
        <v>0.8</v>
      </c>
      <c r="N44" s="70">
        <f t="shared" si="18"/>
        <v>4.6000000000000005</v>
      </c>
      <c r="O44" s="70">
        <f t="shared" si="18"/>
        <v>4.4000000000000004</v>
      </c>
      <c r="P44" s="70">
        <f t="shared" si="18"/>
        <v>5</v>
      </c>
      <c r="Q44" s="70">
        <f t="shared" si="18"/>
        <v>7</v>
      </c>
      <c r="R44" s="70">
        <f t="shared" si="18"/>
        <v>8</v>
      </c>
      <c r="S44" s="70">
        <f t="shared" si="18"/>
        <v>20</v>
      </c>
      <c r="T44" s="70">
        <f t="shared" si="18"/>
        <v>50</v>
      </c>
      <c r="U44" s="70">
        <f t="shared" si="18"/>
        <v>160</v>
      </c>
      <c r="V44" s="70">
        <f t="shared" si="18"/>
        <v>50</v>
      </c>
      <c r="W44" s="70">
        <f>SUM(M44:V44)</f>
        <v>309.8</v>
      </c>
      <c r="X44" s="132">
        <f>W44-J44</f>
        <v>269.05</v>
      </c>
      <c r="Y44" s="94">
        <v>115.1</v>
      </c>
      <c r="Z44" s="94">
        <v>65.400000000000006</v>
      </c>
      <c r="AA44" s="97">
        <f>X44+Z44</f>
        <v>334.45000000000005</v>
      </c>
      <c r="AB44" s="85">
        <v>76</v>
      </c>
      <c r="AC44" s="96">
        <f>Y44-AB44</f>
        <v>39.099999999999994</v>
      </c>
      <c r="AD44" s="96">
        <f>X44-Y44</f>
        <v>153.95000000000002</v>
      </c>
      <c r="AE44" s="85">
        <v>20</v>
      </c>
      <c r="AF44" s="96">
        <f>AD44-AE44</f>
        <v>133.95000000000002</v>
      </c>
      <c r="AG44" s="49"/>
      <c r="AH44" s="98">
        <f>(SUM(Y44:Z44)/(1+10/100))*(10/100)</f>
        <v>16.409090909090907</v>
      </c>
      <c r="AI44" s="49"/>
      <c r="AJ44" s="49"/>
      <c r="AK44" s="49"/>
    </row>
    <row r="46" spans="1:37" x14ac:dyDescent="0.2">
      <c r="A46" s="83" t="s">
        <v>135</v>
      </c>
      <c r="B46" s="84">
        <v>45849</v>
      </c>
      <c r="C46" s="85"/>
      <c r="D46" s="85"/>
      <c r="E46" s="85"/>
      <c r="F46" s="85"/>
      <c r="G46" s="85"/>
      <c r="H46" s="85"/>
      <c r="I46" s="85"/>
      <c r="J46" s="85"/>
      <c r="K46" s="86"/>
      <c r="L46" s="83" t="s">
        <v>136</v>
      </c>
      <c r="M46" s="84">
        <v>45849</v>
      </c>
      <c r="N46" s="85"/>
      <c r="O46" s="85"/>
      <c r="P46" s="85"/>
      <c r="Q46" s="85"/>
      <c r="R46" s="85"/>
      <c r="S46" s="85"/>
      <c r="T46" s="85"/>
      <c r="U46" s="85"/>
      <c r="V46" s="85"/>
      <c r="W46" s="87" t="s">
        <v>141</v>
      </c>
      <c r="X46" s="88" t="s">
        <v>192</v>
      </c>
      <c r="Y46" s="89" t="s">
        <v>142</v>
      </c>
      <c r="Z46" s="90" t="s">
        <v>193</v>
      </c>
      <c r="AA46" s="91" t="s">
        <v>194</v>
      </c>
      <c r="AB46" s="88" t="s">
        <v>288</v>
      </c>
      <c r="AC46" s="87" t="s">
        <v>195</v>
      </c>
      <c r="AD46" s="87" t="s">
        <v>196</v>
      </c>
      <c r="AE46" s="88" t="s">
        <v>197</v>
      </c>
      <c r="AF46" s="87" t="s">
        <v>198</v>
      </c>
      <c r="AG46" s="49"/>
      <c r="AH46" s="92"/>
      <c r="AI46" s="49"/>
      <c r="AJ46" s="49"/>
      <c r="AK46" s="49"/>
    </row>
    <row r="47" spans="1:37" x14ac:dyDescent="0.2">
      <c r="A47" s="87" t="s">
        <v>199</v>
      </c>
      <c r="B47" s="93">
        <v>0.05</v>
      </c>
      <c r="C47" s="93">
        <v>0.1</v>
      </c>
      <c r="D47" s="93">
        <v>0.2</v>
      </c>
      <c r="E47" s="93">
        <v>0.5</v>
      </c>
      <c r="F47" s="93">
        <v>1</v>
      </c>
      <c r="G47" s="93">
        <v>2</v>
      </c>
      <c r="H47" s="93">
        <v>5</v>
      </c>
      <c r="I47" s="93">
        <v>10</v>
      </c>
      <c r="J47" s="49"/>
      <c r="K47" s="86"/>
      <c r="L47" s="87" t="s">
        <v>199</v>
      </c>
      <c r="M47" s="93">
        <v>0.05</v>
      </c>
      <c r="N47" s="93">
        <v>0.1</v>
      </c>
      <c r="O47" s="93">
        <v>0.2</v>
      </c>
      <c r="P47" s="93">
        <v>0.5</v>
      </c>
      <c r="Q47" s="93">
        <v>1</v>
      </c>
      <c r="R47" s="93">
        <v>2</v>
      </c>
      <c r="S47" s="93">
        <v>5</v>
      </c>
      <c r="T47" s="93">
        <v>10</v>
      </c>
      <c r="U47" s="93">
        <v>20</v>
      </c>
      <c r="V47" s="93">
        <v>50</v>
      </c>
      <c r="W47" s="85"/>
      <c r="X47" s="129"/>
      <c r="Y47" s="49"/>
      <c r="Z47" s="94"/>
      <c r="AA47" s="95"/>
      <c r="AB47" s="85"/>
      <c r="AC47" s="85"/>
      <c r="AD47" s="85"/>
      <c r="AE47" s="85"/>
      <c r="AF47" s="85"/>
      <c r="AG47" s="49"/>
      <c r="AH47" s="92"/>
      <c r="AI47" s="49"/>
      <c r="AJ47" s="49"/>
      <c r="AK47" s="49"/>
    </row>
    <row r="48" spans="1:37" x14ac:dyDescent="0.2">
      <c r="A48" s="87" t="s">
        <v>200</v>
      </c>
      <c r="B48" s="38">
        <v>16</v>
      </c>
      <c r="C48" s="38">
        <v>46</v>
      </c>
      <c r="D48" s="49">
        <v>22</v>
      </c>
      <c r="E48" s="49">
        <v>10</v>
      </c>
      <c r="F48" s="85">
        <v>7</v>
      </c>
      <c r="G48" s="85">
        <v>4</v>
      </c>
      <c r="H48" s="85">
        <v>2</v>
      </c>
      <c r="I48" s="85"/>
      <c r="J48" s="85"/>
      <c r="K48" s="86"/>
      <c r="L48" s="87" t="s">
        <v>200</v>
      </c>
      <c r="M48" s="38">
        <v>17</v>
      </c>
      <c r="N48" s="38">
        <v>48</v>
      </c>
      <c r="O48" s="49">
        <v>17</v>
      </c>
      <c r="P48" s="49">
        <v>17</v>
      </c>
      <c r="Q48" s="85">
        <v>13</v>
      </c>
      <c r="R48" s="85">
        <v>18</v>
      </c>
      <c r="S48" s="85">
        <v>12</v>
      </c>
      <c r="T48" s="85">
        <v>3</v>
      </c>
      <c r="U48" s="85">
        <v>5</v>
      </c>
      <c r="V48" s="85">
        <v>1</v>
      </c>
      <c r="W48" s="85"/>
      <c r="X48" s="129"/>
      <c r="Y48" s="49"/>
      <c r="Z48" s="94"/>
      <c r="AA48" s="95"/>
      <c r="AB48" s="85"/>
      <c r="AC48" s="85"/>
      <c r="AD48" s="85"/>
      <c r="AE48" s="85"/>
      <c r="AF48" s="85"/>
      <c r="AG48" s="49"/>
      <c r="AH48" s="92"/>
      <c r="AI48" s="49"/>
      <c r="AJ48" s="49"/>
      <c r="AK48" s="49"/>
    </row>
    <row r="49" spans="1:37" x14ac:dyDescent="0.2">
      <c r="A49" s="87" t="s">
        <v>141</v>
      </c>
      <c r="B49" s="70">
        <f t="shared" ref="B49:I49" si="19">B48*B47</f>
        <v>0.8</v>
      </c>
      <c r="C49" s="70">
        <f t="shared" si="19"/>
        <v>4.6000000000000005</v>
      </c>
      <c r="D49" s="70">
        <f t="shared" si="19"/>
        <v>4.4000000000000004</v>
      </c>
      <c r="E49" s="70">
        <f t="shared" si="19"/>
        <v>5</v>
      </c>
      <c r="F49" s="70">
        <f t="shared" si="19"/>
        <v>7</v>
      </c>
      <c r="G49" s="70">
        <f t="shared" si="19"/>
        <v>8</v>
      </c>
      <c r="H49" s="70">
        <f t="shared" si="19"/>
        <v>10</v>
      </c>
      <c r="I49" s="70">
        <f t="shared" si="19"/>
        <v>0</v>
      </c>
      <c r="J49" s="70">
        <f>SUM(B49:I49)</f>
        <v>39.799999999999997</v>
      </c>
      <c r="K49" s="86"/>
      <c r="L49" s="87" t="s">
        <v>141</v>
      </c>
      <c r="M49" s="70">
        <f t="shared" ref="M49:V49" si="20">M48*M47</f>
        <v>0.85000000000000009</v>
      </c>
      <c r="N49" s="70">
        <f t="shared" si="20"/>
        <v>4.8000000000000007</v>
      </c>
      <c r="O49" s="70">
        <f t="shared" si="20"/>
        <v>3.4000000000000004</v>
      </c>
      <c r="P49" s="70">
        <f t="shared" si="20"/>
        <v>8.5</v>
      </c>
      <c r="Q49" s="70">
        <f t="shared" si="20"/>
        <v>13</v>
      </c>
      <c r="R49" s="70">
        <f t="shared" si="20"/>
        <v>36</v>
      </c>
      <c r="S49" s="70">
        <f t="shared" si="20"/>
        <v>60</v>
      </c>
      <c r="T49" s="70">
        <f t="shared" si="20"/>
        <v>30</v>
      </c>
      <c r="U49" s="70">
        <f t="shared" si="20"/>
        <v>100</v>
      </c>
      <c r="V49" s="70">
        <f t="shared" si="20"/>
        <v>50</v>
      </c>
      <c r="W49" s="70">
        <f>SUM(M49:V49)</f>
        <v>306.55</v>
      </c>
      <c r="X49" s="132">
        <f>W49-J49</f>
        <v>266.75</v>
      </c>
      <c r="Y49" s="94">
        <v>103.1</v>
      </c>
      <c r="Z49" s="94">
        <v>60.4</v>
      </c>
      <c r="AA49" s="97">
        <f>X49+Z49</f>
        <v>327.14999999999998</v>
      </c>
      <c r="AB49" s="85">
        <v>103.1</v>
      </c>
      <c r="AC49" s="96">
        <f>Y49-AB49</f>
        <v>0</v>
      </c>
      <c r="AD49" s="96">
        <f>X49-Y49</f>
        <v>163.65</v>
      </c>
      <c r="AE49" s="85">
        <v>23</v>
      </c>
      <c r="AF49" s="96">
        <f>AD49-AE49</f>
        <v>140.65</v>
      </c>
      <c r="AG49" s="49"/>
      <c r="AH49" s="98">
        <f>(SUM(Y49:Z49)/(1+10/100))*(10/100)</f>
        <v>14.863636363636363</v>
      </c>
      <c r="AI49" s="108"/>
      <c r="AJ49" s="45"/>
    </row>
    <row r="50" spans="1:37" x14ac:dyDescent="0.2">
      <c r="AG50" s="38"/>
    </row>
    <row r="51" spans="1:37" x14ac:dyDescent="0.2">
      <c r="A51" s="83" t="s">
        <v>135</v>
      </c>
      <c r="B51" s="84">
        <v>45850</v>
      </c>
      <c r="C51" s="85"/>
      <c r="D51" s="85"/>
      <c r="E51" s="85"/>
      <c r="F51" s="85"/>
      <c r="G51" s="85"/>
      <c r="H51" s="85"/>
      <c r="I51" s="85"/>
      <c r="J51" s="85"/>
      <c r="K51" s="86"/>
      <c r="L51" s="83" t="s">
        <v>136</v>
      </c>
      <c r="M51" s="84">
        <v>45850</v>
      </c>
      <c r="N51" s="85"/>
      <c r="O51" s="85"/>
      <c r="P51" s="85"/>
      <c r="Q51" s="85"/>
      <c r="R51" s="85"/>
      <c r="S51" s="85"/>
      <c r="T51" s="85"/>
      <c r="U51" s="85"/>
      <c r="V51" s="85"/>
      <c r="W51" s="87" t="s">
        <v>141</v>
      </c>
      <c r="X51" s="88" t="s">
        <v>192</v>
      </c>
      <c r="Y51" s="89" t="s">
        <v>142</v>
      </c>
      <c r="Z51" s="90" t="s">
        <v>193</v>
      </c>
      <c r="AA51" s="91" t="s">
        <v>194</v>
      </c>
      <c r="AB51" s="88" t="s">
        <v>288</v>
      </c>
      <c r="AC51" s="87" t="s">
        <v>195</v>
      </c>
      <c r="AD51" s="87" t="s">
        <v>196</v>
      </c>
      <c r="AE51" s="88" t="s">
        <v>197</v>
      </c>
      <c r="AF51" s="87" t="s">
        <v>198</v>
      </c>
      <c r="AG51" s="49"/>
      <c r="AH51" s="92"/>
      <c r="AI51" s="49"/>
      <c r="AJ51" s="49"/>
      <c r="AK51" s="49"/>
    </row>
    <row r="52" spans="1:37" x14ac:dyDescent="0.2">
      <c r="A52" s="87" t="s">
        <v>199</v>
      </c>
      <c r="B52" s="93">
        <v>0.05</v>
      </c>
      <c r="C52" s="93">
        <v>0.1</v>
      </c>
      <c r="D52" s="93">
        <v>0.2</v>
      </c>
      <c r="E52" s="93">
        <v>0.5</v>
      </c>
      <c r="F52" s="93">
        <v>1</v>
      </c>
      <c r="G52" s="93">
        <v>2</v>
      </c>
      <c r="H52" s="93">
        <v>5</v>
      </c>
      <c r="I52" s="93">
        <v>10</v>
      </c>
      <c r="J52" s="49"/>
      <c r="K52" s="86"/>
      <c r="L52" s="87" t="s">
        <v>199</v>
      </c>
      <c r="M52" s="93">
        <v>0.05</v>
      </c>
      <c r="N52" s="93">
        <v>0.1</v>
      </c>
      <c r="O52" s="93">
        <v>0.2</v>
      </c>
      <c r="P52" s="93">
        <v>0.5</v>
      </c>
      <c r="Q52" s="93">
        <v>1</v>
      </c>
      <c r="R52" s="93">
        <v>2</v>
      </c>
      <c r="S52" s="93">
        <v>5</v>
      </c>
      <c r="T52" s="93">
        <v>10</v>
      </c>
      <c r="U52" s="93">
        <v>20</v>
      </c>
      <c r="V52" s="93">
        <v>50</v>
      </c>
      <c r="W52" s="85"/>
      <c r="X52" s="129"/>
      <c r="Y52" s="49"/>
      <c r="Z52" s="94"/>
      <c r="AA52" s="95"/>
      <c r="AB52" s="85"/>
      <c r="AC52" s="85"/>
      <c r="AD52" s="85"/>
      <c r="AE52" s="85"/>
      <c r="AF52" s="85"/>
      <c r="AG52" s="49"/>
      <c r="AH52" s="92"/>
      <c r="AI52" s="49"/>
      <c r="AJ52" s="49"/>
      <c r="AK52" s="49"/>
    </row>
    <row r="53" spans="1:37" x14ac:dyDescent="0.2">
      <c r="A53" s="87" t="s">
        <v>200</v>
      </c>
      <c r="B53" s="38">
        <v>17</v>
      </c>
      <c r="C53" s="38">
        <v>48</v>
      </c>
      <c r="D53" s="49">
        <v>17</v>
      </c>
      <c r="E53" s="49">
        <v>10</v>
      </c>
      <c r="F53" s="85">
        <v>10</v>
      </c>
      <c r="G53" s="85">
        <v>5</v>
      </c>
      <c r="H53" s="85">
        <v>2</v>
      </c>
      <c r="I53" s="85"/>
      <c r="J53" s="85"/>
      <c r="K53" s="86"/>
      <c r="L53" s="87" t="s">
        <v>200</v>
      </c>
      <c r="M53" s="38">
        <v>23</v>
      </c>
      <c r="N53" s="38">
        <v>60</v>
      </c>
      <c r="O53" s="49">
        <v>24</v>
      </c>
      <c r="P53" s="49">
        <v>7</v>
      </c>
      <c r="Q53" s="85">
        <v>6</v>
      </c>
      <c r="R53" s="85">
        <v>4</v>
      </c>
      <c r="S53" s="85">
        <v>4</v>
      </c>
      <c r="T53" s="85">
        <v>1</v>
      </c>
      <c r="U53" s="85">
        <v>4</v>
      </c>
      <c r="V53" s="85">
        <v>1</v>
      </c>
      <c r="W53" s="85"/>
      <c r="X53" s="129"/>
      <c r="Y53" s="49"/>
      <c r="Z53" s="94"/>
      <c r="AA53" s="95"/>
      <c r="AB53" s="85"/>
      <c r="AC53" s="85"/>
      <c r="AD53" s="85"/>
      <c r="AE53" s="85"/>
      <c r="AF53" s="85"/>
      <c r="AG53" s="49"/>
      <c r="AH53" s="92"/>
      <c r="AI53" s="49"/>
      <c r="AJ53" s="49"/>
      <c r="AK53" s="49"/>
    </row>
    <row r="54" spans="1:37" x14ac:dyDescent="0.2">
      <c r="A54" s="87" t="s">
        <v>141</v>
      </c>
      <c r="B54" s="70">
        <f t="shared" ref="B54:I54" si="21">B53*B52</f>
        <v>0.85000000000000009</v>
      </c>
      <c r="C54" s="70">
        <f t="shared" si="21"/>
        <v>4.8000000000000007</v>
      </c>
      <c r="D54" s="70">
        <f t="shared" si="21"/>
        <v>3.4000000000000004</v>
      </c>
      <c r="E54" s="70">
        <f t="shared" si="21"/>
        <v>5</v>
      </c>
      <c r="F54" s="70">
        <f t="shared" si="21"/>
        <v>10</v>
      </c>
      <c r="G54" s="70">
        <f t="shared" si="21"/>
        <v>10</v>
      </c>
      <c r="H54" s="70">
        <f t="shared" si="21"/>
        <v>10</v>
      </c>
      <c r="I54" s="70">
        <f t="shared" si="21"/>
        <v>0</v>
      </c>
      <c r="J54" s="70">
        <f>SUM(B54:I54)</f>
        <v>44.05</v>
      </c>
      <c r="K54" s="86"/>
      <c r="L54" s="87" t="s">
        <v>141</v>
      </c>
      <c r="M54" s="70">
        <f t="shared" ref="M54:V54" si="22">M53*M52</f>
        <v>1.1500000000000001</v>
      </c>
      <c r="N54" s="70">
        <f t="shared" si="22"/>
        <v>6</v>
      </c>
      <c r="O54" s="70">
        <f t="shared" si="22"/>
        <v>4.8000000000000007</v>
      </c>
      <c r="P54" s="70">
        <f t="shared" si="22"/>
        <v>3.5</v>
      </c>
      <c r="Q54" s="70">
        <f t="shared" si="22"/>
        <v>6</v>
      </c>
      <c r="R54" s="70">
        <f t="shared" si="22"/>
        <v>8</v>
      </c>
      <c r="S54" s="70">
        <f t="shared" si="22"/>
        <v>20</v>
      </c>
      <c r="T54" s="70">
        <f t="shared" si="22"/>
        <v>10</v>
      </c>
      <c r="U54" s="70">
        <f t="shared" si="22"/>
        <v>80</v>
      </c>
      <c r="V54" s="70">
        <f t="shared" si="22"/>
        <v>50</v>
      </c>
      <c r="W54" s="70">
        <f>SUM(M54:V54)</f>
        <v>189.45</v>
      </c>
      <c r="X54" s="132">
        <f>W54-J54</f>
        <v>145.39999999999998</v>
      </c>
      <c r="Y54" s="94">
        <v>62.3</v>
      </c>
      <c r="Z54" s="94">
        <v>44</v>
      </c>
      <c r="AA54" s="97">
        <f>X54+Z54</f>
        <v>189.39999999999998</v>
      </c>
      <c r="AB54" s="85">
        <v>62.3</v>
      </c>
      <c r="AC54" s="96">
        <f>Y54-AB54</f>
        <v>0</v>
      </c>
      <c r="AD54" s="96">
        <f>X54-Y54</f>
        <v>83.09999999999998</v>
      </c>
      <c r="AE54" s="85"/>
      <c r="AF54" s="96">
        <f>AD54-AE54</f>
        <v>83.09999999999998</v>
      </c>
      <c r="AG54" s="49"/>
      <c r="AH54" s="98">
        <f>(SUM(Y54:Z54)/(1+10/100))*(10/100)</f>
        <v>9.663636363636364</v>
      </c>
      <c r="AI54" s="49"/>
      <c r="AJ54" s="49"/>
      <c r="AK54" s="49"/>
    </row>
    <row r="56" spans="1:37" x14ac:dyDescent="0.2">
      <c r="A56" s="83" t="s">
        <v>135</v>
      </c>
      <c r="B56" s="84">
        <v>45852</v>
      </c>
      <c r="C56" s="85"/>
      <c r="D56" s="85"/>
      <c r="E56" s="85"/>
      <c r="F56" s="85"/>
      <c r="G56" s="85"/>
      <c r="H56" s="85"/>
      <c r="I56" s="85"/>
      <c r="J56" s="85"/>
      <c r="K56" s="86"/>
      <c r="L56" s="83" t="s">
        <v>136</v>
      </c>
      <c r="M56" s="84">
        <v>45852</v>
      </c>
      <c r="N56" s="85"/>
      <c r="O56" s="85"/>
      <c r="P56" s="85"/>
      <c r="Q56" s="85"/>
      <c r="R56" s="85"/>
      <c r="S56" s="85"/>
      <c r="T56" s="85"/>
      <c r="U56" s="85"/>
      <c r="V56" s="85"/>
      <c r="W56" s="87" t="s">
        <v>141</v>
      </c>
      <c r="X56" s="88" t="s">
        <v>192</v>
      </c>
      <c r="Y56" s="89" t="s">
        <v>142</v>
      </c>
      <c r="Z56" s="90" t="s">
        <v>193</v>
      </c>
      <c r="AA56" s="91" t="s">
        <v>194</v>
      </c>
      <c r="AB56" s="88" t="s">
        <v>288</v>
      </c>
      <c r="AC56" s="87" t="s">
        <v>195</v>
      </c>
      <c r="AD56" s="87" t="s">
        <v>196</v>
      </c>
      <c r="AE56" s="88" t="s">
        <v>197</v>
      </c>
      <c r="AF56" s="87" t="s">
        <v>198</v>
      </c>
      <c r="AG56" s="49"/>
      <c r="AH56" s="92"/>
      <c r="AI56" s="49"/>
      <c r="AJ56" s="49"/>
      <c r="AK56" s="49"/>
    </row>
    <row r="57" spans="1:37" x14ac:dyDescent="0.2">
      <c r="A57" s="87" t="s">
        <v>199</v>
      </c>
      <c r="B57" s="93">
        <v>0.05</v>
      </c>
      <c r="C57" s="93">
        <v>0.1</v>
      </c>
      <c r="D57" s="93">
        <v>0.2</v>
      </c>
      <c r="E57" s="93">
        <v>0.5</v>
      </c>
      <c r="F57" s="93">
        <v>1</v>
      </c>
      <c r="G57" s="93">
        <v>2</v>
      </c>
      <c r="H57" s="93">
        <v>5</v>
      </c>
      <c r="I57" s="93">
        <v>10</v>
      </c>
      <c r="J57" s="49"/>
      <c r="K57" s="86"/>
      <c r="L57" s="87" t="s">
        <v>199</v>
      </c>
      <c r="M57" s="93">
        <v>0.05</v>
      </c>
      <c r="N57" s="93">
        <v>0.1</v>
      </c>
      <c r="O57" s="93">
        <v>0.2</v>
      </c>
      <c r="P57" s="93">
        <v>0.5</v>
      </c>
      <c r="Q57" s="93">
        <v>1</v>
      </c>
      <c r="R57" s="93">
        <v>2</v>
      </c>
      <c r="S57" s="93">
        <v>5</v>
      </c>
      <c r="T57" s="93">
        <v>10</v>
      </c>
      <c r="U57" s="93">
        <v>20</v>
      </c>
      <c r="V57" s="93">
        <v>50</v>
      </c>
      <c r="W57" s="85"/>
      <c r="X57" s="129"/>
      <c r="Y57" s="49"/>
      <c r="Z57" s="94"/>
      <c r="AA57" s="95"/>
      <c r="AB57" s="85"/>
      <c r="AC57" s="85"/>
      <c r="AD57" s="85"/>
      <c r="AE57" s="85"/>
      <c r="AF57" s="85"/>
      <c r="AG57" s="49"/>
      <c r="AH57" s="92"/>
      <c r="AI57" s="49"/>
      <c r="AJ57" s="49"/>
      <c r="AK57" s="49"/>
    </row>
    <row r="58" spans="1:37" x14ac:dyDescent="0.2">
      <c r="A58" s="87" t="s">
        <v>200</v>
      </c>
      <c r="B58" s="38">
        <v>17</v>
      </c>
      <c r="C58" s="38">
        <v>60</v>
      </c>
      <c r="D58" s="49">
        <v>24</v>
      </c>
      <c r="E58" s="49">
        <v>7</v>
      </c>
      <c r="F58" s="85">
        <v>6</v>
      </c>
      <c r="G58" s="85">
        <v>4</v>
      </c>
      <c r="H58" s="85">
        <v>2</v>
      </c>
      <c r="I58" s="85"/>
      <c r="J58" s="85"/>
      <c r="K58" s="86"/>
      <c r="L58" s="87" t="s">
        <v>200</v>
      </c>
      <c r="M58" s="38">
        <v>23</v>
      </c>
      <c r="N58" s="38">
        <v>68</v>
      </c>
      <c r="O58" s="49">
        <v>14</v>
      </c>
      <c r="P58" s="49">
        <v>7</v>
      </c>
      <c r="Q58" s="85">
        <v>17</v>
      </c>
      <c r="R58" s="85">
        <v>2</v>
      </c>
      <c r="S58" s="85">
        <v>5</v>
      </c>
      <c r="T58" s="85">
        <v>8</v>
      </c>
      <c r="U58" s="85">
        <v>5</v>
      </c>
      <c r="V58" s="85">
        <v>1</v>
      </c>
      <c r="W58" s="85"/>
      <c r="X58" s="129"/>
      <c r="Y58" s="49"/>
      <c r="Z58" s="94"/>
      <c r="AA58" s="95"/>
      <c r="AB58" s="85"/>
      <c r="AC58" s="85"/>
      <c r="AD58" s="85"/>
      <c r="AE58" s="85"/>
      <c r="AF58" s="85"/>
      <c r="AG58" s="49"/>
      <c r="AH58" s="92"/>
      <c r="AI58" s="49"/>
      <c r="AJ58" s="49"/>
      <c r="AK58" s="49"/>
    </row>
    <row r="59" spans="1:37" x14ac:dyDescent="0.2">
      <c r="A59" s="87" t="s">
        <v>141</v>
      </c>
      <c r="B59" s="70">
        <f t="shared" ref="B59:I59" si="23">B58*B57</f>
        <v>0.85000000000000009</v>
      </c>
      <c r="C59" s="70">
        <f t="shared" si="23"/>
        <v>6</v>
      </c>
      <c r="D59" s="70">
        <f t="shared" si="23"/>
        <v>4.8000000000000007</v>
      </c>
      <c r="E59" s="70">
        <f t="shared" si="23"/>
        <v>3.5</v>
      </c>
      <c r="F59" s="70">
        <f t="shared" si="23"/>
        <v>6</v>
      </c>
      <c r="G59" s="70">
        <f t="shared" si="23"/>
        <v>8</v>
      </c>
      <c r="H59" s="70">
        <f t="shared" si="23"/>
        <v>10</v>
      </c>
      <c r="I59" s="70">
        <f t="shared" si="23"/>
        <v>0</v>
      </c>
      <c r="J59" s="70">
        <f>SUM(B59:I59)</f>
        <v>39.15</v>
      </c>
      <c r="K59" s="86"/>
      <c r="L59" s="87" t="s">
        <v>141</v>
      </c>
      <c r="M59" s="70">
        <f t="shared" ref="M59:V59" si="24">M58*M57</f>
        <v>1.1500000000000001</v>
      </c>
      <c r="N59" s="70">
        <f t="shared" si="24"/>
        <v>6.8000000000000007</v>
      </c>
      <c r="O59" s="70">
        <f t="shared" si="24"/>
        <v>2.8000000000000003</v>
      </c>
      <c r="P59" s="70">
        <f t="shared" si="24"/>
        <v>3.5</v>
      </c>
      <c r="Q59" s="70">
        <f t="shared" si="24"/>
        <v>17</v>
      </c>
      <c r="R59" s="70">
        <f t="shared" si="24"/>
        <v>4</v>
      </c>
      <c r="S59" s="70">
        <f t="shared" si="24"/>
        <v>25</v>
      </c>
      <c r="T59" s="70">
        <f t="shared" si="24"/>
        <v>80</v>
      </c>
      <c r="U59" s="70">
        <f t="shared" si="24"/>
        <v>100</v>
      </c>
      <c r="V59" s="70">
        <f t="shared" si="24"/>
        <v>50</v>
      </c>
      <c r="W59" s="70">
        <f>SUM(M59:V59)</f>
        <v>290.25</v>
      </c>
      <c r="X59" s="132">
        <f>W59-J59</f>
        <v>251.1</v>
      </c>
      <c r="Y59" s="111">
        <v>101.4</v>
      </c>
      <c r="Z59" s="112">
        <v>59.2</v>
      </c>
      <c r="AA59" s="97">
        <f>X59+Z59</f>
        <v>310.3</v>
      </c>
      <c r="AB59" s="85">
        <v>81</v>
      </c>
      <c r="AC59" s="96">
        <f>Y59-AB59</f>
        <v>20.400000000000006</v>
      </c>
      <c r="AD59" s="96">
        <f>X59-Y59</f>
        <v>149.69999999999999</v>
      </c>
      <c r="AE59" s="85">
        <v>34</v>
      </c>
      <c r="AF59" s="96">
        <f>AD59-AE59</f>
        <v>115.69999999999999</v>
      </c>
      <c r="AG59" s="49"/>
      <c r="AH59" s="98">
        <f>(SUM(Y59:Z59)/(1+10/100))*(10/100)</f>
        <v>14.600000000000001</v>
      </c>
      <c r="AI59" s="49"/>
      <c r="AJ59" s="49"/>
      <c r="AK59" s="49"/>
    </row>
    <row r="61" spans="1:37" x14ac:dyDescent="0.2">
      <c r="A61" s="83" t="s">
        <v>135</v>
      </c>
      <c r="B61" s="84">
        <v>45853</v>
      </c>
      <c r="C61" s="85"/>
      <c r="D61" s="85"/>
      <c r="E61" s="85"/>
      <c r="F61" s="85"/>
      <c r="G61" s="85"/>
      <c r="H61" s="85"/>
      <c r="I61" s="85"/>
      <c r="J61" s="85"/>
      <c r="K61" s="86"/>
      <c r="L61" s="83" t="s">
        <v>136</v>
      </c>
      <c r="M61" s="84">
        <v>45853</v>
      </c>
      <c r="N61" s="85"/>
      <c r="O61" s="85"/>
      <c r="P61" s="85"/>
      <c r="Q61" s="85"/>
      <c r="R61" s="85"/>
      <c r="S61" s="85"/>
      <c r="T61" s="85"/>
      <c r="U61" s="85"/>
      <c r="V61" s="85"/>
      <c r="W61" s="87" t="s">
        <v>141</v>
      </c>
      <c r="X61" s="88" t="s">
        <v>192</v>
      </c>
      <c r="Y61" s="89" t="s">
        <v>142</v>
      </c>
      <c r="Z61" s="90" t="s">
        <v>193</v>
      </c>
      <c r="AA61" s="91" t="s">
        <v>194</v>
      </c>
      <c r="AB61" s="88" t="s">
        <v>288</v>
      </c>
      <c r="AC61" s="87" t="s">
        <v>195</v>
      </c>
      <c r="AD61" s="87" t="s">
        <v>196</v>
      </c>
      <c r="AE61" s="88" t="s">
        <v>197</v>
      </c>
      <c r="AF61" s="87" t="s">
        <v>198</v>
      </c>
      <c r="AG61" s="49"/>
      <c r="AH61" s="92"/>
      <c r="AI61" s="49"/>
      <c r="AJ61" s="49"/>
      <c r="AK61" s="49"/>
    </row>
    <row r="62" spans="1:37" x14ac:dyDescent="0.2">
      <c r="A62" s="87" t="s">
        <v>199</v>
      </c>
      <c r="B62" s="93">
        <v>0.05</v>
      </c>
      <c r="C62" s="93">
        <v>0.1</v>
      </c>
      <c r="D62" s="93">
        <v>0.2</v>
      </c>
      <c r="E62" s="93">
        <v>0.5</v>
      </c>
      <c r="F62" s="93">
        <v>1</v>
      </c>
      <c r="G62" s="93">
        <v>2</v>
      </c>
      <c r="H62" s="93">
        <v>5</v>
      </c>
      <c r="I62" s="93">
        <v>10</v>
      </c>
      <c r="J62" s="49"/>
      <c r="K62" s="86"/>
      <c r="L62" s="87" t="s">
        <v>199</v>
      </c>
      <c r="M62" s="93">
        <v>0.05</v>
      </c>
      <c r="N62" s="93">
        <v>0.1</v>
      </c>
      <c r="O62" s="93">
        <v>0.2</v>
      </c>
      <c r="P62" s="93">
        <v>0.5</v>
      </c>
      <c r="Q62" s="93">
        <v>1</v>
      </c>
      <c r="R62" s="93">
        <v>2</v>
      </c>
      <c r="S62" s="93">
        <v>5</v>
      </c>
      <c r="T62" s="93">
        <v>10</v>
      </c>
      <c r="U62" s="93">
        <v>20</v>
      </c>
      <c r="V62" s="93">
        <v>50</v>
      </c>
      <c r="W62" s="85"/>
      <c r="X62" s="129"/>
      <c r="Y62" s="49"/>
      <c r="Z62" s="94"/>
      <c r="AA62" s="95"/>
      <c r="AB62" s="85"/>
      <c r="AC62" s="85"/>
      <c r="AD62" s="85"/>
      <c r="AE62" s="85"/>
      <c r="AF62" s="85"/>
      <c r="AG62" s="49"/>
      <c r="AH62" s="92"/>
      <c r="AI62" s="49"/>
      <c r="AJ62" s="49"/>
      <c r="AK62" s="49"/>
    </row>
    <row r="63" spans="1:37" x14ac:dyDescent="0.2">
      <c r="A63" s="87" t="s">
        <v>200</v>
      </c>
      <c r="B63" s="38">
        <v>23</v>
      </c>
      <c r="C63" s="38">
        <v>68</v>
      </c>
      <c r="D63" s="49">
        <v>14</v>
      </c>
      <c r="E63" s="49">
        <v>7</v>
      </c>
      <c r="F63" s="85">
        <v>10</v>
      </c>
      <c r="G63" s="85">
        <v>2</v>
      </c>
      <c r="H63" s="85">
        <v>2</v>
      </c>
      <c r="I63" s="85"/>
      <c r="J63" s="85"/>
      <c r="K63" s="86"/>
      <c r="L63" s="87" t="s">
        <v>200</v>
      </c>
      <c r="M63" s="38">
        <v>25</v>
      </c>
      <c r="N63" s="38">
        <v>51</v>
      </c>
      <c r="O63" s="49">
        <v>13</v>
      </c>
      <c r="P63" s="49">
        <v>6</v>
      </c>
      <c r="Q63" s="85">
        <v>12</v>
      </c>
      <c r="R63" s="85">
        <v>6</v>
      </c>
      <c r="S63" s="85">
        <v>7</v>
      </c>
      <c r="T63" s="85">
        <v>4</v>
      </c>
      <c r="U63" s="85">
        <v>7</v>
      </c>
      <c r="V63" s="85">
        <v>1</v>
      </c>
      <c r="W63" s="85"/>
      <c r="X63" s="129"/>
      <c r="Y63" s="49"/>
      <c r="Z63" s="94"/>
      <c r="AA63" s="95"/>
      <c r="AB63" s="85"/>
      <c r="AC63" s="85"/>
      <c r="AD63" s="85"/>
      <c r="AE63" s="85"/>
      <c r="AF63" s="85"/>
      <c r="AG63" s="49"/>
      <c r="AH63" s="92"/>
      <c r="AI63" s="49"/>
      <c r="AJ63" s="49"/>
      <c r="AK63" s="49"/>
    </row>
    <row r="64" spans="1:37" x14ac:dyDescent="0.2">
      <c r="A64" s="87" t="s">
        <v>141</v>
      </c>
      <c r="B64" s="70">
        <f t="shared" ref="B64:I64" si="25">B63*B62</f>
        <v>1.1500000000000001</v>
      </c>
      <c r="C64" s="70">
        <f t="shared" si="25"/>
        <v>6.8000000000000007</v>
      </c>
      <c r="D64" s="70">
        <f t="shared" si="25"/>
        <v>2.8000000000000003</v>
      </c>
      <c r="E64" s="70">
        <f t="shared" si="25"/>
        <v>3.5</v>
      </c>
      <c r="F64" s="70">
        <f t="shared" si="25"/>
        <v>10</v>
      </c>
      <c r="G64" s="70">
        <f t="shared" si="25"/>
        <v>4</v>
      </c>
      <c r="H64" s="70">
        <f t="shared" si="25"/>
        <v>10</v>
      </c>
      <c r="I64" s="70">
        <f t="shared" si="25"/>
        <v>0</v>
      </c>
      <c r="J64" s="70">
        <f>SUM(B64:I64)</f>
        <v>38.25</v>
      </c>
      <c r="K64" s="86"/>
      <c r="L64" s="87" t="s">
        <v>141</v>
      </c>
      <c r="M64" s="70">
        <v>1.25</v>
      </c>
      <c r="N64" s="70">
        <f t="shared" ref="N64:V64" si="26">N63*N62</f>
        <v>5.1000000000000005</v>
      </c>
      <c r="O64" s="70">
        <f t="shared" si="26"/>
        <v>2.6</v>
      </c>
      <c r="P64" s="70">
        <f t="shared" si="26"/>
        <v>3</v>
      </c>
      <c r="Q64" s="70">
        <f t="shared" si="26"/>
        <v>12</v>
      </c>
      <c r="R64" s="70">
        <f t="shared" si="26"/>
        <v>12</v>
      </c>
      <c r="S64" s="70">
        <f t="shared" si="26"/>
        <v>35</v>
      </c>
      <c r="T64" s="70">
        <f t="shared" si="26"/>
        <v>40</v>
      </c>
      <c r="U64" s="70">
        <f t="shared" si="26"/>
        <v>140</v>
      </c>
      <c r="V64" s="70">
        <f t="shared" si="26"/>
        <v>50</v>
      </c>
      <c r="W64" s="70">
        <f>SUM(M64:V64)</f>
        <v>300.95</v>
      </c>
      <c r="X64" s="132">
        <f>W64-J64</f>
        <v>262.7</v>
      </c>
      <c r="Y64" s="94">
        <v>110.3</v>
      </c>
      <c r="Z64" s="94">
        <v>1.5</v>
      </c>
      <c r="AA64" s="97">
        <f>X64+Z64</f>
        <v>264.2</v>
      </c>
      <c r="AB64" s="85">
        <v>50</v>
      </c>
      <c r="AC64" s="96">
        <f>Y64-AB64</f>
        <v>60.3</v>
      </c>
      <c r="AD64" s="96">
        <f>X64-Y64</f>
        <v>152.39999999999998</v>
      </c>
      <c r="AE64" s="85">
        <v>30</v>
      </c>
      <c r="AF64" s="96">
        <f>AD64-AE64</f>
        <v>122.39999999999998</v>
      </c>
      <c r="AG64" s="49"/>
      <c r="AH64" s="98">
        <f>(SUM(Y64:Z64)/(1+10/100))*(10/100)</f>
        <v>10.163636363636364</v>
      </c>
      <c r="AI64" s="49"/>
      <c r="AJ64" s="49"/>
      <c r="AK64" s="49"/>
    </row>
    <row r="66" spans="1:37" x14ac:dyDescent="0.2">
      <c r="A66" s="83" t="s">
        <v>135</v>
      </c>
      <c r="B66" s="84">
        <v>45854</v>
      </c>
      <c r="C66" s="85"/>
      <c r="D66" s="85"/>
      <c r="E66" s="85"/>
      <c r="F66" s="85"/>
      <c r="G66" s="85"/>
      <c r="H66" s="85"/>
      <c r="I66" s="85"/>
      <c r="J66" s="85"/>
      <c r="K66" s="86"/>
      <c r="L66" s="83" t="s">
        <v>136</v>
      </c>
      <c r="M66" s="84">
        <v>45854</v>
      </c>
      <c r="N66" s="85"/>
      <c r="O66" s="85"/>
      <c r="P66" s="85"/>
      <c r="Q66" s="85"/>
      <c r="R66" s="85"/>
      <c r="S66" s="85"/>
      <c r="T66" s="85"/>
      <c r="U66" s="85"/>
      <c r="V66" s="85"/>
      <c r="W66" s="87" t="s">
        <v>141</v>
      </c>
      <c r="X66" s="88" t="s">
        <v>192</v>
      </c>
      <c r="Y66" s="89" t="s">
        <v>142</v>
      </c>
      <c r="Z66" s="90" t="s">
        <v>193</v>
      </c>
      <c r="AA66" s="91" t="s">
        <v>194</v>
      </c>
      <c r="AB66" s="88" t="s">
        <v>288</v>
      </c>
      <c r="AC66" s="87" t="s">
        <v>195</v>
      </c>
      <c r="AD66" s="87" t="s">
        <v>196</v>
      </c>
      <c r="AE66" s="88" t="s">
        <v>197</v>
      </c>
      <c r="AF66" s="87" t="s">
        <v>198</v>
      </c>
      <c r="AG66" s="49"/>
      <c r="AH66" s="92"/>
      <c r="AI66" s="49"/>
      <c r="AJ66" s="49"/>
      <c r="AK66" s="49"/>
    </row>
    <row r="67" spans="1:37" x14ac:dyDescent="0.2">
      <c r="A67" s="87" t="s">
        <v>199</v>
      </c>
      <c r="B67" s="93">
        <v>0.05</v>
      </c>
      <c r="C67" s="93">
        <v>0.1</v>
      </c>
      <c r="D67" s="93">
        <v>0.2</v>
      </c>
      <c r="E67" s="93">
        <v>0.5</v>
      </c>
      <c r="F67" s="93">
        <v>1</v>
      </c>
      <c r="G67" s="93">
        <v>2</v>
      </c>
      <c r="H67" s="93">
        <v>5</v>
      </c>
      <c r="I67" s="93">
        <v>10</v>
      </c>
      <c r="J67" s="49"/>
      <c r="K67" s="86"/>
      <c r="L67" s="87" t="s">
        <v>199</v>
      </c>
      <c r="M67" s="93">
        <v>0.05</v>
      </c>
      <c r="N67" s="93">
        <v>0.1</v>
      </c>
      <c r="O67" s="93">
        <v>0.2</v>
      </c>
      <c r="P67" s="93">
        <v>0.5</v>
      </c>
      <c r="Q67" s="93">
        <v>1</v>
      </c>
      <c r="R67" s="93">
        <v>2</v>
      </c>
      <c r="S67" s="93">
        <v>5</v>
      </c>
      <c r="T67" s="93">
        <v>10</v>
      </c>
      <c r="U67" s="93">
        <v>20</v>
      </c>
      <c r="V67" s="93">
        <v>50</v>
      </c>
      <c r="W67" s="85"/>
      <c r="X67" s="129"/>
      <c r="Y67" s="49"/>
      <c r="Z67" s="94"/>
      <c r="AA67" s="95"/>
      <c r="AB67" s="85"/>
      <c r="AC67" s="85"/>
      <c r="AD67" s="85"/>
      <c r="AE67" s="85"/>
      <c r="AF67" s="85"/>
      <c r="AG67" s="49"/>
      <c r="AH67" s="92"/>
      <c r="AI67" s="49"/>
      <c r="AJ67" s="49"/>
      <c r="AK67" s="49"/>
    </row>
    <row r="68" spans="1:37" x14ac:dyDescent="0.2">
      <c r="A68" s="87" t="s">
        <v>200</v>
      </c>
      <c r="B68" s="38">
        <v>25</v>
      </c>
      <c r="C68" s="38">
        <v>51</v>
      </c>
      <c r="D68" s="49">
        <v>13</v>
      </c>
      <c r="E68" s="49">
        <v>6</v>
      </c>
      <c r="F68" s="85">
        <v>10</v>
      </c>
      <c r="G68" s="85">
        <v>5</v>
      </c>
      <c r="H68" s="85">
        <v>2</v>
      </c>
      <c r="I68" s="85"/>
      <c r="J68" s="85"/>
      <c r="K68" s="86"/>
      <c r="L68" s="87" t="s">
        <v>200</v>
      </c>
      <c r="M68" s="38">
        <v>25</v>
      </c>
      <c r="N68" s="38">
        <v>57</v>
      </c>
      <c r="O68" s="49">
        <v>16</v>
      </c>
      <c r="P68" s="49">
        <v>8</v>
      </c>
      <c r="Q68" s="85">
        <v>10</v>
      </c>
      <c r="R68" s="85">
        <v>4</v>
      </c>
      <c r="S68" s="85">
        <v>3</v>
      </c>
      <c r="T68" s="85">
        <v>4</v>
      </c>
      <c r="U68" s="85">
        <v>8</v>
      </c>
      <c r="V68" s="85">
        <v>1</v>
      </c>
      <c r="W68" s="85"/>
      <c r="X68" s="129"/>
      <c r="Y68" s="49"/>
      <c r="Z68" s="94"/>
      <c r="AA68" s="95"/>
      <c r="AB68" s="85"/>
      <c r="AC68" s="85"/>
      <c r="AD68" s="85"/>
      <c r="AE68" s="85"/>
      <c r="AF68" s="85"/>
      <c r="AG68" s="49"/>
      <c r="AH68" s="92"/>
      <c r="AI68" s="49"/>
      <c r="AJ68" s="49"/>
      <c r="AK68" s="49"/>
    </row>
    <row r="69" spans="1:37" x14ac:dyDescent="0.2">
      <c r="A69" s="87" t="s">
        <v>141</v>
      </c>
      <c r="B69" s="70">
        <f t="shared" ref="B69:I69" si="27">B68*B67</f>
        <v>1.25</v>
      </c>
      <c r="C69" s="70">
        <f t="shared" si="27"/>
        <v>5.1000000000000005</v>
      </c>
      <c r="D69" s="70">
        <f t="shared" si="27"/>
        <v>2.6</v>
      </c>
      <c r="E69" s="70">
        <f t="shared" si="27"/>
        <v>3</v>
      </c>
      <c r="F69" s="70">
        <f t="shared" si="27"/>
        <v>10</v>
      </c>
      <c r="G69" s="70">
        <f t="shared" si="27"/>
        <v>10</v>
      </c>
      <c r="H69" s="70">
        <f t="shared" si="27"/>
        <v>10</v>
      </c>
      <c r="I69" s="70">
        <f t="shared" si="27"/>
        <v>0</v>
      </c>
      <c r="J69" s="70">
        <f>SUM(B69:I69)</f>
        <v>41.95</v>
      </c>
      <c r="K69" s="86"/>
      <c r="L69" s="87" t="s">
        <v>141</v>
      </c>
      <c r="M69" s="70">
        <f t="shared" ref="M69:V69" si="28">M68*M67</f>
        <v>1.25</v>
      </c>
      <c r="N69" s="70">
        <f t="shared" si="28"/>
        <v>5.7</v>
      </c>
      <c r="O69" s="70">
        <f t="shared" si="28"/>
        <v>3.2</v>
      </c>
      <c r="P69" s="70">
        <f t="shared" si="28"/>
        <v>4</v>
      </c>
      <c r="Q69" s="70">
        <f t="shared" si="28"/>
        <v>10</v>
      </c>
      <c r="R69" s="70">
        <f t="shared" si="28"/>
        <v>8</v>
      </c>
      <c r="S69" s="70">
        <f t="shared" si="28"/>
        <v>15</v>
      </c>
      <c r="T69" s="70">
        <f t="shared" si="28"/>
        <v>40</v>
      </c>
      <c r="U69" s="70">
        <f t="shared" si="28"/>
        <v>160</v>
      </c>
      <c r="V69" s="70">
        <f t="shared" si="28"/>
        <v>50</v>
      </c>
      <c r="W69" s="70">
        <f>SUM(M69:V69)</f>
        <v>297.14999999999998</v>
      </c>
      <c r="X69" s="132">
        <f>W69-J69</f>
        <v>255.2</v>
      </c>
      <c r="Y69" s="94">
        <v>108.7</v>
      </c>
      <c r="Z69" s="94">
        <v>23.3</v>
      </c>
      <c r="AA69" s="97">
        <f>X69+Z69</f>
        <v>278.5</v>
      </c>
      <c r="AB69" s="85">
        <v>50</v>
      </c>
      <c r="AC69" s="96">
        <f>Y69-AB69</f>
        <v>58.7</v>
      </c>
      <c r="AD69" s="96">
        <f>X69-Y69</f>
        <v>146.5</v>
      </c>
      <c r="AE69" s="85">
        <v>20</v>
      </c>
      <c r="AF69" s="96">
        <f>AD69-AE69</f>
        <v>126.5</v>
      </c>
      <c r="AG69" s="49"/>
      <c r="AH69" s="98">
        <f>(SUM(Y69:Z69)/(1+10/100))*(10/100)</f>
        <v>12</v>
      </c>
      <c r="AI69" s="49"/>
      <c r="AJ69" s="49"/>
      <c r="AK69" s="49"/>
    </row>
    <row r="71" spans="1:37" x14ac:dyDescent="0.2">
      <c r="A71" s="83" t="s">
        <v>135</v>
      </c>
      <c r="B71" s="84">
        <v>45855</v>
      </c>
      <c r="C71" s="85"/>
      <c r="D71" s="85"/>
      <c r="E71" s="85"/>
      <c r="F71" s="85"/>
      <c r="G71" s="85"/>
      <c r="H71" s="85"/>
      <c r="I71" s="85"/>
      <c r="J71" s="85"/>
      <c r="K71" s="86"/>
      <c r="L71" s="83" t="s">
        <v>136</v>
      </c>
      <c r="M71" s="84">
        <v>45855</v>
      </c>
      <c r="N71" s="85"/>
      <c r="O71" s="85"/>
      <c r="P71" s="85"/>
      <c r="Q71" s="85"/>
      <c r="R71" s="85"/>
      <c r="S71" s="85"/>
      <c r="T71" s="85"/>
      <c r="U71" s="85"/>
      <c r="V71" s="85"/>
      <c r="W71" s="87" t="s">
        <v>141</v>
      </c>
      <c r="X71" s="88" t="s">
        <v>192</v>
      </c>
      <c r="Y71" s="89" t="s">
        <v>142</v>
      </c>
      <c r="Z71" s="90" t="s">
        <v>193</v>
      </c>
      <c r="AA71" s="91" t="s">
        <v>194</v>
      </c>
      <c r="AB71" s="88" t="s">
        <v>288</v>
      </c>
      <c r="AC71" s="87" t="s">
        <v>195</v>
      </c>
      <c r="AD71" s="87" t="s">
        <v>196</v>
      </c>
      <c r="AE71" s="88" t="s">
        <v>197</v>
      </c>
      <c r="AF71" s="87" t="s">
        <v>198</v>
      </c>
      <c r="AG71" s="49"/>
      <c r="AH71" s="92"/>
      <c r="AI71" s="49"/>
      <c r="AJ71" s="49"/>
      <c r="AK71" s="49"/>
    </row>
    <row r="72" spans="1:37" x14ac:dyDescent="0.2">
      <c r="A72" s="87" t="s">
        <v>199</v>
      </c>
      <c r="B72" s="93">
        <v>0.05</v>
      </c>
      <c r="C72" s="93">
        <v>0.1</v>
      </c>
      <c r="D72" s="93">
        <v>0.2</v>
      </c>
      <c r="E72" s="93">
        <v>0.5</v>
      </c>
      <c r="F72" s="93">
        <v>1</v>
      </c>
      <c r="G72" s="93">
        <v>2</v>
      </c>
      <c r="H72" s="93">
        <v>5</v>
      </c>
      <c r="I72" s="93">
        <v>10</v>
      </c>
      <c r="J72" s="49"/>
      <c r="K72" s="86"/>
      <c r="L72" s="87" t="s">
        <v>199</v>
      </c>
      <c r="M72" s="93">
        <v>0.05</v>
      </c>
      <c r="N72" s="93">
        <v>0.1</v>
      </c>
      <c r="O72" s="93">
        <v>0.2</v>
      </c>
      <c r="P72" s="93">
        <v>0.5</v>
      </c>
      <c r="Q72" s="93">
        <v>1</v>
      </c>
      <c r="R72" s="93">
        <v>2</v>
      </c>
      <c r="S72" s="93">
        <v>5</v>
      </c>
      <c r="T72" s="93">
        <v>10</v>
      </c>
      <c r="U72" s="93">
        <v>20</v>
      </c>
      <c r="V72" s="93">
        <v>50</v>
      </c>
      <c r="W72" s="85"/>
      <c r="X72" s="129"/>
      <c r="Y72" s="49"/>
      <c r="Z72" s="94"/>
      <c r="AA72" s="95"/>
      <c r="AB72" s="85"/>
      <c r="AC72" s="85"/>
      <c r="AD72" s="85"/>
      <c r="AE72" s="85"/>
      <c r="AF72" s="85"/>
      <c r="AG72" s="49"/>
      <c r="AH72" s="92"/>
      <c r="AI72" s="49"/>
      <c r="AJ72" s="49"/>
      <c r="AK72" s="49"/>
    </row>
    <row r="73" spans="1:37" x14ac:dyDescent="0.2">
      <c r="A73" s="87" t="s">
        <v>200</v>
      </c>
      <c r="B73" s="38">
        <v>25</v>
      </c>
      <c r="C73" s="38">
        <v>57</v>
      </c>
      <c r="D73" s="49">
        <v>16</v>
      </c>
      <c r="E73" s="49">
        <v>8</v>
      </c>
      <c r="F73" s="85">
        <v>8</v>
      </c>
      <c r="G73" s="85">
        <v>4</v>
      </c>
      <c r="H73" s="85">
        <v>2</v>
      </c>
      <c r="I73" s="85"/>
      <c r="J73" s="85"/>
      <c r="K73" s="86"/>
      <c r="L73" s="87" t="s">
        <v>200</v>
      </c>
      <c r="M73" s="38">
        <v>27</v>
      </c>
      <c r="N73" s="38">
        <v>63</v>
      </c>
      <c r="O73" s="49">
        <v>17</v>
      </c>
      <c r="P73" s="49">
        <v>11</v>
      </c>
      <c r="Q73" s="85">
        <v>9</v>
      </c>
      <c r="R73" s="85">
        <v>19</v>
      </c>
      <c r="S73" s="85">
        <v>6</v>
      </c>
      <c r="T73" s="85">
        <v>2</v>
      </c>
      <c r="U73" s="85">
        <v>3</v>
      </c>
      <c r="V73" s="85">
        <v>3</v>
      </c>
      <c r="W73" s="85"/>
      <c r="X73" s="129"/>
      <c r="Y73" s="49"/>
      <c r="Z73" s="94"/>
      <c r="AA73" s="95"/>
      <c r="AB73" s="85"/>
      <c r="AC73" s="85"/>
      <c r="AD73" s="85"/>
      <c r="AE73" s="85"/>
      <c r="AF73" s="85"/>
      <c r="AG73" s="49"/>
      <c r="AH73" s="92"/>
      <c r="AI73" s="49"/>
      <c r="AJ73" s="49"/>
      <c r="AK73" s="49"/>
    </row>
    <row r="74" spans="1:37" x14ac:dyDescent="0.2">
      <c r="A74" s="87" t="s">
        <v>141</v>
      </c>
      <c r="B74" s="70">
        <f t="shared" ref="B74:I74" si="29">B73*B72</f>
        <v>1.25</v>
      </c>
      <c r="C74" s="70">
        <f t="shared" si="29"/>
        <v>5.7</v>
      </c>
      <c r="D74" s="70">
        <f t="shared" si="29"/>
        <v>3.2</v>
      </c>
      <c r="E74" s="70">
        <f t="shared" si="29"/>
        <v>4</v>
      </c>
      <c r="F74" s="70">
        <f t="shared" si="29"/>
        <v>8</v>
      </c>
      <c r="G74" s="70">
        <f t="shared" si="29"/>
        <v>8</v>
      </c>
      <c r="H74" s="70">
        <f t="shared" si="29"/>
        <v>10</v>
      </c>
      <c r="I74" s="70">
        <f t="shared" si="29"/>
        <v>0</v>
      </c>
      <c r="J74" s="70">
        <f>SUM(B74:I74)</f>
        <v>40.15</v>
      </c>
      <c r="K74" s="86"/>
      <c r="L74" s="87" t="s">
        <v>141</v>
      </c>
      <c r="M74" s="70">
        <f t="shared" ref="M74:V74" si="30">M73*M72</f>
        <v>1.35</v>
      </c>
      <c r="N74" s="70">
        <f t="shared" si="30"/>
        <v>6.3000000000000007</v>
      </c>
      <c r="O74" s="70">
        <f t="shared" si="30"/>
        <v>3.4000000000000004</v>
      </c>
      <c r="P74" s="70">
        <f t="shared" si="30"/>
        <v>5.5</v>
      </c>
      <c r="Q74" s="70">
        <f t="shared" si="30"/>
        <v>9</v>
      </c>
      <c r="R74" s="70">
        <f t="shared" si="30"/>
        <v>38</v>
      </c>
      <c r="S74" s="70">
        <f t="shared" si="30"/>
        <v>30</v>
      </c>
      <c r="T74" s="70">
        <f t="shared" si="30"/>
        <v>20</v>
      </c>
      <c r="U74" s="70">
        <f t="shared" si="30"/>
        <v>60</v>
      </c>
      <c r="V74" s="70">
        <f t="shared" si="30"/>
        <v>150</v>
      </c>
      <c r="W74" s="70">
        <f>SUM(M74:V74)</f>
        <v>323.55</v>
      </c>
      <c r="X74" s="132">
        <f>W74-J74</f>
        <v>283.40000000000003</v>
      </c>
      <c r="Y74" s="94">
        <v>113.2</v>
      </c>
      <c r="Z74" s="94">
        <v>76.7</v>
      </c>
      <c r="AA74" s="97">
        <f>X74+Z74</f>
        <v>360.1</v>
      </c>
      <c r="AB74" s="85">
        <v>60</v>
      </c>
      <c r="AC74" s="96">
        <f>Y74-AB74</f>
        <v>53.2</v>
      </c>
      <c r="AD74" s="96">
        <f>X74-Y74</f>
        <v>170.20000000000005</v>
      </c>
      <c r="AE74" s="85">
        <v>20</v>
      </c>
      <c r="AF74" s="96">
        <f>AD74-AE74</f>
        <v>150.20000000000005</v>
      </c>
      <c r="AG74" s="49"/>
      <c r="AH74" s="98">
        <f>(SUM(Y74:Z74)/(1+10/100))*(10/100)</f>
        <v>17.263636363636362</v>
      </c>
      <c r="AI74" s="49"/>
      <c r="AJ74" s="49"/>
      <c r="AK74" s="49"/>
    </row>
    <row r="75" spans="1:37" x14ac:dyDescent="0.2">
      <c r="Z75" s="38">
        <v>-3.8</v>
      </c>
    </row>
    <row r="76" spans="1:37" x14ac:dyDescent="0.2">
      <c r="A76" s="83" t="s">
        <v>135</v>
      </c>
      <c r="B76" s="84">
        <v>45856</v>
      </c>
      <c r="C76" s="85"/>
      <c r="D76" s="85"/>
      <c r="E76" s="85"/>
      <c r="F76" s="85"/>
      <c r="G76" s="85"/>
      <c r="H76" s="85"/>
      <c r="I76" s="85"/>
      <c r="J76" s="85"/>
      <c r="K76" s="86"/>
      <c r="L76" s="83" t="s">
        <v>136</v>
      </c>
      <c r="M76" s="84">
        <v>45856</v>
      </c>
      <c r="N76" s="85"/>
      <c r="O76" s="85"/>
      <c r="P76" s="85"/>
      <c r="Q76" s="85"/>
      <c r="R76" s="85"/>
      <c r="S76" s="85"/>
      <c r="T76" s="85"/>
      <c r="U76" s="85"/>
      <c r="V76" s="85"/>
      <c r="W76" s="87" t="s">
        <v>141</v>
      </c>
      <c r="X76" s="88" t="s">
        <v>192</v>
      </c>
      <c r="Y76" s="89" t="s">
        <v>142</v>
      </c>
      <c r="Z76" s="90" t="s">
        <v>193</v>
      </c>
      <c r="AA76" s="91" t="s">
        <v>194</v>
      </c>
      <c r="AB76" s="88" t="s">
        <v>288</v>
      </c>
      <c r="AC76" s="87" t="s">
        <v>195</v>
      </c>
      <c r="AD76" s="87" t="s">
        <v>196</v>
      </c>
      <c r="AE76" s="88" t="s">
        <v>197</v>
      </c>
      <c r="AF76" s="87" t="s">
        <v>198</v>
      </c>
      <c r="AG76" s="49"/>
      <c r="AH76" s="92"/>
      <c r="AI76" s="49"/>
      <c r="AJ76" s="49"/>
      <c r="AK76" s="49"/>
    </row>
    <row r="77" spans="1:37" x14ac:dyDescent="0.2">
      <c r="A77" s="87" t="s">
        <v>199</v>
      </c>
      <c r="B77" s="93">
        <v>0.05</v>
      </c>
      <c r="C77" s="93">
        <v>0.1</v>
      </c>
      <c r="D77" s="93">
        <v>0.2</v>
      </c>
      <c r="E77" s="93">
        <v>0.5</v>
      </c>
      <c r="F77" s="93">
        <v>1</v>
      </c>
      <c r="G77" s="93">
        <v>2</v>
      </c>
      <c r="H77" s="93">
        <v>5</v>
      </c>
      <c r="I77" s="93">
        <v>10</v>
      </c>
      <c r="J77" s="49"/>
      <c r="K77" s="86"/>
      <c r="L77" s="87" t="s">
        <v>199</v>
      </c>
      <c r="M77" s="93">
        <v>0.05</v>
      </c>
      <c r="N77" s="93">
        <v>0.1</v>
      </c>
      <c r="O77" s="93">
        <v>0.2</v>
      </c>
      <c r="P77" s="93">
        <v>0.5</v>
      </c>
      <c r="Q77" s="93">
        <v>1</v>
      </c>
      <c r="R77" s="93">
        <v>2</v>
      </c>
      <c r="S77" s="93">
        <v>5</v>
      </c>
      <c r="T77" s="93">
        <v>10</v>
      </c>
      <c r="U77" s="93">
        <v>20</v>
      </c>
      <c r="V77" s="93">
        <v>50</v>
      </c>
      <c r="W77" s="85"/>
      <c r="X77" s="129"/>
      <c r="Y77" s="49"/>
      <c r="Z77" s="94"/>
      <c r="AA77" s="95"/>
      <c r="AB77" s="85"/>
      <c r="AC77" s="85"/>
      <c r="AD77" s="85"/>
      <c r="AE77" s="85"/>
      <c r="AF77" s="85"/>
      <c r="AG77" s="49"/>
      <c r="AH77" s="92"/>
      <c r="AI77" s="49"/>
      <c r="AJ77" s="49"/>
      <c r="AK77" s="49"/>
    </row>
    <row r="78" spans="1:37" x14ac:dyDescent="0.2">
      <c r="A78" s="87" t="s">
        <v>200</v>
      </c>
      <c r="B78" s="38">
        <v>27</v>
      </c>
      <c r="C78" s="38">
        <v>57</v>
      </c>
      <c r="D78" s="49">
        <v>16</v>
      </c>
      <c r="E78" s="49">
        <v>8</v>
      </c>
      <c r="F78" s="85">
        <v>8</v>
      </c>
      <c r="G78" s="85">
        <v>4</v>
      </c>
      <c r="H78" s="85">
        <v>2</v>
      </c>
      <c r="I78" s="85"/>
      <c r="J78" s="85"/>
      <c r="K78" s="86"/>
      <c r="L78" s="87" t="s">
        <v>200</v>
      </c>
      <c r="M78" s="38">
        <v>29</v>
      </c>
      <c r="N78" s="38">
        <v>53</v>
      </c>
      <c r="O78" s="49">
        <v>26</v>
      </c>
      <c r="P78" s="49">
        <v>21</v>
      </c>
      <c r="Q78" s="85">
        <v>10</v>
      </c>
      <c r="R78" s="85">
        <v>4</v>
      </c>
      <c r="S78" s="85">
        <v>4</v>
      </c>
      <c r="T78" s="85">
        <v>1</v>
      </c>
      <c r="U78" s="85">
        <v>1</v>
      </c>
      <c r="V78" s="85">
        <v>3</v>
      </c>
      <c r="W78" s="85"/>
      <c r="X78" s="129"/>
      <c r="Y78" s="49"/>
      <c r="Z78" s="94"/>
      <c r="AA78" s="95"/>
      <c r="AB78" s="85"/>
      <c r="AC78" s="85"/>
      <c r="AD78" s="85"/>
      <c r="AE78" s="85"/>
      <c r="AF78" s="85"/>
      <c r="AG78" s="49"/>
      <c r="AH78" s="92"/>
      <c r="AI78" s="49"/>
      <c r="AJ78" s="49"/>
      <c r="AK78" s="49"/>
    </row>
    <row r="79" spans="1:37" x14ac:dyDescent="0.2">
      <c r="A79" s="87" t="s">
        <v>141</v>
      </c>
      <c r="B79" s="70">
        <f t="shared" ref="B79:I79" si="31">B78*B77</f>
        <v>1.35</v>
      </c>
      <c r="C79" s="70">
        <f t="shared" si="31"/>
        <v>5.7</v>
      </c>
      <c r="D79" s="70">
        <f t="shared" si="31"/>
        <v>3.2</v>
      </c>
      <c r="E79" s="70">
        <f t="shared" si="31"/>
        <v>4</v>
      </c>
      <c r="F79" s="70">
        <f t="shared" si="31"/>
        <v>8</v>
      </c>
      <c r="G79" s="70">
        <f t="shared" si="31"/>
        <v>8</v>
      </c>
      <c r="H79" s="70">
        <f t="shared" si="31"/>
        <v>10</v>
      </c>
      <c r="I79" s="70">
        <f t="shared" si="31"/>
        <v>0</v>
      </c>
      <c r="J79" s="70">
        <f>SUM(B79:I79)</f>
        <v>40.25</v>
      </c>
      <c r="K79" s="86"/>
      <c r="L79" s="87" t="s">
        <v>141</v>
      </c>
      <c r="M79" s="70">
        <f t="shared" ref="M79:V79" si="32">M78*M77</f>
        <v>1.4500000000000002</v>
      </c>
      <c r="N79" s="70">
        <f t="shared" si="32"/>
        <v>5.3000000000000007</v>
      </c>
      <c r="O79" s="70">
        <f t="shared" si="32"/>
        <v>5.2</v>
      </c>
      <c r="P79" s="70">
        <f t="shared" si="32"/>
        <v>10.5</v>
      </c>
      <c r="Q79" s="70">
        <f t="shared" si="32"/>
        <v>10</v>
      </c>
      <c r="R79" s="70">
        <f t="shared" si="32"/>
        <v>8</v>
      </c>
      <c r="S79" s="70">
        <f t="shared" si="32"/>
        <v>20</v>
      </c>
      <c r="T79" s="70">
        <f t="shared" si="32"/>
        <v>10</v>
      </c>
      <c r="U79" s="70">
        <f t="shared" si="32"/>
        <v>20</v>
      </c>
      <c r="V79" s="70">
        <f t="shared" si="32"/>
        <v>150</v>
      </c>
      <c r="W79" s="70">
        <f>SUM(M79:V79)</f>
        <v>240.45</v>
      </c>
      <c r="X79" s="132">
        <f>W79-J79</f>
        <v>200.2</v>
      </c>
      <c r="Y79" s="94">
        <v>81.599999999999994</v>
      </c>
      <c r="Z79" s="94">
        <v>41.6</v>
      </c>
      <c r="AA79" s="97">
        <f>X79+Z79</f>
        <v>241.79999999999998</v>
      </c>
      <c r="AB79" s="85">
        <v>40</v>
      </c>
      <c r="AC79" s="96">
        <f>Y79-AB79</f>
        <v>41.599999999999994</v>
      </c>
      <c r="AD79" s="96">
        <f>X79-Y79</f>
        <v>118.6</v>
      </c>
      <c r="AE79" s="85">
        <v>10</v>
      </c>
      <c r="AF79" s="96">
        <f>AD79-AE79</f>
        <v>108.6</v>
      </c>
      <c r="AG79" s="49"/>
      <c r="AH79" s="98">
        <f>(SUM(Y79:Z79)/(1+10/100))*(10/100)</f>
        <v>11.2</v>
      </c>
      <c r="AI79" s="49"/>
      <c r="AJ79" s="49"/>
      <c r="AK79" s="49"/>
    </row>
    <row r="81" spans="1:37" x14ac:dyDescent="0.2">
      <c r="A81" s="83" t="s">
        <v>135</v>
      </c>
      <c r="B81" s="84">
        <v>45857</v>
      </c>
      <c r="C81" s="85"/>
      <c r="D81" s="85"/>
      <c r="E81" s="85"/>
      <c r="F81" s="85"/>
      <c r="G81" s="85"/>
      <c r="H81" s="85"/>
      <c r="I81" s="85"/>
      <c r="J81" s="85"/>
      <c r="K81" s="86"/>
      <c r="L81" s="83" t="s">
        <v>136</v>
      </c>
      <c r="M81" s="84">
        <v>45857</v>
      </c>
      <c r="N81" s="85"/>
      <c r="O81" s="85"/>
      <c r="P81" s="85"/>
      <c r="Q81" s="85"/>
      <c r="R81" s="85"/>
      <c r="S81" s="85"/>
      <c r="T81" s="85"/>
      <c r="U81" s="85"/>
      <c r="V81" s="85"/>
      <c r="W81" s="87" t="s">
        <v>141</v>
      </c>
      <c r="X81" s="88" t="s">
        <v>192</v>
      </c>
      <c r="Y81" s="89" t="s">
        <v>142</v>
      </c>
      <c r="Z81" s="90" t="s">
        <v>193</v>
      </c>
      <c r="AA81" s="91" t="s">
        <v>194</v>
      </c>
      <c r="AB81" s="88" t="s">
        <v>288</v>
      </c>
      <c r="AC81" s="87" t="s">
        <v>195</v>
      </c>
      <c r="AD81" s="87" t="s">
        <v>196</v>
      </c>
      <c r="AE81" s="88" t="s">
        <v>197</v>
      </c>
      <c r="AF81" s="87" t="s">
        <v>198</v>
      </c>
      <c r="AG81" s="49"/>
      <c r="AH81" s="92"/>
      <c r="AI81" s="49"/>
      <c r="AJ81" s="49"/>
      <c r="AK81" s="49"/>
    </row>
    <row r="82" spans="1:37" x14ac:dyDescent="0.2">
      <c r="A82" s="87" t="s">
        <v>199</v>
      </c>
      <c r="B82" s="93">
        <v>0.05</v>
      </c>
      <c r="C82" s="93">
        <v>0.1</v>
      </c>
      <c r="D82" s="93">
        <v>0.2</v>
      </c>
      <c r="E82" s="93">
        <v>0.5</v>
      </c>
      <c r="F82" s="93">
        <v>1</v>
      </c>
      <c r="G82" s="93">
        <v>2</v>
      </c>
      <c r="H82" s="93">
        <v>5</v>
      </c>
      <c r="I82" s="93">
        <v>10</v>
      </c>
      <c r="J82" s="49"/>
      <c r="K82" s="86"/>
      <c r="L82" s="87" t="s">
        <v>199</v>
      </c>
      <c r="M82" s="93">
        <v>0.05</v>
      </c>
      <c r="N82" s="93">
        <v>0.1</v>
      </c>
      <c r="O82" s="93">
        <v>0.2</v>
      </c>
      <c r="P82" s="93">
        <v>0.5</v>
      </c>
      <c r="Q82" s="93">
        <v>1</v>
      </c>
      <c r="R82" s="93">
        <v>2</v>
      </c>
      <c r="S82" s="93">
        <v>5</v>
      </c>
      <c r="T82" s="93">
        <v>10</v>
      </c>
      <c r="U82" s="93">
        <v>20</v>
      </c>
      <c r="V82" s="93">
        <v>50</v>
      </c>
      <c r="W82" s="85"/>
      <c r="X82" s="129"/>
      <c r="Y82" s="49"/>
      <c r="Z82" s="94"/>
      <c r="AA82" s="95"/>
      <c r="AB82" s="85"/>
      <c r="AC82" s="85"/>
      <c r="AD82" s="85"/>
      <c r="AE82" s="85"/>
      <c r="AF82" s="85"/>
      <c r="AG82" s="49"/>
      <c r="AH82" s="92"/>
      <c r="AI82" s="49"/>
      <c r="AJ82" s="49"/>
      <c r="AK82" s="49"/>
    </row>
    <row r="83" spans="1:37" x14ac:dyDescent="0.2">
      <c r="A83" s="87" t="s">
        <v>200</v>
      </c>
      <c r="B83" s="38">
        <v>29</v>
      </c>
      <c r="C83" s="38">
        <v>40</v>
      </c>
      <c r="D83" s="49">
        <v>16</v>
      </c>
      <c r="E83" s="49">
        <v>10</v>
      </c>
      <c r="F83" s="85">
        <v>10</v>
      </c>
      <c r="G83" s="85">
        <v>4</v>
      </c>
      <c r="H83" s="85">
        <v>2</v>
      </c>
      <c r="I83" s="85"/>
      <c r="J83" s="85"/>
      <c r="K83" s="86"/>
      <c r="L83" s="87" t="s">
        <v>200</v>
      </c>
      <c r="M83" s="38">
        <v>33</v>
      </c>
      <c r="N83" s="38">
        <v>48</v>
      </c>
      <c r="O83" s="49">
        <v>14</v>
      </c>
      <c r="P83" s="49">
        <v>8</v>
      </c>
      <c r="Q83" s="85">
        <v>3</v>
      </c>
      <c r="R83" s="85">
        <v>5</v>
      </c>
      <c r="S83" s="85">
        <v>7</v>
      </c>
      <c r="T83" s="85">
        <v>4</v>
      </c>
      <c r="U83" s="85">
        <v>6</v>
      </c>
      <c r="V83" s="85"/>
      <c r="W83" s="85"/>
      <c r="X83" s="129"/>
      <c r="Y83" s="49"/>
      <c r="Z83" s="94"/>
      <c r="AA83" s="95"/>
      <c r="AB83" s="85"/>
      <c r="AC83" s="85"/>
      <c r="AD83" s="85"/>
      <c r="AE83" s="85"/>
      <c r="AF83" s="85"/>
      <c r="AG83" s="49"/>
      <c r="AH83" s="92"/>
      <c r="AI83" s="49"/>
      <c r="AJ83" s="49"/>
      <c r="AK83" s="49"/>
    </row>
    <row r="84" spans="1:37" x14ac:dyDescent="0.2">
      <c r="A84" s="87" t="s">
        <v>141</v>
      </c>
      <c r="B84" s="70">
        <f t="shared" ref="B84:I84" si="33">B83*B82</f>
        <v>1.4500000000000002</v>
      </c>
      <c r="C84" s="70">
        <f t="shared" si="33"/>
        <v>4</v>
      </c>
      <c r="D84" s="70">
        <f t="shared" si="33"/>
        <v>3.2</v>
      </c>
      <c r="E84" s="70">
        <f t="shared" si="33"/>
        <v>5</v>
      </c>
      <c r="F84" s="70">
        <f t="shared" si="33"/>
        <v>10</v>
      </c>
      <c r="G84" s="70">
        <f t="shared" si="33"/>
        <v>8</v>
      </c>
      <c r="H84" s="70">
        <f t="shared" si="33"/>
        <v>10</v>
      </c>
      <c r="I84" s="70">
        <f t="shared" si="33"/>
        <v>0</v>
      </c>
      <c r="J84" s="70">
        <f>SUM(B84:I84)</f>
        <v>41.65</v>
      </c>
      <c r="K84" s="86"/>
      <c r="L84" s="87" t="s">
        <v>141</v>
      </c>
      <c r="M84" s="70">
        <f t="shared" ref="M84:V84" si="34">M83*M82</f>
        <v>1.6500000000000001</v>
      </c>
      <c r="N84" s="70">
        <f t="shared" si="34"/>
        <v>4.8000000000000007</v>
      </c>
      <c r="O84" s="70">
        <f t="shared" si="34"/>
        <v>2.8000000000000003</v>
      </c>
      <c r="P84" s="70">
        <f t="shared" si="34"/>
        <v>4</v>
      </c>
      <c r="Q84" s="70">
        <f t="shared" si="34"/>
        <v>3</v>
      </c>
      <c r="R84" s="70">
        <f t="shared" si="34"/>
        <v>10</v>
      </c>
      <c r="S84" s="70">
        <f t="shared" si="34"/>
        <v>35</v>
      </c>
      <c r="T84" s="70">
        <f t="shared" si="34"/>
        <v>40</v>
      </c>
      <c r="U84" s="70">
        <f t="shared" si="34"/>
        <v>120</v>
      </c>
      <c r="V84" s="70">
        <f t="shared" si="34"/>
        <v>0</v>
      </c>
      <c r="W84" s="70">
        <f>SUM(M84:V84)</f>
        <v>221.25</v>
      </c>
      <c r="X84" s="132">
        <f>W84-J84</f>
        <v>179.6</v>
      </c>
      <c r="Y84" s="94">
        <v>90.5</v>
      </c>
      <c r="Z84" s="94">
        <v>24.7</v>
      </c>
      <c r="AA84" s="97">
        <f>X84+Z84</f>
        <v>204.29999999999998</v>
      </c>
      <c r="AB84" s="85">
        <v>50</v>
      </c>
      <c r="AC84" s="96">
        <f>Y84-AB84</f>
        <v>40.5</v>
      </c>
      <c r="AD84" s="96">
        <f>X84-Y84</f>
        <v>89.1</v>
      </c>
      <c r="AE84" s="85"/>
      <c r="AF84" s="96">
        <f>AD84-AE84</f>
        <v>89.1</v>
      </c>
      <c r="AG84" s="49"/>
      <c r="AH84" s="98">
        <f>(SUM(Y84:Z84)/(1+10/100))*(10/100)</f>
        <v>10.472727272727273</v>
      </c>
      <c r="AI84" s="49"/>
      <c r="AJ84" s="49"/>
      <c r="AK84" s="49"/>
    </row>
    <row r="86" spans="1:37" x14ac:dyDescent="0.2">
      <c r="A86" s="83" t="s">
        <v>135</v>
      </c>
      <c r="B86" s="84">
        <v>45859</v>
      </c>
      <c r="C86" s="85"/>
      <c r="D86" s="85"/>
      <c r="E86" s="85"/>
      <c r="F86" s="85"/>
      <c r="G86" s="85"/>
      <c r="H86" s="85"/>
      <c r="I86" s="85"/>
      <c r="J86" s="85"/>
      <c r="K86" s="86"/>
      <c r="L86" s="83" t="s">
        <v>136</v>
      </c>
      <c r="M86" s="84">
        <v>45859</v>
      </c>
      <c r="N86" s="85"/>
      <c r="O86" s="85"/>
      <c r="P86" s="85"/>
      <c r="Q86" s="85"/>
      <c r="R86" s="85"/>
      <c r="S86" s="85"/>
      <c r="T86" s="85"/>
      <c r="U86" s="85"/>
      <c r="V86" s="85"/>
      <c r="W86" s="87" t="s">
        <v>141</v>
      </c>
      <c r="X86" s="88" t="s">
        <v>192</v>
      </c>
      <c r="Y86" s="89" t="s">
        <v>142</v>
      </c>
      <c r="Z86" s="90" t="s">
        <v>193</v>
      </c>
      <c r="AA86" s="91" t="s">
        <v>194</v>
      </c>
      <c r="AB86" s="88" t="s">
        <v>288</v>
      </c>
      <c r="AC86" s="87" t="s">
        <v>195</v>
      </c>
      <c r="AD86" s="87" t="s">
        <v>196</v>
      </c>
      <c r="AE86" s="88" t="s">
        <v>197</v>
      </c>
      <c r="AF86" s="87" t="s">
        <v>198</v>
      </c>
      <c r="AG86" s="49"/>
      <c r="AH86" s="92"/>
      <c r="AI86" s="49"/>
      <c r="AJ86" s="49"/>
      <c r="AK86" s="49"/>
    </row>
    <row r="87" spans="1:37" x14ac:dyDescent="0.2">
      <c r="A87" s="87" t="s">
        <v>199</v>
      </c>
      <c r="B87" s="93">
        <v>0.05</v>
      </c>
      <c r="C87" s="93">
        <v>0.1</v>
      </c>
      <c r="D87" s="93">
        <v>0.2</v>
      </c>
      <c r="E87" s="93">
        <v>0.5</v>
      </c>
      <c r="F87" s="93">
        <v>1</v>
      </c>
      <c r="G87" s="93">
        <v>2</v>
      </c>
      <c r="H87" s="93">
        <v>5</v>
      </c>
      <c r="I87" s="93">
        <v>10</v>
      </c>
      <c r="J87" s="49"/>
      <c r="K87" s="86"/>
      <c r="L87" s="87" t="s">
        <v>199</v>
      </c>
      <c r="M87" s="93">
        <v>0.05</v>
      </c>
      <c r="N87" s="93">
        <v>0.1</v>
      </c>
      <c r="O87" s="93">
        <v>0.2</v>
      </c>
      <c r="P87" s="93">
        <v>0.5</v>
      </c>
      <c r="Q87" s="93">
        <v>1</v>
      </c>
      <c r="R87" s="93">
        <v>2</v>
      </c>
      <c r="S87" s="93">
        <v>5</v>
      </c>
      <c r="T87" s="93">
        <v>10</v>
      </c>
      <c r="U87" s="93">
        <v>20</v>
      </c>
      <c r="V87" s="93">
        <v>50</v>
      </c>
      <c r="W87" s="85"/>
      <c r="X87" s="129"/>
      <c r="Y87" s="49"/>
      <c r="Z87" s="94"/>
      <c r="AA87" s="95"/>
      <c r="AB87" s="85"/>
      <c r="AC87" s="85"/>
      <c r="AD87" s="85"/>
      <c r="AE87" s="85"/>
      <c r="AF87" s="85"/>
      <c r="AG87" s="49"/>
      <c r="AH87" s="92"/>
      <c r="AI87" s="49"/>
      <c r="AJ87" s="49"/>
      <c r="AK87" s="49"/>
    </row>
    <row r="88" spans="1:37" x14ac:dyDescent="0.2">
      <c r="A88" s="87" t="s">
        <v>200</v>
      </c>
      <c r="B88" s="38">
        <v>33</v>
      </c>
      <c r="C88" s="38">
        <v>48</v>
      </c>
      <c r="D88" s="49">
        <v>14</v>
      </c>
      <c r="E88" s="49">
        <v>8</v>
      </c>
      <c r="F88" s="85">
        <v>3</v>
      </c>
      <c r="G88" s="85">
        <v>5</v>
      </c>
      <c r="H88" s="85">
        <v>2</v>
      </c>
      <c r="I88" s="85"/>
      <c r="J88" s="85"/>
      <c r="K88" s="86"/>
      <c r="L88" s="87" t="s">
        <v>200</v>
      </c>
      <c r="M88" s="38">
        <v>35</v>
      </c>
      <c r="N88" s="38">
        <v>43</v>
      </c>
      <c r="O88" s="49">
        <v>11</v>
      </c>
      <c r="P88" s="49">
        <v>11</v>
      </c>
      <c r="Q88" s="85">
        <v>11</v>
      </c>
      <c r="R88" s="85">
        <v>3</v>
      </c>
      <c r="S88" s="85">
        <v>13</v>
      </c>
      <c r="T88" s="85">
        <v>7</v>
      </c>
      <c r="U88" s="85"/>
      <c r="V88" s="85">
        <v>2</v>
      </c>
      <c r="W88" s="85"/>
      <c r="X88" s="129"/>
      <c r="Y88" s="49"/>
      <c r="Z88" s="94"/>
      <c r="AA88" s="95"/>
      <c r="AB88" s="85"/>
      <c r="AC88" s="85"/>
      <c r="AD88" s="85"/>
      <c r="AE88" s="85"/>
      <c r="AF88" s="85"/>
      <c r="AG88" s="49"/>
      <c r="AH88" s="92"/>
      <c r="AI88" s="49"/>
      <c r="AJ88" s="49"/>
      <c r="AK88" s="49"/>
    </row>
    <row r="89" spans="1:37" x14ac:dyDescent="0.2">
      <c r="A89" s="87" t="s">
        <v>141</v>
      </c>
      <c r="B89" s="70">
        <f t="shared" ref="B89:I89" si="35">B88*B87</f>
        <v>1.6500000000000001</v>
      </c>
      <c r="C89" s="70">
        <f t="shared" si="35"/>
        <v>4.8000000000000007</v>
      </c>
      <c r="D89" s="70">
        <f t="shared" si="35"/>
        <v>2.8000000000000003</v>
      </c>
      <c r="E89" s="70">
        <f t="shared" si="35"/>
        <v>4</v>
      </c>
      <c r="F89" s="70">
        <f t="shared" si="35"/>
        <v>3</v>
      </c>
      <c r="G89" s="70">
        <f t="shared" si="35"/>
        <v>10</v>
      </c>
      <c r="H89" s="70">
        <f t="shared" si="35"/>
        <v>10</v>
      </c>
      <c r="I89" s="70">
        <f t="shared" si="35"/>
        <v>0</v>
      </c>
      <c r="J89" s="70">
        <f>SUM(B89:I89)</f>
        <v>36.25</v>
      </c>
      <c r="K89" s="86"/>
      <c r="L89" s="87" t="s">
        <v>141</v>
      </c>
      <c r="M89" s="70">
        <f t="shared" ref="M89:V89" si="36">M88*M87</f>
        <v>1.75</v>
      </c>
      <c r="N89" s="70">
        <f t="shared" si="36"/>
        <v>4.3</v>
      </c>
      <c r="O89" s="70">
        <f t="shared" si="36"/>
        <v>2.2000000000000002</v>
      </c>
      <c r="P89" s="70">
        <f t="shared" si="36"/>
        <v>5.5</v>
      </c>
      <c r="Q89" s="70">
        <f t="shared" si="36"/>
        <v>11</v>
      </c>
      <c r="R89" s="70">
        <f t="shared" si="36"/>
        <v>6</v>
      </c>
      <c r="S89" s="70">
        <f t="shared" si="36"/>
        <v>65</v>
      </c>
      <c r="T89" s="70">
        <f t="shared" si="36"/>
        <v>70</v>
      </c>
      <c r="U89" s="70">
        <f t="shared" si="36"/>
        <v>0</v>
      </c>
      <c r="V89" s="70">
        <f t="shared" si="36"/>
        <v>100</v>
      </c>
      <c r="W89" s="70">
        <f>SUM(M89:V89)</f>
        <v>265.75</v>
      </c>
      <c r="X89" s="132">
        <f>W89-J89</f>
        <v>229.5</v>
      </c>
      <c r="Y89" s="94">
        <v>125</v>
      </c>
      <c r="Z89" s="94">
        <v>43.9</v>
      </c>
      <c r="AA89" s="97">
        <f>X89+Z89</f>
        <v>273.39999999999998</v>
      </c>
      <c r="AB89" s="85">
        <v>75</v>
      </c>
      <c r="AC89" s="96">
        <f>Y89-AB89</f>
        <v>50</v>
      </c>
      <c r="AD89" s="96">
        <f>X89-Y89</f>
        <v>104.5</v>
      </c>
      <c r="AE89" s="85">
        <v>15</v>
      </c>
      <c r="AF89" s="96">
        <f>AD89-AE89</f>
        <v>89.5</v>
      </c>
      <c r="AG89" s="49"/>
      <c r="AH89" s="98">
        <f>(SUM(Y89:Z89)/(1+10/100))*(10/100)</f>
        <v>15.354545454545454</v>
      </c>
      <c r="AI89" s="49"/>
      <c r="AJ89" s="49"/>
      <c r="AK89" s="49"/>
    </row>
    <row r="91" spans="1:37" x14ac:dyDescent="0.2">
      <c r="A91" s="83" t="s">
        <v>135</v>
      </c>
      <c r="B91" s="84">
        <v>45860</v>
      </c>
      <c r="C91" s="85"/>
      <c r="D91" s="85"/>
      <c r="E91" s="85"/>
      <c r="F91" s="85"/>
      <c r="G91" s="85"/>
      <c r="H91" s="85"/>
      <c r="I91" s="85"/>
      <c r="J91" s="85"/>
      <c r="K91" s="86"/>
      <c r="L91" s="83" t="s">
        <v>136</v>
      </c>
      <c r="M91" s="84">
        <v>45860</v>
      </c>
      <c r="N91" s="85"/>
      <c r="O91" s="85"/>
      <c r="P91" s="85"/>
      <c r="Q91" s="85"/>
      <c r="R91" s="85"/>
      <c r="S91" s="85"/>
      <c r="T91" s="85"/>
      <c r="U91" s="85"/>
      <c r="V91" s="85"/>
      <c r="W91" s="87" t="s">
        <v>141</v>
      </c>
      <c r="X91" s="88" t="s">
        <v>192</v>
      </c>
      <c r="Y91" s="89" t="s">
        <v>142</v>
      </c>
      <c r="Z91" s="90" t="s">
        <v>193</v>
      </c>
      <c r="AA91" s="91" t="s">
        <v>194</v>
      </c>
      <c r="AB91" s="88" t="s">
        <v>288</v>
      </c>
      <c r="AC91" s="87" t="s">
        <v>195</v>
      </c>
      <c r="AD91" s="87" t="s">
        <v>196</v>
      </c>
      <c r="AE91" s="88" t="s">
        <v>197</v>
      </c>
      <c r="AF91" s="87" t="s">
        <v>198</v>
      </c>
      <c r="AG91" s="49"/>
      <c r="AH91" s="92"/>
      <c r="AI91" s="49"/>
      <c r="AJ91" s="49"/>
      <c r="AK91" s="49"/>
    </row>
    <row r="92" spans="1:37" x14ac:dyDescent="0.2">
      <c r="A92" s="87" t="s">
        <v>199</v>
      </c>
      <c r="B92" s="93">
        <v>0.05</v>
      </c>
      <c r="C92" s="93">
        <v>0.1</v>
      </c>
      <c r="D92" s="93">
        <v>0.2</v>
      </c>
      <c r="E92" s="93">
        <v>0.5</v>
      </c>
      <c r="F92" s="93">
        <v>1</v>
      </c>
      <c r="G92" s="93">
        <v>2</v>
      </c>
      <c r="H92" s="93">
        <v>5</v>
      </c>
      <c r="I92" s="93">
        <v>10</v>
      </c>
      <c r="J92" s="49"/>
      <c r="K92" s="86"/>
      <c r="L92" s="87" t="s">
        <v>199</v>
      </c>
      <c r="M92" s="93">
        <v>0.05</v>
      </c>
      <c r="N92" s="93">
        <v>0.1</v>
      </c>
      <c r="O92" s="93">
        <v>0.2</v>
      </c>
      <c r="P92" s="93">
        <v>0.5</v>
      </c>
      <c r="Q92" s="93">
        <v>1</v>
      </c>
      <c r="R92" s="93">
        <v>2</v>
      </c>
      <c r="S92" s="93">
        <v>5</v>
      </c>
      <c r="T92" s="93">
        <v>10</v>
      </c>
      <c r="U92" s="93">
        <v>20</v>
      </c>
      <c r="V92" s="93">
        <v>50</v>
      </c>
      <c r="W92" s="85"/>
      <c r="X92" s="129"/>
      <c r="Y92" s="49"/>
      <c r="Z92" s="94"/>
      <c r="AA92" s="95"/>
      <c r="AB92" s="85"/>
      <c r="AC92" s="85"/>
      <c r="AD92" s="85"/>
      <c r="AE92" s="85"/>
      <c r="AF92" s="85"/>
      <c r="AG92" s="49"/>
      <c r="AH92" s="92"/>
      <c r="AI92" s="49"/>
      <c r="AJ92" s="49"/>
      <c r="AK92" s="49"/>
    </row>
    <row r="93" spans="1:37" x14ac:dyDescent="0.2">
      <c r="A93" s="87" t="s">
        <v>200</v>
      </c>
      <c r="B93" s="38">
        <v>35</v>
      </c>
      <c r="C93" s="38">
        <v>43</v>
      </c>
      <c r="D93" s="49">
        <v>11</v>
      </c>
      <c r="E93" s="49">
        <v>6</v>
      </c>
      <c r="F93" s="85">
        <v>11</v>
      </c>
      <c r="G93" s="85">
        <v>3</v>
      </c>
      <c r="H93" s="85">
        <v>2</v>
      </c>
      <c r="I93" s="85"/>
      <c r="J93" s="85"/>
      <c r="K93" s="86"/>
      <c r="L93" s="87" t="s">
        <v>200</v>
      </c>
      <c r="M93" s="38">
        <v>33</v>
      </c>
      <c r="N93" s="38">
        <v>29</v>
      </c>
      <c r="O93" s="49">
        <v>9</v>
      </c>
      <c r="P93" s="49">
        <v>2</v>
      </c>
      <c r="Q93" s="85">
        <v>9</v>
      </c>
      <c r="R93" s="85">
        <v>5</v>
      </c>
      <c r="S93" s="85">
        <v>10</v>
      </c>
      <c r="T93" s="85">
        <v>4</v>
      </c>
      <c r="U93" s="85">
        <v>2</v>
      </c>
      <c r="V93" s="85">
        <v>2</v>
      </c>
      <c r="W93" s="85"/>
      <c r="X93" s="129"/>
      <c r="Y93" s="49"/>
      <c r="Z93" s="94"/>
      <c r="AA93" s="95"/>
      <c r="AB93" s="85"/>
      <c r="AC93" s="85"/>
      <c r="AD93" s="85"/>
      <c r="AE93" s="85"/>
      <c r="AF93" s="85"/>
      <c r="AG93" s="49"/>
      <c r="AH93" s="92"/>
      <c r="AI93" s="49"/>
      <c r="AJ93" s="49"/>
      <c r="AK93" s="49"/>
    </row>
    <row r="94" spans="1:37" x14ac:dyDescent="0.2">
      <c r="A94" s="87" t="s">
        <v>141</v>
      </c>
      <c r="B94" s="70">
        <f t="shared" ref="B94:I94" si="37">B93*B92</f>
        <v>1.75</v>
      </c>
      <c r="C94" s="70">
        <f t="shared" si="37"/>
        <v>4.3</v>
      </c>
      <c r="D94" s="70">
        <f t="shared" si="37"/>
        <v>2.2000000000000002</v>
      </c>
      <c r="E94" s="70">
        <f t="shared" si="37"/>
        <v>3</v>
      </c>
      <c r="F94" s="70">
        <f t="shared" si="37"/>
        <v>11</v>
      </c>
      <c r="G94" s="70">
        <f t="shared" si="37"/>
        <v>6</v>
      </c>
      <c r="H94" s="70">
        <f t="shared" si="37"/>
        <v>10</v>
      </c>
      <c r="I94" s="70">
        <f t="shared" si="37"/>
        <v>0</v>
      </c>
      <c r="J94" s="70">
        <f>SUM(B94:I94)</f>
        <v>38.25</v>
      </c>
      <c r="K94" s="86"/>
      <c r="L94" s="87" t="s">
        <v>141</v>
      </c>
      <c r="M94" s="70">
        <f t="shared" ref="M94:V94" si="38">M93*M92</f>
        <v>1.6500000000000001</v>
      </c>
      <c r="N94" s="70">
        <f t="shared" si="38"/>
        <v>2.9000000000000004</v>
      </c>
      <c r="O94" s="70">
        <f t="shared" si="38"/>
        <v>1.8</v>
      </c>
      <c r="P94" s="70">
        <f t="shared" si="38"/>
        <v>1</v>
      </c>
      <c r="Q94" s="70">
        <f t="shared" si="38"/>
        <v>9</v>
      </c>
      <c r="R94" s="70">
        <f t="shared" si="38"/>
        <v>10</v>
      </c>
      <c r="S94" s="70">
        <f t="shared" si="38"/>
        <v>50</v>
      </c>
      <c r="T94" s="70">
        <f t="shared" si="38"/>
        <v>40</v>
      </c>
      <c r="U94" s="70">
        <f t="shared" si="38"/>
        <v>40</v>
      </c>
      <c r="V94" s="70">
        <f t="shared" si="38"/>
        <v>100</v>
      </c>
      <c r="W94" s="70">
        <f>SUM(M94:V94)</f>
        <v>256.35000000000002</v>
      </c>
      <c r="X94" s="132">
        <f>W94-J94</f>
        <v>218.10000000000002</v>
      </c>
      <c r="Y94" s="94">
        <v>101.9</v>
      </c>
      <c r="Z94" s="94">
        <v>125.1</v>
      </c>
      <c r="AA94" s="97">
        <f>X94+Z94</f>
        <v>343.20000000000005</v>
      </c>
      <c r="AB94" s="85">
        <v>70</v>
      </c>
      <c r="AC94" s="96">
        <f>Y94-AB94</f>
        <v>31.900000000000006</v>
      </c>
      <c r="AD94" s="96">
        <f>X94-Y94</f>
        <v>116.20000000000002</v>
      </c>
      <c r="AE94" s="85">
        <v>1.2</v>
      </c>
      <c r="AF94" s="96">
        <f>AD94-AE94</f>
        <v>115.00000000000001</v>
      </c>
      <c r="AG94" s="49"/>
      <c r="AH94" s="98">
        <f>(SUM(Y94:Z94)/(1+10/100))*(10/100)</f>
        <v>20.636363636363637</v>
      </c>
      <c r="AI94" s="49"/>
      <c r="AJ94" s="49"/>
      <c r="AK94" s="49"/>
    </row>
    <row r="95" spans="1:37" x14ac:dyDescent="0.2">
      <c r="AI95" s="38"/>
      <c r="AJ95" s="38"/>
    </row>
    <row r="96" spans="1:37" x14ac:dyDescent="0.2">
      <c r="A96" s="83" t="s">
        <v>135</v>
      </c>
      <c r="B96" s="84">
        <v>45861</v>
      </c>
      <c r="C96" s="85"/>
      <c r="D96" s="85"/>
      <c r="E96" s="85"/>
      <c r="F96" s="85"/>
      <c r="G96" s="85"/>
      <c r="H96" s="85"/>
      <c r="I96" s="85"/>
      <c r="J96" s="85"/>
      <c r="K96" s="86"/>
      <c r="L96" s="83" t="s">
        <v>136</v>
      </c>
      <c r="M96" s="84">
        <v>45861</v>
      </c>
      <c r="N96" s="85"/>
      <c r="O96" s="85"/>
      <c r="P96" s="85"/>
      <c r="Q96" s="85"/>
      <c r="R96" s="85"/>
      <c r="S96" s="85"/>
      <c r="T96" s="85"/>
      <c r="U96" s="85"/>
      <c r="V96" s="85"/>
      <c r="W96" s="87" t="s">
        <v>141</v>
      </c>
      <c r="X96" s="88" t="s">
        <v>192</v>
      </c>
      <c r="Y96" s="89" t="s">
        <v>142</v>
      </c>
      <c r="Z96" s="90" t="s">
        <v>193</v>
      </c>
      <c r="AA96" s="91" t="s">
        <v>194</v>
      </c>
      <c r="AB96" s="88" t="s">
        <v>288</v>
      </c>
      <c r="AC96" s="87" t="s">
        <v>195</v>
      </c>
      <c r="AD96" s="87" t="s">
        <v>196</v>
      </c>
      <c r="AE96" s="88" t="s">
        <v>197</v>
      </c>
      <c r="AF96" s="87" t="s">
        <v>198</v>
      </c>
      <c r="AG96" s="49"/>
      <c r="AH96" s="92"/>
      <c r="AI96" s="49"/>
      <c r="AJ96" s="49"/>
      <c r="AK96" s="49"/>
    </row>
    <row r="97" spans="1:37" x14ac:dyDescent="0.2">
      <c r="A97" s="87" t="s">
        <v>199</v>
      </c>
      <c r="B97" s="93">
        <v>0.05</v>
      </c>
      <c r="C97" s="93">
        <v>0.1</v>
      </c>
      <c r="D97" s="93">
        <v>0.2</v>
      </c>
      <c r="E97" s="93">
        <v>0.5</v>
      </c>
      <c r="F97" s="93">
        <v>1</v>
      </c>
      <c r="G97" s="93">
        <v>2</v>
      </c>
      <c r="H97" s="93">
        <v>5</v>
      </c>
      <c r="I97" s="93">
        <v>10</v>
      </c>
      <c r="J97" s="49"/>
      <c r="K97" s="86"/>
      <c r="L97" s="87" t="s">
        <v>199</v>
      </c>
      <c r="M97" s="93">
        <v>0.05</v>
      </c>
      <c r="N97" s="93">
        <v>0.1</v>
      </c>
      <c r="O97" s="93">
        <v>0.2</v>
      </c>
      <c r="P97" s="93">
        <v>0.5</v>
      </c>
      <c r="Q97" s="93">
        <v>1</v>
      </c>
      <c r="R97" s="93">
        <v>2</v>
      </c>
      <c r="S97" s="93">
        <v>5</v>
      </c>
      <c r="T97" s="93">
        <v>10</v>
      </c>
      <c r="U97" s="93">
        <v>20</v>
      </c>
      <c r="V97" s="93">
        <v>50</v>
      </c>
      <c r="W97" s="85"/>
      <c r="X97" s="129"/>
      <c r="Y97" s="49"/>
      <c r="Z97" s="94"/>
      <c r="AA97" s="95"/>
      <c r="AB97" s="85"/>
      <c r="AC97" s="85"/>
      <c r="AD97" s="85"/>
      <c r="AE97" s="85"/>
      <c r="AF97" s="85"/>
      <c r="AG97" s="49"/>
      <c r="AH97" s="92"/>
      <c r="AI97" s="49"/>
      <c r="AJ97" s="49"/>
      <c r="AK97" s="49"/>
    </row>
    <row r="98" spans="1:37" x14ac:dyDescent="0.2">
      <c r="A98" s="87" t="s">
        <v>200</v>
      </c>
      <c r="B98" s="38">
        <v>33</v>
      </c>
      <c r="C98" s="38">
        <v>29</v>
      </c>
      <c r="D98" s="49">
        <v>9</v>
      </c>
      <c r="E98" s="49">
        <v>2</v>
      </c>
      <c r="F98" s="85">
        <v>9</v>
      </c>
      <c r="G98" s="85">
        <v>5</v>
      </c>
      <c r="H98" s="85">
        <v>2</v>
      </c>
      <c r="I98" s="85"/>
      <c r="J98" s="85"/>
      <c r="K98" s="86"/>
      <c r="L98" s="87" t="s">
        <v>200</v>
      </c>
      <c r="M98" s="38">
        <v>32</v>
      </c>
      <c r="N98" s="38">
        <v>27</v>
      </c>
      <c r="O98" s="49">
        <v>13</v>
      </c>
      <c r="P98" s="49">
        <v>6</v>
      </c>
      <c r="Q98" s="85">
        <v>24</v>
      </c>
      <c r="R98" s="85">
        <v>19</v>
      </c>
      <c r="S98" s="85">
        <v>3</v>
      </c>
      <c r="T98" s="85">
        <v>3</v>
      </c>
      <c r="U98" s="85">
        <v>5</v>
      </c>
      <c r="V98" s="85">
        <v>1</v>
      </c>
      <c r="W98" s="85"/>
      <c r="X98" s="129"/>
      <c r="Y98" s="49"/>
      <c r="Z98" s="94"/>
      <c r="AA98" s="95"/>
      <c r="AB98" s="85"/>
      <c r="AC98" s="85"/>
      <c r="AD98" s="85"/>
      <c r="AE98" s="85"/>
      <c r="AF98" s="85"/>
      <c r="AG98" s="49"/>
      <c r="AH98" s="92"/>
      <c r="AI98" s="49"/>
      <c r="AJ98" s="49"/>
      <c r="AK98" s="49"/>
    </row>
    <row r="99" spans="1:37" x14ac:dyDescent="0.2">
      <c r="A99" s="87" t="s">
        <v>141</v>
      </c>
      <c r="B99" s="70">
        <f t="shared" ref="B99:I99" si="39">B98*B97</f>
        <v>1.6500000000000001</v>
      </c>
      <c r="C99" s="70">
        <f t="shared" si="39"/>
        <v>2.9000000000000004</v>
      </c>
      <c r="D99" s="70">
        <f t="shared" si="39"/>
        <v>1.8</v>
      </c>
      <c r="E99" s="70">
        <f t="shared" si="39"/>
        <v>1</v>
      </c>
      <c r="F99" s="70">
        <f t="shared" si="39"/>
        <v>9</v>
      </c>
      <c r="G99" s="70">
        <f t="shared" si="39"/>
        <v>10</v>
      </c>
      <c r="H99" s="70">
        <f t="shared" si="39"/>
        <v>10</v>
      </c>
      <c r="I99" s="70">
        <f t="shared" si="39"/>
        <v>0</v>
      </c>
      <c r="J99" s="70">
        <f>SUM(B99:I99)</f>
        <v>36.35</v>
      </c>
      <c r="K99" s="86"/>
      <c r="L99" s="87" t="s">
        <v>141</v>
      </c>
      <c r="M99" s="70">
        <f t="shared" ref="M99:V99" si="40">M98*M97</f>
        <v>1.6</v>
      </c>
      <c r="N99" s="70">
        <f t="shared" si="40"/>
        <v>2.7</v>
      </c>
      <c r="O99" s="70">
        <f t="shared" si="40"/>
        <v>2.6</v>
      </c>
      <c r="P99" s="70">
        <f t="shared" si="40"/>
        <v>3</v>
      </c>
      <c r="Q99" s="70">
        <f t="shared" si="40"/>
        <v>24</v>
      </c>
      <c r="R99" s="70">
        <f t="shared" si="40"/>
        <v>38</v>
      </c>
      <c r="S99" s="70">
        <f t="shared" si="40"/>
        <v>15</v>
      </c>
      <c r="T99" s="70">
        <f t="shared" si="40"/>
        <v>30</v>
      </c>
      <c r="U99" s="70">
        <f t="shared" si="40"/>
        <v>100</v>
      </c>
      <c r="V99" s="70">
        <f t="shared" si="40"/>
        <v>50</v>
      </c>
      <c r="W99" s="70">
        <f>SUM(M99:V99)</f>
        <v>266.89999999999998</v>
      </c>
      <c r="X99" s="132">
        <f>W99-J99</f>
        <v>230.54999999999998</v>
      </c>
      <c r="Y99" s="94">
        <v>49.2</v>
      </c>
      <c r="Z99" s="94">
        <v>84.9</v>
      </c>
      <c r="AA99" s="97">
        <f>X99+Z99</f>
        <v>315.45</v>
      </c>
      <c r="AB99" s="85">
        <v>49.2</v>
      </c>
      <c r="AC99" s="96">
        <f>Y99-AB99</f>
        <v>0</v>
      </c>
      <c r="AD99" s="96">
        <f>X99-Y99</f>
        <v>181.34999999999997</v>
      </c>
      <c r="AE99" s="85">
        <v>30</v>
      </c>
      <c r="AF99" s="96">
        <f>AD99-AE99</f>
        <v>151.34999999999997</v>
      </c>
      <c r="AG99" s="49"/>
      <c r="AH99" s="98">
        <f>(SUM(Y99:Z99)/(1+10/100))*(10/100)</f>
        <v>12.190909090909093</v>
      </c>
      <c r="AI99" s="49"/>
      <c r="AJ99" s="49"/>
      <c r="AK99" s="49"/>
    </row>
    <row r="101" spans="1:37" x14ac:dyDescent="0.2">
      <c r="A101" s="83" t="s">
        <v>135</v>
      </c>
      <c r="B101" s="84">
        <v>45862</v>
      </c>
      <c r="C101" s="85"/>
      <c r="D101" s="85"/>
      <c r="E101" s="85"/>
      <c r="F101" s="85"/>
      <c r="G101" s="85"/>
      <c r="H101" s="85"/>
      <c r="I101" s="85"/>
      <c r="J101" s="85"/>
      <c r="K101" s="86"/>
      <c r="L101" s="83" t="s">
        <v>136</v>
      </c>
      <c r="M101" s="84">
        <v>45862</v>
      </c>
      <c r="N101" s="85"/>
      <c r="O101" s="85"/>
      <c r="P101" s="85"/>
      <c r="Q101" s="85"/>
      <c r="R101" s="85"/>
      <c r="S101" s="85"/>
      <c r="T101" s="85"/>
      <c r="U101" s="85"/>
      <c r="V101" s="85"/>
      <c r="W101" s="87" t="s">
        <v>141</v>
      </c>
      <c r="X101" s="88" t="s">
        <v>192</v>
      </c>
      <c r="Y101" s="89" t="s">
        <v>142</v>
      </c>
      <c r="Z101" s="90" t="s">
        <v>193</v>
      </c>
      <c r="AA101" s="91" t="s">
        <v>194</v>
      </c>
      <c r="AB101" s="88" t="s">
        <v>288</v>
      </c>
      <c r="AC101" s="87" t="s">
        <v>195</v>
      </c>
      <c r="AD101" s="87" t="s">
        <v>196</v>
      </c>
      <c r="AE101" s="88" t="s">
        <v>197</v>
      </c>
      <c r="AF101" s="87" t="s">
        <v>198</v>
      </c>
      <c r="AG101" s="49"/>
      <c r="AH101" s="92"/>
      <c r="AI101" s="49"/>
      <c r="AJ101" s="49"/>
      <c r="AK101" s="49"/>
    </row>
    <row r="102" spans="1:37" x14ac:dyDescent="0.2">
      <c r="A102" s="87" t="s">
        <v>199</v>
      </c>
      <c r="B102" s="93">
        <v>0.05</v>
      </c>
      <c r="C102" s="93">
        <v>0.1</v>
      </c>
      <c r="D102" s="93">
        <v>0.2</v>
      </c>
      <c r="E102" s="93">
        <v>0.5</v>
      </c>
      <c r="F102" s="93">
        <v>1</v>
      </c>
      <c r="G102" s="93">
        <v>2</v>
      </c>
      <c r="H102" s="93">
        <v>5</v>
      </c>
      <c r="I102" s="93">
        <v>10</v>
      </c>
      <c r="J102" s="49"/>
      <c r="K102" s="86"/>
      <c r="L102" s="87" t="s">
        <v>199</v>
      </c>
      <c r="M102" s="93">
        <v>0.05</v>
      </c>
      <c r="N102" s="93">
        <v>0.1</v>
      </c>
      <c r="O102" s="93">
        <v>0.2</v>
      </c>
      <c r="P102" s="93">
        <v>0.5</v>
      </c>
      <c r="Q102" s="93">
        <v>1</v>
      </c>
      <c r="R102" s="93">
        <v>2</v>
      </c>
      <c r="S102" s="93">
        <v>5</v>
      </c>
      <c r="T102" s="93">
        <v>10</v>
      </c>
      <c r="U102" s="93">
        <v>20</v>
      </c>
      <c r="V102" s="93">
        <v>50</v>
      </c>
      <c r="W102" s="85"/>
      <c r="X102" s="129"/>
      <c r="Y102" s="49"/>
      <c r="Z102" s="94"/>
      <c r="AA102" s="95"/>
      <c r="AB102" s="85"/>
      <c r="AC102" s="85"/>
      <c r="AD102" s="85"/>
      <c r="AE102" s="85"/>
      <c r="AF102" s="85"/>
      <c r="AG102" s="49"/>
      <c r="AH102" s="92"/>
      <c r="AI102" s="49"/>
      <c r="AJ102" s="49"/>
      <c r="AK102" s="49"/>
    </row>
    <row r="103" spans="1:37" x14ac:dyDescent="0.2">
      <c r="A103" s="87" t="s">
        <v>200</v>
      </c>
      <c r="B103" s="109">
        <v>32</v>
      </c>
      <c r="C103" s="109">
        <v>27</v>
      </c>
      <c r="D103" s="110">
        <v>13</v>
      </c>
      <c r="E103" s="110">
        <v>6</v>
      </c>
      <c r="F103" s="113">
        <v>10</v>
      </c>
      <c r="G103" s="113">
        <v>5</v>
      </c>
      <c r="H103" s="113">
        <v>2</v>
      </c>
      <c r="I103" s="113"/>
      <c r="J103" s="85"/>
      <c r="K103" s="86"/>
      <c r="L103" s="87" t="s">
        <v>200</v>
      </c>
      <c r="M103" s="38">
        <v>35</v>
      </c>
      <c r="N103" s="38">
        <v>37</v>
      </c>
      <c r="O103" s="49">
        <v>26</v>
      </c>
      <c r="P103" s="49">
        <v>19</v>
      </c>
      <c r="Q103" s="85">
        <v>12</v>
      </c>
      <c r="R103" s="85">
        <v>22</v>
      </c>
      <c r="S103" s="85">
        <v>10</v>
      </c>
      <c r="T103" s="85">
        <v>2</v>
      </c>
      <c r="U103" s="85">
        <v>5</v>
      </c>
      <c r="V103" s="85">
        <v>2</v>
      </c>
      <c r="W103" s="85"/>
      <c r="X103" s="129"/>
      <c r="Y103" s="49"/>
      <c r="Z103" s="94"/>
      <c r="AA103" s="95"/>
      <c r="AB103" s="85"/>
      <c r="AC103" s="85"/>
      <c r="AD103" s="85"/>
      <c r="AE103" s="85"/>
      <c r="AF103" s="85"/>
      <c r="AG103" s="49"/>
      <c r="AH103" s="92"/>
      <c r="AI103" s="49"/>
      <c r="AJ103" s="49"/>
      <c r="AK103" s="49"/>
    </row>
    <row r="104" spans="1:37" x14ac:dyDescent="0.2">
      <c r="A104" s="87" t="s">
        <v>141</v>
      </c>
      <c r="B104" s="70">
        <f t="shared" ref="B104:I104" si="41">B103*B102</f>
        <v>1.6</v>
      </c>
      <c r="C104" s="70">
        <f t="shared" si="41"/>
        <v>2.7</v>
      </c>
      <c r="D104" s="70">
        <f t="shared" si="41"/>
        <v>2.6</v>
      </c>
      <c r="E104" s="70">
        <f t="shared" si="41"/>
        <v>3</v>
      </c>
      <c r="F104" s="70">
        <f t="shared" si="41"/>
        <v>10</v>
      </c>
      <c r="G104" s="70">
        <f t="shared" si="41"/>
        <v>10</v>
      </c>
      <c r="H104" s="70">
        <f t="shared" si="41"/>
        <v>10</v>
      </c>
      <c r="I104" s="70">
        <f t="shared" si="41"/>
        <v>0</v>
      </c>
      <c r="J104" s="70">
        <f>SUM(B104:I104)</f>
        <v>39.9</v>
      </c>
      <c r="K104" s="86"/>
      <c r="L104" s="87" t="s">
        <v>141</v>
      </c>
      <c r="M104" s="70">
        <f t="shared" ref="M104:V104" si="42">M103*M102</f>
        <v>1.75</v>
      </c>
      <c r="N104" s="70">
        <f t="shared" si="42"/>
        <v>3.7</v>
      </c>
      <c r="O104" s="70">
        <f t="shared" si="42"/>
        <v>5.2</v>
      </c>
      <c r="P104" s="70">
        <f t="shared" si="42"/>
        <v>9.5</v>
      </c>
      <c r="Q104" s="70">
        <f t="shared" si="42"/>
        <v>12</v>
      </c>
      <c r="R104" s="70">
        <f t="shared" si="42"/>
        <v>44</v>
      </c>
      <c r="S104" s="70">
        <f t="shared" si="42"/>
        <v>50</v>
      </c>
      <c r="T104" s="70">
        <f t="shared" si="42"/>
        <v>20</v>
      </c>
      <c r="U104" s="70">
        <f t="shared" si="42"/>
        <v>100</v>
      </c>
      <c r="V104" s="70">
        <f t="shared" si="42"/>
        <v>100</v>
      </c>
      <c r="W104" s="70">
        <f>SUM(M104:V104)</f>
        <v>346.15</v>
      </c>
      <c r="X104" s="132">
        <f>W104-J104</f>
        <v>306.25</v>
      </c>
      <c r="Y104" s="94">
        <v>140</v>
      </c>
      <c r="Z104" s="94">
        <v>8</v>
      </c>
      <c r="AA104" s="97">
        <f>X104+Z104</f>
        <v>314.25</v>
      </c>
      <c r="AB104" s="85">
        <v>75</v>
      </c>
      <c r="AC104" s="96">
        <f>Y104-AB104</f>
        <v>65</v>
      </c>
      <c r="AD104" s="96">
        <f>X104-Y104</f>
        <v>166.25</v>
      </c>
      <c r="AE104" s="85">
        <v>6</v>
      </c>
      <c r="AF104" s="96">
        <f>AD104-AE104</f>
        <v>160.25</v>
      </c>
      <c r="AG104" s="49"/>
      <c r="AH104" s="98">
        <f>(SUM(Y104:Z104)/(1+10/100))*(10/100)</f>
        <v>13.454545454545453</v>
      </c>
      <c r="AI104" s="49"/>
      <c r="AJ104" s="49"/>
      <c r="AK104" s="49"/>
    </row>
    <row r="105" spans="1:37" x14ac:dyDescent="0.2">
      <c r="Z105" s="38"/>
    </row>
    <row r="106" spans="1:37" x14ac:dyDescent="0.2">
      <c r="A106" s="83" t="s">
        <v>135</v>
      </c>
      <c r="B106" s="84">
        <v>45863</v>
      </c>
      <c r="C106" s="85"/>
      <c r="D106" s="85"/>
      <c r="E106" s="85"/>
      <c r="F106" s="85"/>
      <c r="G106" s="85"/>
      <c r="H106" s="85"/>
      <c r="I106" s="85"/>
      <c r="J106" s="85"/>
      <c r="K106" s="86"/>
      <c r="L106" s="83" t="s">
        <v>136</v>
      </c>
      <c r="M106" s="84">
        <v>45863</v>
      </c>
      <c r="N106" s="85"/>
      <c r="O106" s="85"/>
      <c r="P106" s="85"/>
      <c r="Q106" s="85"/>
      <c r="R106" s="85"/>
      <c r="S106" s="85"/>
      <c r="T106" s="85"/>
      <c r="U106" s="85"/>
      <c r="V106" s="85"/>
      <c r="W106" s="87" t="s">
        <v>141</v>
      </c>
      <c r="X106" s="88" t="s">
        <v>192</v>
      </c>
      <c r="Y106" s="89" t="s">
        <v>142</v>
      </c>
      <c r="Z106" s="90" t="s">
        <v>193</v>
      </c>
      <c r="AA106" s="91" t="s">
        <v>194</v>
      </c>
      <c r="AB106" s="88" t="s">
        <v>288</v>
      </c>
      <c r="AC106" s="87" t="s">
        <v>195</v>
      </c>
      <c r="AD106" s="87" t="s">
        <v>196</v>
      </c>
      <c r="AE106" s="88" t="s">
        <v>197</v>
      </c>
      <c r="AF106" s="87" t="s">
        <v>198</v>
      </c>
      <c r="AG106" s="49"/>
      <c r="AH106" s="92"/>
      <c r="AI106" s="49"/>
      <c r="AJ106" s="49"/>
      <c r="AK106" s="49"/>
    </row>
    <row r="107" spans="1:37" x14ac:dyDescent="0.2">
      <c r="A107" s="87" t="s">
        <v>199</v>
      </c>
      <c r="B107" s="93">
        <v>0.05</v>
      </c>
      <c r="C107" s="93">
        <v>0.1</v>
      </c>
      <c r="D107" s="93">
        <v>0.2</v>
      </c>
      <c r="E107" s="93">
        <v>0.5</v>
      </c>
      <c r="F107" s="93">
        <v>1</v>
      </c>
      <c r="G107" s="93">
        <v>2</v>
      </c>
      <c r="H107" s="93">
        <v>5</v>
      </c>
      <c r="I107" s="93">
        <v>10</v>
      </c>
      <c r="J107" s="49"/>
      <c r="K107" s="86"/>
      <c r="L107" s="87" t="s">
        <v>199</v>
      </c>
      <c r="M107" s="93">
        <v>0.05</v>
      </c>
      <c r="N107" s="93">
        <v>0.1</v>
      </c>
      <c r="O107" s="93">
        <v>0.2</v>
      </c>
      <c r="P107" s="93">
        <v>0.5</v>
      </c>
      <c r="Q107" s="93">
        <v>1</v>
      </c>
      <c r="R107" s="93">
        <v>2</v>
      </c>
      <c r="S107" s="93">
        <v>5</v>
      </c>
      <c r="T107" s="93">
        <v>10</v>
      </c>
      <c r="U107" s="93">
        <v>20</v>
      </c>
      <c r="V107" s="93">
        <v>50</v>
      </c>
      <c r="W107" s="85"/>
      <c r="X107" s="129"/>
      <c r="Y107" s="49"/>
      <c r="Z107" s="94"/>
      <c r="AA107" s="95"/>
      <c r="AB107" s="85"/>
      <c r="AC107" s="85"/>
      <c r="AD107" s="85"/>
      <c r="AE107" s="85"/>
      <c r="AF107" s="85"/>
      <c r="AG107" s="49"/>
      <c r="AH107" s="92"/>
      <c r="AI107" s="49"/>
      <c r="AJ107" s="49"/>
      <c r="AK107" s="49"/>
    </row>
    <row r="108" spans="1:37" x14ac:dyDescent="0.2">
      <c r="A108" s="87" t="s">
        <v>200</v>
      </c>
      <c r="B108" s="38">
        <v>33</v>
      </c>
      <c r="C108" s="38">
        <v>29</v>
      </c>
      <c r="D108" s="49">
        <v>9</v>
      </c>
      <c r="E108" s="49">
        <v>2</v>
      </c>
      <c r="F108" s="85">
        <v>9</v>
      </c>
      <c r="G108" s="85">
        <v>5</v>
      </c>
      <c r="H108" s="85">
        <v>2</v>
      </c>
      <c r="I108" s="85"/>
      <c r="J108" s="85"/>
      <c r="K108" s="86"/>
      <c r="L108" s="87" t="s">
        <v>200</v>
      </c>
      <c r="M108" s="38">
        <v>33</v>
      </c>
      <c r="N108" s="38">
        <v>31</v>
      </c>
      <c r="O108" s="49">
        <v>21</v>
      </c>
      <c r="P108" s="49">
        <v>8</v>
      </c>
      <c r="Q108" s="85">
        <v>6</v>
      </c>
      <c r="R108" s="85">
        <v>6</v>
      </c>
      <c r="S108" s="85">
        <v>1</v>
      </c>
      <c r="T108" s="85">
        <v>9</v>
      </c>
      <c r="U108" s="85">
        <v>11</v>
      </c>
      <c r="V108" s="85">
        <v>1</v>
      </c>
      <c r="W108" s="85"/>
      <c r="X108" s="129"/>
      <c r="Y108" s="49"/>
      <c r="Z108" s="94"/>
      <c r="AA108" s="95"/>
      <c r="AB108" s="85"/>
      <c r="AC108" s="85"/>
      <c r="AD108" s="85"/>
      <c r="AE108" s="85"/>
      <c r="AF108" s="85"/>
      <c r="AG108" s="49"/>
      <c r="AH108" s="92"/>
      <c r="AI108" s="49"/>
      <c r="AJ108" s="49"/>
      <c r="AK108" s="49"/>
    </row>
    <row r="109" spans="1:37" x14ac:dyDescent="0.2">
      <c r="A109" s="87" t="s">
        <v>141</v>
      </c>
      <c r="B109" s="70">
        <f t="shared" ref="B109:I109" si="43">B108*B107</f>
        <v>1.6500000000000001</v>
      </c>
      <c r="C109" s="70">
        <f t="shared" si="43"/>
        <v>2.9000000000000004</v>
      </c>
      <c r="D109" s="70">
        <f t="shared" si="43"/>
        <v>1.8</v>
      </c>
      <c r="E109" s="70">
        <f t="shared" si="43"/>
        <v>1</v>
      </c>
      <c r="F109" s="70">
        <f t="shared" si="43"/>
        <v>9</v>
      </c>
      <c r="G109" s="70">
        <f t="shared" si="43"/>
        <v>10</v>
      </c>
      <c r="H109" s="70">
        <f t="shared" si="43"/>
        <v>10</v>
      </c>
      <c r="I109" s="70">
        <f t="shared" si="43"/>
        <v>0</v>
      </c>
      <c r="J109" s="70">
        <f>SUM(B109:I109)</f>
        <v>36.35</v>
      </c>
      <c r="K109" s="86"/>
      <c r="L109" s="87" t="s">
        <v>141</v>
      </c>
      <c r="M109" s="70">
        <f t="shared" ref="M109:V109" si="44">M108*M107</f>
        <v>1.6500000000000001</v>
      </c>
      <c r="N109" s="70">
        <f t="shared" si="44"/>
        <v>3.1</v>
      </c>
      <c r="O109" s="70">
        <f t="shared" si="44"/>
        <v>4.2</v>
      </c>
      <c r="P109" s="70">
        <f t="shared" si="44"/>
        <v>4</v>
      </c>
      <c r="Q109" s="70">
        <f t="shared" si="44"/>
        <v>6</v>
      </c>
      <c r="R109" s="70">
        <f t="shared" si="44"/>
        <v>12</v>
      </c>
      <c r="S109" s="70">
        <f t="shared" si="44"/>
        <v>5</v>
      </c>
      <c r="T109" s="70">
        <f t="shared" si="44"/>
        <v>90</v>
      </c>
      <c r="U109" s="70">
        <f t="shared" si="44"/>
        <v>220</v>
      </c>
      <c r="V109" s="70">
        <f t="shared" si="44"/>
        <v>50</v>
      </c>
      <c r="W109" s="70">
        <f>SUM(M109:V109)</f>
        <v>395.95</v>
      </c>
      <c r="X109" s="132">
        <f>W109-J109</f>
        <v>359.59999999999997</v>
      </c>
      <c r="Y109" s="94">
        <v>237.4</v>
      </c>
      <c r="Z109" s="94">
        <v>134.6</v>
      </c>
      <c r="AA109" s="97">
        <f>X109+Z109</f>
        <v>494.19999999999993</v>
      </c>
      <c r="AB109" s="85">
        <v>50</v>
      </c>
      <c r="AC109" s="96">
        <f>Y109-AB109</f>
        <v>187.4</v>
      </c>
      <c r="AD109" s="96">
        <f>X109-Y109</f>
        <v>122.19999999999996</v>
      </c>
      <c r="AE109" s="85"/>
      <c r="AF109" s="96">
        <f>AD109-AE109</f>
        <v>122.19999999999996</v>
      </c>
      <c r="AG109" s="49"/>
      <c r="AH109" s="98">
        <f>(SUM(Y109:Z109)/(1+10/100))*(10/100)</f>
        <v>33.818181818181813</v>
      </c>
      <c r="AI109" s="49"/>
      <c r="AJ109" s="49"/>
      <c r="AK109" s="49"/>
    </row>
    <row r="110" spans="1:37" x14ac:dyDescent="0.2">
      <c r="AC110" s="38">
        <v>-30</v>
      </c>
    </row>
    <row r="111" spans="1:37" x14ac:dyDescent="0.2">
      <c r="A111" s="83" t="s">
        <v>135</v>
      </c>
      <c r="B111" s="84">
        <v>45864</v>
      </c>
      <c r="C111" s="85"/>
      <c r="D111" s="85"/>
      <c r="E111" s="85"/>
      <c r="F111" s="85"/>
      <c r="G111" s="85"/>
      <c r="H111" s="85"/>
      <c r="I111" s="85"/>
      <c r="J111" s="85"/>
      <c r="K111" s="86"/>
      <c r="L111" s="83" t="s">
        <v>136</v>
      </c>
      <c r="M111" s="84">
        <v>45864</v>
      </c>
      <c r="N111" s="85"/>
      <c r="O111" s="85"/>
      <c r="P111" s="85"/>
      <c r="Q111" s="85"/>
      <c r="R111" s="85"/>
      <c r="S111" s="85"/>
      <c r="T111" s="85"/>
      <c r="U111" s="85"/>
      <c r="V111" s="85"/>
      <c r="W111" s="87" t="s">
        <v>141</v>
      </c>
      <c r="X111" s="88" t="s">
        <v>192</v>
      </c>
      <c r="Y111" s="89" t="s">
        <v>142</v>
      </c>
      <c r="Z111" s="90" t="s">
        <v>193</v>
      </c>
      <c r="AA111" s="91" t="s">
        <v>194</v>
      </c>
      <c r="AB111" s="88" t="s">
        <v>288</v>
      </c>
      <c r="AC111" s="87" t="s">
        <v>195</v>
      </c>
      <c r="AD111" s="87" t="s">
        <v>196</v>
      </c>
      <c r="AE111" s="88" t="s">
        <v>197</v>
      </c>
      <c r="AF111" s="87" t="s">
        <v>198</v>
      </c>
      <c r="AG111" s="49"/>
      <c r="AH111" s="92"/>
      <c r="AI111" s="49"/>
      <c r="AJ111" s="49"/>
      <c r="AK111" s="49"/>
    </row>
    <row r="112" spans="1:37" x14ac:dyDescent="0.2">
      <c r="A112" s="87" t="s">
        <v>199</v>
      </c>
      <c r="B112" s="93">
        <v>0.05</v>
      </c>
      <c r="C112" s="93">
        <v>0.1</v>
      </c>
      <c r="D112" s="93">
        <v>0.2</v>
      </c>
      <c r="E112" s="93">
        <v>0.5</v>
      </c>
      <c r="F112" s="93">
        <v>1</v>
      </c>
      <c r="G112" s="93">
        <v>2</v>
      </c>
      <c r="H112" s="93">
        <v>5</v>
      </c>
      <c r="I112" s="93">
        <v>10</v>
      </c>
      <c r="J112" s="49"/>
      <c r="K112" s="86"/>
      <c r="L112" s="87" t="s">
        <v>199</v>
      </c>
      <c r="M112" s="93">
        <v>0.05</v>
      </c>
      <c r="N112" s="93">
        <v>0.1</v>
      </c>
      <c r="O112" s="93">
        <v>0.2</v>
      </c>
      <c r="P112" s="93">
        <v>0.5</v>
      </c>
      <c r="Q112" s="93">
        <v>1</v>
      </c>
      <c r="R112" s="93">
        <v>2</v>
      </c>
      <c r="S112" s="93">
        <v>5</v>
      </c>
      <c r="T112" s="93">
        <v>10</v>
      </c>
      <c r="U112" s="93">
        <v>20</v>
      </c>
      <c r="V112" s="93">
        <v>50</v>
      </c>
      <c r="W112" s="85"/>
      <c r="X112" s="129"/>
      <c r="Y112" s="49"/>
      <c r="Z112" s="94"/>
      <c r="AA112" s="95"/>
      <c r="AB112" s="85"/>
      <c r="AC112" s="85"/>
      <c r="AD112" s="85"/>
      <c r="AE112" s="85"/>
      <c r="AF112" s="85"/>
      <c r="AG112" s="49"/>
      <c r="AH112" s="92"/>
      <c r="AI112" s="49"/>
      <c r="AJ112" s="49"/>
      <c r="AK112" s="49"/>
    </row>
    <row r="113" spans="1:37" x14ac:dyDescent="0.2">
      <c r="A113" s="87" t="s">
        <v>200</v>
      </c>
      <c r="B113" s="38">
        <v>33</v>
      </c>
      <c r="C113" s="38">
        <v>31</v>
      </c>
      <c r="D113" s="49">
        <v>21</v>
      </c>
      <c r="E113" s="49">
        <v>8</v>
      </c>
      <c r="F113" s="85">
        <v>6</v>
      </c>
      <c r="G113" s="85">
        <v>6</v>
      </c>
      <c r="H113" s="85">
        <v>1</v>
      </c>
      <c r="I113" s="85"/>
      <c r="J113" s="85"/>
      <c r="K113" s="86"/>
      <c r="L113" s="87" t="s">
        <v>200</v>
      </c>
      <c r="M113" s="38">
        <v>33</v>
      </c>
      <c r="N113" s="38">
        <v>26</v>
      </c>
      <c r="O113" s="49">
        <v>26</v>
      </c>
      <c r="P113" s="49">
        <v>8</v>
      </c>
      <c r="Q113" s="85">
        <v>6</v>
      </c>
      <c r="R113" s="85">
        <v>6</v>
      </c>
      <c r="S113" s="85">
        <v>7</v>
      </c>
      <c r="T113" s="85">
        <v>2</v>
      </c>
      <c r="U113" s="85">
        <v>9</v>
      </c>
      <c r="V113" s="85"/>
      <c r="W113" s="85"/>
      <c r="X113" s="129"/>
      <c r="Y113" s="49"/>
      <c r="Z113" s="94"/>
      <c r="AA113" s="95"/>
      <c r="AB113" s="85"/>
      <c r="AC113" s="85"/>
      <c r="AD113" s="85"/>
      <c r="AE113" s="85"/>
      <c r="AF113" s="85"/>
      <c r="AG113" s="49"/>
      <c r="AH113" s="92"/>
      <c r="AI113" s="49"/>
      <c r="AJ113" s="49"/>
      <c r="AK113" s="49"/>
    </row>
    <row r="114" spans="1:37" x14ac:dyDescent="0.2">
      <c r="A114" s="87" t="s">
        <v>141</v>
      </c>
      <c r="B114" s="70">
        <f t="shared" ref="B114:I114" si="45">B113*B112</f>
        <v>1.6500000000000001</v>
      </c>
      <c r="C114" s="70">
        <f t="shared" si="45"/>
        <v>3.1</v>
      </c>
      <c r="D114" s="70">
        <f t="shared" si="45"/>
        <v>4.2</v>
      </c>
      <c r="E114" s="70">
        <f t="shared" si="45"/>
        <v>4</v>
      </c>
      <c r="F114" s="70">
        <f t="shared" si="45"/>
        <v>6</v>
      </c>
      <c r="G114" s="70">
        <f t="shared" si="45"/>
        <v>12</v>
      </c>
      <c r="H114" s="70">
        <f t="shared" si="45"/>
        <v>5</v>
      </c>
      <c r="I114" s="70">
        <f t="shared" si="45"/>
        <v>0</v>
      </c>
      <c r="J114" s="70">
        <f>SUM(B114:I114)</f>
        <v>35.950000000000003</v>
      </c>
      <c r="K114" s="86"/>
      <c r="L114" s="87" t="s">
        <v>141</v>
      </c>
      <c r="M114" s="70">
        <f t="shared" ref="M114:V114" si="46">M113*M112</f>
        <v>1.6500000000000001</v>
      </c>
      <c r="N114" s="70">
        <f t="shared" si="46"/>
        <v>2.6</v>
      </c>
      <c r="O114" s="70">
        <f t="shared" si="46"/>
        <v>5.2</v>
      </c>
      <c r="P114" s="70">
        <f t="shared" si="46"/>
        <v>4</v>
      </c>
      <c r="Q114" s="70">
        <f t="shared" si="46"/>
        <v>6</v>
      </c>
      <c r="R114" s="70">
        <f t="shared" si="46"/>
        <v>12</v>
      </c>
      <c r="S114" s="70">
        <f t="shared" si="46"/>
        <v>35</v>
      </c>
      <c r="T114" s="70">
        <f t="shared" si="46"/>
        <v>20</v>
      </c>
      <c r="U114" s="70">
        <f t="shared" si="46"/>
        <v>180</v>
      </c>
      <c r="V114" s="70">
        <f t="shared" si="46"/>
        <v>0</v>
      </c>
      <c r="W114" s="70">
        <f>SUM(M114:V114)</f>
        <v>266.45</v>
      </c>
      <c r="X114" s="132">
        <f>W114-J114</f>
        <v>230.5</v>
      </c>
      <c r="Y114" s="94">
        <v>104.4</v>
      </c>
      <c r="Z114" s="94">
        <v>46</v>
      </c>
      <c r="AA114" s="97">
        <f>X114+Z114</f>
        <v>276.5</v>
      </c>
      <c r="AB114" s="85">
        <v>104.4</v>
      </c>
      <c r="AC114" s="96">
        <f>Y114-AB114</f>
        <v>0</v>
      </c>
      <c r="AD114" s="96">
        <f>X114-Y114</f>
        <v>126.1</v>
      </c>
      <c r="AE114" s="85">
        <v>126.1</v>
      </c>
      <c r="AF114" s="96">
        <f>AD114-AE114</f>
        <v>0</v>
      </c>
      <c r="AG114" s="49"/>
      <c r="AH114" s="98">
        <f>(SUM(Y114:Z114)/(1+10/100))*(10/100)</f>
        <v>13.672727272727272</v>
      </c>
      <c r="AI114" s="49"/>
      <c r="AJ114" s="49"/>
      <c r="AK114" s="49"/>
    </row>
    <row r="116" spans="1:37" x14ac:dyDescent="0.2">
      <c r="A116" s="83" t="s">
        <v>135</v>
      </c>
      <c r="B116" s="84">
        <v>45866</v>
      </c>
      <c r="C116" s="85"/>
      <c r="D116" s="85"/>
      <c r="E116" s="85"/>
      <c r="F116" s="85"/>
      <c r="G116" s="85"/>
      <c r="H116" s="85"/>
      <c r="I116" s="85"/>
      <c r="J116" s="85"/>
      <c r="K116" s="86"/>
      <c r="L116" s="83" t="s">
        <v>136</v>
      </c>
      <c r="M116" s="84">
        <v>45866</v>
      </c>
      <c r="N116" s="85"/>
      <c r="O116" s="85"/>
      <c r="P116" s="85"/>
      <c r="Q116" s="85"/>
      <c r="R116" s="85"/>
      <c r="S116" s="85"/>
      <c r="T116" s="85"/>
      <c r="U116" s="85"/>
      <c r="V116" s="85"/>
      <c r="W116" s="87" t="s">
        <v>141</v>
      </c>
      <c r="X116" s="88" t="s">
        <v>192</v>
      </c>
      <c r="Y116" s="89" t="s">
        <v>142</v>
      </c>
      <c r="Z116" s="90" t="s">
        <v>193</v>
      </c>
      <c r="AA116" s="91" t="s">
        <v>194</v>
      </c>
      <c r="AB116" s="88" t="s">
        <v>288</v>
      </c>
      <c r="AC116" s="87" t="s">
        <v>195</v>
      </c>
      <c r="AD116" s="87" t="s">
        <v>196</v>
      </c>
      <c r="AE116" s="88" t="s">
        <v>197</v>
      </c>
      <c r="AF116" s="87" t="s">
        <v>198</v>
      </c>
      <c r="AG116" s="49"/>
      <c r="AH116" s="92"/>
      <c r="AI116" s="49"/>
      <c r="AJ116" s="49"/>
      <c r="AK116" s="49"/>
    </row>
    <row r="117" spans="1:37" x14ac:dyDescent="0.2">
      <c r="A117" s="87" t="s">
        <v>199</v>
      </c>
      <c r="B117" s="93">
        <v>0.05</v>
      </c>
      <c r="C117" s="93">
        <v>0.1</v>
      </c>
      <c r="D117" s="93">
        <v>0.2</v>
      </c>
      <c r="E117" s="93">
        <v>0.5</v>
      </c>
      <c r="F117" s="93">
        <v>1</v>
      </c>
      <c r="G117" s="93">
        <v>2</v>
      </c>
      <c r="H117" s="93">
        <v>5</v>
      </c>
      <c r="I117" s="93">
        <v>10</v>
      </c>
      <c r="J117" s="49"/>
      <c r="K117" s="86"/>
      <c r="L117" s="87" t="s">
        <v>199</v>
      </c>
      <c r="M117" s="93">
        <v>0.05</v>
      </c>
      <c r="N117" s="93">
        <v>0.1</v>
      </c>
      <c r="O117" s="93">
        <v>0.2</v>
      </c>
      <c r="P117" s="93">
        <v>0.5</v>
      </c>
      <c r="Q117" s="93">
        <v>1</v>
      </c>
      <c r="R117" s="93">
        <v>2</v>
      </c>
      <c r="S117" s="93">
        <v>5</v>
      </c>
      <c r="T117" s="93">
        <v>10</v>
      </c>
      <c r="U117" s="93">
        <v>20</v>
      </c>
      <c r="V117" s="93">
        <v>50</v>
      </c>
      <c r="W117" s="85"/>
      <c r="X117" s="129"/>
      <c r="Y117" s="49"/>
      <c r="Z117" s="94"/>
      <c r="AA117" s="95"/>
      <c r="AB117" s="85"/>
      <c r="AC117" s="85"/>
      <c r="AD117" s="85"/>
      <c r="AE117" s="85"/>
      <c r="AF117" s="85"/>
      <c r="AG117" s="49"/>
      <c r="AH117" s="92"/>
      <c r="AI117" s="49"/>
      <c r="AJ117" s="49"/>
      <c r="AK117" s="49"/>
    </row>
    <row r="118" spans="1:37" x14ac:dyDescent="0.2">
      <c r="A118" s="87" t="s">
        <v>200</v>
      </c>
      <c r="B118" s="38">
        <v>33</v>
      </c>
      <c r="C118" s="38">
        <v>26</v>
      </c>
      <c r="D118" s="49">
        <v>26</v>
      </c>
      <c r="E118" s="49">
        <v>8</v>
      </c>
      <c r="F118" s="85">
        <v>6</v>
      </c>
      <c r="G118" s="85">
        <v>6</v>
      </c>
      <c r="H118" s="85">
        <v>2</v>
      </c>
      <c r="I118" s="85"/>
      <c r="J118" s="85"/>
      <c r="K118" s="86"/>
      <c r="L118" s="87" t="s">
        <v>200</v>
      </c>
      <c r="M118" s="38">
        <v>39</v>
      </c>
      <c r="N118" s="38">
        <v>37</v>
      </c>
      <c r="O118" s="49">
        <v>32</v>
      </c>
      <c r="P118" s="49">
        <v>11</v>
      </c>
      <c r="Q118" s="85">
        <v>16</v>
      </c>
      <c r="R118" s="85">
        <v>14</v>
      </c>
      <c r="S118" s="85">
        <v>7</v>
      </c>
      <c r="T118" s="85">
        <v>3</v>
      </c>
      <c r="U118" s="85">
        <v>2</v>
      </c>
      <c r="V118" s="85">
        <v>3</v>
      </c>
      <c r="W118" s="85"/>
      <c r="X118" s="129"/>
      <c r="Y118" s="49"/>
      <c r="Z118" s="94"/>
      <c r="AA118" s="95"/>
      <c r="AB118" s="85"/>
      <c r="AC118" s="85"/>
      <c r="AD118" s="85"/>
      <c r="AE118" s="85"/>
      <c r="AF118" s="85"/>
      <c r="AG118" s="49"/>
      <c r="AH118" s="92"/>
      <c r="AI118" s="49"/>
      <c r="AJ118" s="49"/>
      <c r="AK118" s="49"/>
    </row>
    <row r="119" spans="1:37" x14ac:dyDescent="0.2">
      <c r="A119" s="87" t="s">
        <v>141</v>
      </c>
      <c r="B119" s="70">
        <f t="shared" ref="B119:I119" si="47">B118*B117</f>
        <v>1.6500000000000001</v>
      </c>
      <c r="C119" s="70">
        <f t="shared" si="47"/>
        <v>2.6</v>
      </c>
      <c r="D119" s="70">
        <f t="shared" si="47"/>
        <v>5.2</v>
      </c>
      <c r="E119" s="70">
        <f t="shared" si="47"/>
        <v>4</v>
      </c>
      <c r="F119" s="70">
        <f t="shared" si="47"/>
        <v>6</v>
      </c>
      <c r="G119" s="70">
        <f t="shared" si="47"/>
        <v>12</v>
      </c>
      <c r="H119" s="70">
        <f t="shared" si="47"/>
        <v>10</v>
      </c>
      <c r="I119" s="70">
        <f t="shared" si="47"/>
        <v>0</v>
      </c>
      <c r="J119" s="70">
        <f>SUM(B119:I119)</f>
        <v>41.45</v>
      </c>
      <c r="K119" s="86"/>
      <c r="L119" s="87" t="s">
        <v>141</v>
      </c>
      <c r="M119" s="70">
        <f t="shared" ref="M119:V119" si="48">M118*M117</f>
        <v>1.9500000000000002</v>
      </c>
      <c r="N119" s="70">
        <f t="shared" si="48"/>
        <v>3.7</v>
      </c>
      <c r="O119" s="70">
        <f t="shared" si="48"/>
        <v>6.4</v>
      </c>
      <c r="P119" s="70">
        <f t="shared" si="48"/>
        <v>5.5</v>
      </c>
      <c r="Q119" s="70">
        <f t="shared" si="48"/>
        <v>16</v>
      </c>
      <c r="R119" s="70">
        <f t="shared" si="48"/>
        <v>28</v>
      </c>
      <c r="S119" s="70">
        <f t="shared" si="48"/>
        <v>35</v>
      </c>
      <c r="T119" s="70">
        <f t="shared" si="48"/>
        <v>30</v>
      </c>
      <c r="U119" s="70">
        <f t="shared" si="48"/>
        <v>40</v>
      </c>
      <c r="V119" s="70">
        <f t="shared" si="48"/>
        <v>150</v>
      </c>
      <c r="W119" s="70">
        <f>SUM(M119:V119)</f>
        <v>316.55</v>
      </c>
      <c r="X119" s="132">
        <f>W119-J119</f>
        <v>275.10000000000002</v>
      </c>
      <c r="Y119" s="94">
        <v>150.4</v>
      </c>
      <c r="Z119" s="94">
        <v>55</v>
      </c>
      <c r="AA119" s="97">
        <f>X119+Z119</f>
        <v>330.1</v>
      </c>
      <c r="AB119" s="85">
        <v>50</v>
      </c>
      <c r="AC119" s="96">
        <f>Y119-AB119</f>
        <v>100.4</v>
      </c>
      <c r="AD119" s="96">
        <f>X119-Y119</f>
        <v>124.70000000000002</v>
      </c>
      <c r="AE119" s="85">
        <v>5</v>
      </c>
      <c r="AF119" s="96">
        <f>AD119-AE119</f>
        <v>119.70000000000002</v>
      </c>
      <c r="AG119" s="49"/>
      <c r="AH119" s="98">
        <f>(SUM(Y119:Z119)/(1+10/100))*(10/100)</f>
        <v>18.672727272727272</v>
      </c>
      <c r="AI119" s="49"/>
      <c r="AJ119" s="49"/>
      <c r="AK119" s="49"/>
    </row>
    <row r="121" spans="1:37" x14ac:dyDescent="0.2">
      <c r="A121" s="83" t="s">
        <v>135</v>
      </c>
      <c r="B121" s="84">
        <v>45867</v>
      </c>
      <c r="C121" s="85"/>
      <c r="D121" s="85"/>
      <c r="E121" s="85"/>
      <c r="F121" s="85"/>
      <c r="G121" s="85"/>
      <c r="H121" s="85"/>
      <c r="I121" s="85"/>
      <c r="J121" s="85"/>
      <c r="K121" s="86"/>
      <c r="L121" s="83" t="s">
        <v>136</v>
      </c>
      <c r="M121" s="84">
        <v>45867</v>
      </c>
      <c r="N121" s="85"/>
      <c r="O121" s="85"/>
      <c r="P121" s="85"/>
      <c r="Q121" s="85"/>
      <c r="R121" s="85"/>
      <c r="S121" s="85"/>
      <c r="T121" s="85"/>
      <c r="U121" s="85"/>
      <c r="V121" s="85"/>
      <c r="W121" s="87" t="s">
        <v>141</v>
      </c>
      <c r="X121" s="88" t="s">
        <v>192</v>
      </c>
      <c r="Y121" s="89" t="s">
        <v>142</v>
      </c>
      <c r="Z121" s="90" t="s">
        <v>193</v>
      </c>
      <c r="AA121" s="91" t="s">
        <v>194</v>
      </c>
      <c r="AB121" s="88" t="s">
        <v>288</v>
      </c>
      <c r="AC121" s="87" t="s">
        <v>195</v>
      </c>
      <c r="AD121" s="87" t="s">
        <v>196</v>
      </c>
      <c r="AE121" s="88" t="s">
        <v>197</v>
      </c>
      <c r="AF121" s="87" t="s">
        <v>198</v>
      </c>
      <c r="AG121" s="49"/>
      <c r="AH121" s="92"/>
      <c r="AI121" s="49"/>
      <c r="AJ121" s="49"/>
      <c r="AK121" s="49"/>
    </row>
    <row r="122" spans="1:37" x14ac:dyDescent="0.2">
      <c r="A122" s="87" t="s">
        <v>199</v>
      </c>
      <c r="B122" s="93">
        <v>0.05</v>
      </c>
      <c r="C122" s="93">
        <v>0.1</v>
      </c>
      <c r="D122" s="93">
        <v>0.2</v>
      </c>
      <c r="E122" s="93">
        <v>0.5</v>
      </c>
      <c r="F122" s="93">
        <v>1</v>
      </c>
      <c r="G122" s="93">
        <v>2</v>
      </c>
      <c r="H122" s="93">
        <v>5</v>
      </c>
      <c r="I122" s="93">
        <v>10</v>
      </c>
      <c r="J122" s="49"/>
      <c r="K122" s="86"/>
      <c r="L122" s="87" t="s">
        <v>199</v>
      </c>
      <c r="M122" s="93">
        <v>0.05</v>
      </c>
      <c r="N122" s="93">
        <v>0.1</v>
      </c>
      <c r="O122" s="93">
        <v>0.2</v>
      </c>
      <c r="P122" s="93">
        <v>0.5</v>
      </c>
      <c r="Q122" s="93">
        <v>1</v>
      </c>
      <c r="R122" s="93">
        <v>2</v>
      </c>
      <c r="S122" s="93">
        <v>5</v>
      </c>
      <c r="T122" s="93">
        <v>10</v>
      </c>
      <c r="U122" s="93">
        <v>20</v>
      </c>
      <c r="V122" s="93">
        <v>50</v>
      </c>
      <c r="W122" s="85"/>
      <c r="X122" s="129"/>
      <c r="Y122" s="49"/>
      <c r="Z122" s="94"/>
      <c r="AA122" s="95"/>
      <c r="AB122" s="85"/>
      <c r="AC122" s="85"/>
      <c r="AD122" s="85"/>
      <c r="AE122" s="85"/>
      <c r="AF122" s="85"/>
      <c r="AG122" s="49"/>
      <c r="AH122" s="92"/>
      <c r="AI122" s="49"/>
      <c r="AJ122" s="49"/>
      <c r="AK122" s="49"/>
    </row>
    <row r="123" spans="1:37" x14ac:dyDescent="0.2">
      <c r="A123" s="87" t="s">
        <v>200</v>
      </c>
      <c r="B123" s="38">
        <v>39</v>
      </c>
      <c r="C123" s="38">
        <v>37</v>
      </c>
      <c r="D123" s="49">
        <v>32</v>
      </c>
      <c r="E123" s="49">
        <v>11</v>
      </c>
      <c r="F123" s="85">
        <v>10</v>
      </c>
      <c r="G123" s="85">
        <v>5</v>
      </c>
      <c r="H123" s="85"/>
      <c r="I123" s="85"/>
      <c r="J123" s="85"/>
      <c r="K123" s="86"/>
      <c r="L123" s="87" t="s">
        <v>200</v>
      </c>
      <c r="M123" s="38">
        <v>39</v>
      </c>
      <c r="N123" s="38">
        <v>51</v>
      </c>
      <c r="O123" s="49">
        <v>44</v>
      </c>
      <c r="P123" s="49">
        <v>11</v>
      </c>
      <c r="Q123" s="85">
        <v>5</v>
      </c>
      <c r="R123" s="85">
        <v>4</v>
      </c>
      <c r="S123" s="85">
        <v>12</v>
      </c>
      <c r="T123" s="85">
        <v>4</v>
      </c>
      <c r="U123" s="85">
        <v>2</v>
      </c>
      <c r="V123" s="85">
        <v>4</v>
      </c>
      <c r="W123" s="85"/>
      <c r="X123" s="129"/>
      <c r="Y123" s="49"/>
      <c r="Z123" s="94"/>
      <c r="AA123" s="95"/>
      <c r="AB123" s="85"/>
      <c r="AC123" s="85"/>
      <c r="AD123" s="85"/>
      <c r="AE123" s="85"/>
      <c r="AF123" s="85"/>
      <c r="AG123" s="49"/>
      <c r="AH123" s="92"/>
      <c r="AI123" s="49"/>
      <c r="AJ123" s="49"/>
      <c r="AK123" s="49"/>
    </row>
    <row r="124" spans="1:37" x14ac:dyDescent="0.2">
      <c r="A124" s="87" t="s">
        <v>141</v>
      </c>
      <c r="B124" s="70">
        <f t="shared" ref="B124:I124" si="49">B123*B122</f>
        <v>1.9500000000000002</v>
      </c>
      <c r="C124" s="70">
        <f t="shared" si="49"/>
        <v>3.7</v>
      </c>
      <c r="D124" s="70">
        <f t="shared" si="49"/>
        <v>6.4</v>
      </c>
      <c r="E124" s="70">
        <f t="shared" si="49"/>
        <v>5.5</v>
      </c>
      <c r="F124" s="70">
        <f t="shared" si="49"/>
        <v>10</v>
      </c>
      <c r="G124" s="70">
        <f t="shared" si="49"/>
        <v>10</v>
      </c>
      <c r="H124" s="70">
        <f t="shared" si="49"/>
        <v>0</v>
      </c>
      <c r="I124" s="70">
        <f t="shared" si="49"/>
        <v>0</v>
      </c>
      <c r="J124" s="70">
        <f>SUM(B124:I124)</f>
        <v>37.549999999999997</v>
      </c>
      <c r="K124" s="86"/>
      <c r="L124" s="87" t="s">
        <v>141</v>
      </c>
      <c r="M124" s="70">
        <f t="shared" ref="M124:V124" si="50">M123*M122</f>
        <v>1.9500000000000002</v>
      </c>
      <c r="N124" s="70">
        <f t="shared" si="50"/>
        <v>5.1000000000000005</v>
      </c>
      <c r="O124" s="70">
        <f t="shared" si="50"/>
        <v>8.8000000000000007</v>
      </c>
      <c r="P124" s="70">
        <f t="shared" si="50"/>
        <v>5.5</v>
      </c>
      <c r="Q124" s="70">
        <f t="shared" si="50"/>
        <v>5</v>
      </c>
      <c r="R124" s="70">
        <f t="shared" si="50"/>
        <v>8</v>
      </c>
      <c r="S124" s="70">
        <f t="shared" si="50"/>
        <v>60</v>
      </c>
      <c r="T124" s="70">
        <f t="shared" si="50"/>
        <v>40</v>
      </c>
      <c r="U124" s="70">
        <f t="shared" si="50"/>
        <v>40</v>
      </c>
      <c r="V124" s="70">
        <f t="shared" si="50"/>
        <v>200</v>
      </c>
      <c r="W124" s="70">
        <f>SUM(M124:V124)</f>
        <v>374.35</v>
      </c>
      <c r="X124" s="132">
        <f>W124-J124</f>
        <v>336.8</v>
      </c>
      <c r="Y124" s="94">
        <v>141.9</v>
      </c>
      <c r="Z124" s="94">
        <v>31.3</v>
      </c>
      <c r="AA124" s="97">
        <f>X124+Z124</f>
        <v>368.1</v>
      </c>
      <c r="AB124" s="85">
        <v>60</v>
      </c>
      <c r="AC124" s="96">
        <f>Y124-AB124</f>
        <v>81.900000000000006</v>
      </c>
      <c r="AD124" s="96">
        <f>X124-Y124</f>
        <v>194.9</v>
      </c>
      <c r="AE124" s="85">
        <v>3.9</v>
      </c>
      <c r="AF124" s="96">
        <f>AD124-AE124</f>
        <v>191</v>
      </c>
      <c r="AG124" s="49"/>
      <c r="AH124" s="98">
        <f>(SUM(Y124:Z124)/(1+10/100))*(10/100)</f>
        <v>15.745454545454548</v>
      </c>
      <c r="AI124" s="49"/>
      <c r="AJ124" s="49"/>
      <c r="AK124" s="49"/>
    </row>
    <row r="126" spans="1:37" x14ac:dyDescent="0.2">
      <c r="A126" s="83" t="s">
        <v>135</v>
      </c>
      <c r="B126" s="84">
        <v>45868</v>
      </c>
      <c r="C126" s="85"/>
      <c r="D126" s="85"/>
      <c r="E126" s="85"/>
      <c r="F126" s="85"/>
      <c r="G126" s="85"/>
      <c r="H126" s="85"/>
      <c r="I126" s="85"/>
      <c r="J126" s="85"/>
      <c r="K126" s="86"/>
      <c r="L126" s="83" t="s">
        <v>136</v>
      </c>
      <c r="M126" s="84">
        <v>45868</v>
      </c>
      <c r="N126" s="85"/>
      <c r="O126" s="85"/>
      <c r="P126" s="85"/>
      <c r="Q126" s="85"/>
      <c r="R126" s="85"/>
      <c r="S126" s="85"/>
      <c r="T126" s="85"/>
      <c r="U126" s="85"/>
      <c r="V126" s="85"/>
      <c r="W126" s="87" t="s">
        <v>141</v>
      </c>
      <c r="X126" s="88" t="s">
        <v>192</v>
      </c>
      <c r="Y126" s="89" t="s">
        <v>142</v>
      </c>
      <c r="Z126" s="90" t="s">
        <v>193</v>
      </c>
      <c r="AA126" s="91" t="s">
        <v>194</v>
      </c>
      <c r="AB126" s="88" t="s">
        <v>288</v>
      </c>
      <c r="AC126" s="87" t="s">
        <v>195</v>
      </c>
      <c r="AD126" s="87" t="s">
        <v>196</v>
      </c>
      <c r="AE126" s="88" t="s">
        <v>197</v>
      </c>
      <c r="AF126" s="87" t="s">
        <v>198</v>
      </c>
      <c r="AG126" s="49"/>
      <c r="AH126" s="92"/>
      <c r="AI126" s="49"/>
      <c r="AJ126" s="49"/>
      <c r="AK126" s="49"/>
    </row>
    <row r="127" spans="1:37" x14ac:dyDescent="0.2">
      <c r="A127" s="87" t="s">
        <v>199</v>
      </c>
      <c r="B127" s="93">
        <v>0.05</v>
      </c>
      <c r="C127" s="93">
        <v>0.1</v>
      </c>
      <c r="D127" s="93">
        <v>0.2</v>
      </c>
      <c r="E127" s="93">
        <v>0.5</v>
      </c>
      <c r="F127" s="93">
        <v>1</v>
      </c>
      <c r="G127" s="93">
        <v>2</v>
      </c>
      <c r="H127" s="93">
        <v>5</v>
      </c>
      <c r="I127" s="93">
        <v>10</v>
      </c>
      <c r="J127" s="49"/>
      <c r="K127" s="86"/>
      <c r="L127" s="87" t="s">
        <v>199</v>
      </c>
      <c r="M127" s="93">
        <v>0.05</v>
      </c>
      <c r="N127" s="93">
        <v>0.1</v>
      </c>
      <c r="O127" s="93">
        <v>0.2</v>
      </c>
      <c r="P127" s="93">
        <v>0.5</v>
      </c>
      <c r="Q127" s="93">
        <v>1</v>
      </c>
      <c r="R127" s="93">
        <v>2</v>
      </c>
      <c r="S127" s="93">
        <v>5</v>
      </c>
      <c r="T127" s="93">
        <v>10</v>
      </c>
      <c r="U127" s="93">
        <v>20</v>
      </c>
      <c r="V127" s="93">
        <v>50</v>
      </c>
      <c r="W127" s="85"/>
      <c r="X127" s="129"/>
      <c r="Y127" s="49"/>
      <c r="Z127" s="94"/>
      <c r="AA127" s="95"/>
      <c r="AB127" s="85"/>
      <c r="AC127" s="85"/>
      <c r="AD127" s="85"/>
      <c r="AE127" s="85"/>
      <c r="AF127" s="85"/>
      <c r="AG127" s="49"/>
      <c r="AH127" s="92"/>
      <c r="AI127" s="49"/>
      <c r="AJ127" s="49"/>
      <c r="AK127" s="49"/>
    </row>
    <row r="128" spans="1:37" x14ac:dyDescent="0.2">
      <c r="A128" s="87" t="s">
        <v>200</v>
      </c>
      <c r="B128" s="38">
        <v>39</v>
      </c>
      <c r="C128" s="38">
        <v>51</v>
      </c>
      <c r="D128" s="49">
        <v>29</v>
      </c>
      <c r="E128" s="49">
        <v>11</v>
      </c>
      <c r="F128" s="85">
        <v>5</v>
      </c>
      <c r="G128" s="85">
        <v>4</v>
      </c>
      <c r="H128" s="85">
        <v>2</v>
      </c>
      <c r="I128" s="85"/>
      <c r="J128" s="85"/>
      <c r="K128" s="86"/>
      <c r="L128" s="87" t="s">
        <v>200</v>
      </c>
      <c r="M128" s="38">
        <v>51</v>
      </c>
      <c r="N128" s="38">
        <v>56</v>
      </c>
      <c r="O128" s="49">
        <v>19</v>
      </c>
      <c r="P128" s="49">
        <v>14</v>
      </c>
      <c r="Q128" s="85">
        <v>10</v>
      </c>
      <c r="R128" s="85">
        <v>6</v>
      </c>
      <c r="S128" s="85">
        <v>5</v>
      </c>
      <c r="T128" s="85">
        <v>5</v>
      </c>
      <c r="U128" s="85">
        <v>6</v>
      </c>
      <c r="V128" s="85">
        <v>1</v>
      </c>
      <c r="W128" s="85"/>
      <c r="X128" s="129"/>
      <c r="Y128" s="49"/>
      <c r="Z128" s="94"/>
      <c r="AA128" s="95"/>
      <c r="AB128" s="85"/>
      <c r="AC128" s="85"/>
      <c r="AD128" s="85"/>
      <c r="AE128" s="85"/>
      <c r="AF128" s="85"/>
      <c r="AG128" s="49"/>
      <c r="AH128" s="92"/>
      <c r="AI128" s="49"/>
      <c r="AJ128" s="49"/>
      <c r="AK128" s="49"/>
    </row>
    <row r="129" spans="1:37" x14ac:dyDescent="0.2">
      <c r="A129" s="87" t="s">
        <v>141</v>
      </c>
      <c r="B129" s="70">
        <f t="shared" ref="B129:I129" si="51">B128*B127</f>
        <v>1.9500000000000002</v>
      </c>
      <c r="C129" s="70">
        <f t="shared" si="51"/>
        <v>5.1000000000000005</v>
      </c>
      <c r="D129" s="70">
        <f t="shared" si="51"/>
        <v>5.8000000000000007</v>
      </c>
      <c r="E129" s="70">
        <f t="shared" si="51"/>
        <v>5.5</v>
      </c>
      <c r="F129" s="70">
        <f t="shared" si="51"/>
        <v>5</v>
      </c>
      <c r="G129" s="70">
        <f t="shared" si="51"/>
        <v>8</v>
      </c>
      <c r="H129" s="70">
        <f t="shared" si="51"/>
        <v>10</v>
      </c>
      <c r="I129" s="70">
        <f t="shared" si="51"/>
        <v>0</v>
      </c>
      <c r="J129" s="70">
        <f>SUM(B129:I129)</f>
        <v>41.35</v>
      </c>
      <c r="K129" s="86"/>
      <c r="L129" s="87" t="s">
        <v>141</v>
      </c>
      <c r="M129" s="70">
        <f t="shared" ref="M129:V129" si="52">M128*M127</f>
        <v>2.5500000000000003</v>
      </c>
      <c r="N129" s="70">
        <f t="shared" si="52"/>
        <v>5.6000000000000005</v>
      </c>
      <c r="O129" s="70">
        <f t="shared" si="52"/>
        <v>3.8000000000000003</v>
      </c>
      <c r="P129" s="70">
        <f t="shared" si="52"/>
        <v>7</v>
      </c>
      <c r="Q129" s="70">
        <f t="shared" si="52"/>
        <v>10</v>
      </c>
      <c r="R129" s="70">
        <f t="shared" si="52"/>
        <v>12</v>
      </c>
      <c r="S129" s="70">
        <f t="shared" si="52"/>
        <v>25</v>
      </c>
      <c r="T129" s="70">
        <f t="shared" si="52"/>
        <v>50</v>
      </c>
      <c r="U129" s="70">
        <f t="shared" si="52"/>
        <v>120</v>
      </c>
      <c r="V129" s="70">
        <f t="shared" si="52"/>
        <v>50</v>
      </c>
      <c r="W129" s="70">
        <f>SUM(M129:V129)</f>
        <v>285.95</v>
      </c>
      <c r="X129" s="132">
        <f>W129-J129</f>
        <v>244.6</v>
      </c>
      <c r="Y129" s="94">
        <v>88.5</v>
      </c>
      <c r="Z129" s="94">
        <v>77.2</v>
      </c>
      <c r="AA129" s="97">
        <f>X129+Z129</f>
        <v>321.8</v>
      </c>
      <c r="AB129" s="85">
        <v>30</v>
      </c>
      <c r="AC129" s="96">
        <f>Y129-AB129</f>
        <v>58.5</v>
      </c>
      <c r="AD129" s="96">
        <f>X129-Y129</f>
        <v>156.1</v>
      </c>
      <c r="AE129" s="85"/>
      <c r="AF129" s="96">
        <f>AD129-AE129</f>
        <v>156.1</v>
      </c>
      <c r="AG129" s="49"/>
      <c r="AH129" s="98">
        <f>(SUM(Y129:Z129)/(1+10/100))*(10/100)</f>
        <v>15.063636363636363</v>
      </c>
      <c r="AI129" s="49"/>
      <c r="AJ129" s="49"/>
      <c r="AK129" s="49"/>
    </row>
    <row r="131" spans="1:37" x14ac:dyDescent="0.2">
      <c r="A131" s="83" t="s">
        <v>135</v>
      </c>
      <c r="B131" s="84">
        <v>45869</v>
      </c>
      <c r="C131" s="85"/>
      <c r="D131" s="85"/>
      <c r="E131" s="85"/>
      <c r="F131" s="85"/>
      <c r="G131" s="85"/>
      <c r="H131" s="85"/>
      <c r="I131" s="85"/>
      <c r="J131" s="85"/>
      <c r="K131" s="86"/>
      <c r="L131" s="83" t="s">
        <v>136</v>
      </c>
      <c r="M131" s="84">
        <v>45869</v>
      </c>
      <c r="N131" s="85"/>
      <c r="O131" s="85"/>
      <c r="P131" s="85"/>
      <c r="Q131" s="85"/>
      <c r="R131" s="85"/>
      <c r="S131" s="85"/>
      <c r="T131" s="85"/>
      <c r="U131" s="85"/>
      <c r="V131" s="85"/>
      <c r="W131" s="87" t="s">
        <v>141</v>
      </c>
      <c r="X131" s="88" t="s">
        <v>192</v>
      </c>
      <c r="Y131" s="89" t="s">
        <v>142</v>
      </c>
      <c r="Z131" s="90" t="s">
        <v>193</v>
      </c>
      <c r="AA131" s="91" t="s">
        <v>194</v>
      </c>
      <c r="AB131" s="88" t="s">
        <v>288</v>
      </c>
      <c r="AC131" s="87" t="s">
        <v>195</v>
      </c>
      <c r="AD131" s="87" t="s">
        <v>196</v>
      </c>
      <c r="AE131" s="88" t="s">
        <v>197</v>
      </c>
      <c r="AF131" s="87" t="s">
        <v>198</v>
      </c>
      <c r="AG131" s="49"/>
      <c r="AH131" s="92"/>
      <c r="AI131" s="49"/>
      <c r="AJ131" s="49"/>
      <c r="AK131" s="49"/>
    </row>
    <row r="132" spans="1:37" x14ac:dyDescent="0.2">
      <c r="A132" s="87" t="s">
        <v>199</v>
      </c>
      <c r="B132" s="93">
        <v>0.05</v>
      </c>
      <c r="C132" s="93">
        <v>0.1</v>
      </c>
      <c r="D132" s="93">
        <v>0.2</v>
      </c>
      <c r="E132" s="93">
        <v>0.5</v>
      </c>
      <c r="F132" s="93">
        <v>1</v>
      </c>
      <c r="G132" s="93">
        <v>2</v>
      </c>
      <c r="H132" s="93">
        <v>5</v>
      </c>
      <c r="I132" s="93">
        <v>10</v>
      </c>
      <c r="J132" s="49"/>
      <c r="K132" s="86"/>
      <c r="L132" s="87" t="s">
        <v>199</v>
      </c>
      <c r="M132" s="93">
        <v>0.05</v>
      </c>
      <c r="N132" s="93">
        <v>0.1</v>
      </c>
      <c r="O132" s="93">
        <v>0.2</v>
      </c>
      <c r="P132" s="93">
        <v>0.5</v>
      </c>
      <c r="Q132" s="93">
        <v>1</v>
      </c>
      <c r="R132" s="93">
        <v>2</v>
      </c>
      <c r="S132" s="93">
        <v>5</v>
      </c>
      <c r="T132" s="93">
        <v>10</v>
      </c>
      <c r="U132" s="93">
        <v>20</v>
      </c>
      <c r="V132" s="93">
        <v>50</v>
      </c>
      <c r="W132" s="85"/>
      <c r="X132" s="129"/>
      <c r="Y132" s="49"/>
      <c r="Z132" s="94"/>
      <c r="AA132" s="95"/>
      <c r="AB132" s="85"/>
      <c r="AC132" s="85"/>
      <c r="AD132" s="85"/>
      <c r="AE132" s="85"/>
      <c r="AF132" s="85"/>
      <c r="AG132" s="49"/>
      <c r="AH132" s="92"/>
      <c r="AI132" s="49"/>
      <c r="AJ132" s="49"/>
      <c r="AK132" s="49"/>
    </row>
    <row r="133" spans="1:37" x14ac:dyDescent="0.2">
      <c r="A133" s="87" t="s">
        <v>200</v>
      </c>
      <c r="B133" s="38"/>
      <c r="C133" s="38"/>
      <c r="D133" s="49"/>
      <c r="E133" s="49"/>
      <c r="F133" s="85"/>
      <c r="G133" s="85"/>
      <c r="H133" s="85"/>
      <c r="I133" s="85"/>
      <c r="J133" s="85"/>
      <c r="K133" s="86"/>
      <c r="L133" s="87" t="s">
        <v>200</v>
      </c>
      <c r="M133" s="38">
        <v>71</v>
      </c>
      <c r="N133" s="38">
        <v>72</v>
      </c>
      <c r="O133" s="49">
        <v>32</v>
      </c>
      <c r="P133" s="49">
        <v>9</v>
      </c>
      <c r="Q133" s="85">
        <v>3</v>
      </c>
      <c r="R133" s="85">
        <v>4</v>
      </c>
      <c r="S133" s="85">
        <v>11</v>
      </c>
      <c r="T133" s="85">
        <v>1</v>
      </c>
      <c r="U133" s="85">
        <v>5</v>
      </c>
      <c r="V133" s="85">
        <v>2</v>
      </c>
      <c r="W133" s="85"/>
      <c r="X133" s="129"/>
      <c r="Y133" s="49"/>
      <c r="Z133" s="94"/>
      <c r="AA133" s="95"/>
      <c r="AB133" s="85"/>
      <c r="AC133" s="85"/>
      <c r="AD133" s="85"/>
      <c r="AE133" s="85"/>
      <c r="AF133" s="85"/>
      <c r="AG133" s="49"/>
      <c r="AH133" s="92"/>
      <c r="AI133" s="49"/>
      <c r="AJ133" s="49"/>
      <c r="AK133" s="49"/>
    </row>
    <row r="134" spans="1:37" x14ac:dyDescent="0.2">
      <c r="A134" s="87" t="s">
        <v>141</v>
      </c>
      <c r="B134" s="70">
        <f t="shared" ref="B134:I134" si="53">B133*B132</f>
        <v>0</v>
      </c>
      <c r="C134" s="70">
        <f t="shared" si="53"/>
        <v>0</v>
      </c>
      <c r="D134" s="70">
        <f t="shared" si="53"/>
        <v>0</v>
      </c>
      <c r="E134" s="70">
        <f t="shared" si="53"/>
        <v>0</v>
      </c>
      <c r="F134" s="70">
        <f t="shared" si="53"/>
        <v>0</v>
      </c>
      <c r="G134" s="70">
        <f t="shared" si="53"/>
        <v>0</v>
      </c>
      <c r="H134" s="70">
        <f t="shared" si="53"/>
        <v>0</v>
      </c>
      <c r="I134" s="70">
        <f t="shared" si="53"/>
        <v>0</v>
      </c>
      <c r="J134" s="70">
        <f>SUM(B134:I134)</f>
        <v>0</v>
      </c>
      <c r="K134" s="86"/>
      <c r="L134" s="87" t="s">
        <v>141</v>
      </c>
      <c r="M134" s="70">
        <f t="shared" ref="M134:V134" si="54">M133*M132</f>
        <v>3.5500000000000003</v>
      </c>
      <c r="N134" s="70">
        <f t="shared" si="54"/>
        <v>7.2</v>
      </c>
      <c r="O134" s="70">
        <f t="shared" si="54"/>
        <v>6.4</v>
      </c>
      <c r="P134" s="70">
        <f t="shared" si="54"/>
        <v>4.5</v>
      </c>
      <c r="Q134" s="70">
        <f t="shared" si="54"/>
        <v>3</v>
      </c>
      <c r="R134" s="70">
        <f t="shared" si="54"/>
        <v>8</v>
      </c>
      <c r="S134" s="70">
        <f t="shared" si="54"/>
        <v>55</v>
      </c>
      <c r="T134" s="70">
        <f t="shared" si="54"/>
        <v>10</v>
      </c>
      <c r="U134" s="70">
        <f t="shared" si="54"/>
        <v>100</v>
      </c>
      <c r="V134" s="70">
        <f t="shared" si="54"/>
        <v>100</v>
      </c>
      <c r="W134" s="70">
        <f>SUM(M134:V134)</f>
        <v>297.64999999999998</v>
      </c>
      <c r="X134" s="132">
        <f>W134-J134</f>
        <v>297.64999999999998</v>
      </c>
      <c r="Y134" s="94">
        <v>141.9</v>
      </c>
      <c r="Z134" s="94">
        <v>47.2</v>
      </c>
      <c r="AA134" s="97">
        <f>X134+Z134</f>
        <v>344.84999999999997</v>
      </c>
      <c r="AB134" s="85">
        <v>140</v>
      </c>
      <c r="AC134" s="96">
        <f>Y134-AB134</f>
        <v>1.9000000000000057</v>
      </c>
      <c r="AD134" s="96">
        <f>X134-Y134</f>
        <v>155.74999999999997</v>
      </c>
      <c r="AE134" s="85"/>
      <c r="AF134" s="96">
        <f>AD134-AE134</f>
        <v>155.74999999999997</v>
      </c>
      <c r="AG134" s="49"/>
      <c r="AH134" s="98">
        <f>(SUM(Y134:Z134)/(1+10/100))*(10/100)</f>
        <v>17.190909090909091</v>
      </c>
      <c r="AI134" s="49"/>
      <c r="AJ134" s="49"/>
      <c r="AK134" s="49"/>
    </row>
    <row r="138" spans="1:37" x14ac:dyDescent="0.2">
      <c r="Y138" s="38">
        <f t="shared" ref="Y138:AF138" si="55">SUM(Y1:Y134)</f>
        <v>3064.3000000000006</v>
      </c>
      <c r="Z138" s="38">
        <f t="shared" si="55"/>
        <v>1420.9</v>
      </c>
      <c r="AA138" s="38">
        <f t="shared" si="55"/>
        <v>8388.9500000000007</v>
      </c>
      <c r="AB138" s="38">
        <f t="shared" si="55"/>
        <v>1539.0000000000002</v>
      </c>
      <c r="AC138" s="38">
        <f t="shared" si="55"/>
        <v>1402.4000000000003</v>
      </c>
      <c r="AD138" s="38">
        <f t="shared" si="55"/>
        <v>3899.9499999999989</v>
      </c>
      <c r="AE138" s="38">
        <f t="shared" si="55"/>
        <v>534.04999999999995</v>
      </c>
      <c r="AF138" s="38">
        <f t="shared" si="55"/>
        <v>3365.8999999999996</v>
      </c>
    </row>
    <row r="139" spans="1:37" x14ac:dyDescent="0.2">
      <c r="AF139" s="38">
        <v>-200</v>
      </c>
      <c r="AG139" s="38"/>
      <c r="AH139" s="38" t="s">
        <v>307</v>
      </c>
    </row>
    <row r="140" spans="1:37" x14ac:dyDescent="0.2">
      <c r="AB140" s="38" t="s">
        <v>301</v>
      </c>
      <c r="AC140" s="38">
        <v>-80</v>
      </c>
      <c r="AE140" s="38" t="s">
        <v>308</v>
      </c>
      <c r="AF140" s="38">
        <v>-50</v>
      </c>
    </row>
    <row r="141" spans="1:37" x14ac:dyDescent="0.2">
      <c r="AB141" s="38" t="s">
        <v>210</v>
      </c>
      <c r="AC141" s="38">
        <v>-723</v>
      </c>
      <c r="AE141" s="38" t="s">
        <v>221</v>
      </c>
      <c r="AF141" s="42">
        <v>-1050</v>
      </c>
      <c r="AG141" s="38" t="s">
        <v>262</v>
      </c>
    </row>
    <row r="142" spans="1:37" x14ac:dyDescent="0.2">
      <c r="AB142" s="38" t="s">
        <v>309</v>
      </c>
      <c r="AC142" s="38">
        <v>-250</v>
      </c>
      <c r="AE142" s="38" t="s">
        <v>292</v>
      </c>
      <c r="AF142" s="42">
        <v>-1050</v>
      </c>
      <c r="AG142" s="38" t="s">
        <v>262</v>
      </c>
    </row>
    <row r="143" spans="1:37" x14ac:dyDescent="0.2">
      <c r="AE143" s="38" t="s">
        <v>262</v>
      </c>
      <c r="AF143" s="38">
        <v>-700</v>
      </c>
      <c r="AG143" s="38" t="s">
        <v>262</v>
      </c>
    </row>
    <row r="144" spans="1:37" x14ac:dyDescent="0.2">
      <c r="AE144" s="38" t="s">
        <v>304</v>
      </c>
      <c r="AF144" s="38">
        <v>-100</v>
      </c>
    </row>
    <row r="145" spans="28:32" x14ac:dyDescent="0.2">
      <c r="AE145" s="38" t="s">
        <v>295</v>
      </c>
      <c r="AF145" s="38">
        <v>-200</v>
      </c>
    </row>
    <row r="146" spans="28:32" x14ac:dyDescent="0.2"/>
    <row r="147" spans="28:32" x14ac:dyDescent="0.2">
      <c r="AB147" s="114" t="s">
        <v>282</v>
      </c>
      <c r="AC147" s="114" t="s">
        <v>221</v>
      </c>
      <c r="AD147" s="114" t="s">
        <v>211</v>
      </c>
    </row>
    <row r="148" spans="28:32" x14ac:dyDescent="0.2">
      <c r="AB148" s="115" t="s">
        <v>285</v>
      </c>
      <c r="AC148" s="45">
        <v>600</v>
      </c>
      <c r="AD148" s="45">
        <v>400</v>
      </c>
    </row>
    <row r="149" spans="28:32" x14ac:dyDescent="0.2">
      <c r="AB149" s="115" t="s">
        <v>286</v>
      </c>
      <c r="AC149" s="45">
        <v>100</v>
      </c>
      <c r="AD149" s="45">
        <v>100</v>
      </c>
    </row>
    <row r="150" spans="28:32" x14ac:dyDescent="0.2">
      <c r="AB150" s="115" t="s">
        <v>287</v>
      </c>
      <c r="AC150" s="45">
        <v>350</v>
      </c>
      <c r="AD150" s="45">
        <v>350</v>
      </c>
    </row>
    <row r="151" spans="28:32" x14ac:dyDescent="0.2">
      <c r="AB151" s="115" t="s">
        <v>296</v>
      </c>
      <c r="AC151" s="45">
        <v>350</v>
      </c>
      <c r="AD151" s="45">
        <v>350</v>
      </c>
    </row>
    <row r="152" spans="28:32" x14ac:dyDescent="0.2">
      <c r="AB152" s="115" t="s">
        <v>297</v>
      </c>
      <c r="AC152" s="45">
        <v>400</v>
      </c>
      <c r="AD152" s="45">
        <v>400</v>
      </c>
    </row>
    <row r="153" spans="28:32" x14ac:dyDescent="0.2">
      <c r="AB153" s="49"/>
      <c r="AC153" s="45">
        <v>200</v>
      </c>
      <c r="AD153" s="45">
        <v>200</v>
      </c>
    </row>
    <row r="154" spans="28:32" x14ac:dyDescent="0.2">
      <c r="AB154" s="61" t="s">
        <v>310</v>
      </c>
      <c r="AC154" s="61">
        <v>200</v>
      </c>
      <c r="AD154" s="61">
        <v>200</v>
      </c>
    </row>
    <row r="155" spans="28:32" x14ac:dyDescent="0.2">
      <c r="AB155" s="115" t="s">
        <v>306</v>
      </c>
      <c r="AC155" s="45">
        <v>350</v>
      </c>
      <c r="AD155" s="45">
        <v>350</v>
      </c>
    </row>
    <row r="156" spans="28:32" x14ac:dyDescent="0.2">
      <c r="AB156" s="116" t="s">
        <v>311</v>
      </c>
      <c r="AC156" s="117">
        <v>350</v>
      </c>
      <c r="AD156" s="117">
        <v>350</v>
      </c>
    </row>
    <row r="157" spans="28:32" ht="15.75" customHeight="1" x14ac:dyDescent="0.2">
      <c r="AB157" s="49"/>
      <c r="AC157" s="49"/>
      <c r="AD157" s="49"/>
    </row>
    <row r="158" spans="28:32" ht="15.75" customHeight="1" x14ac:dyDescent="0.2">
      <c r="AB158" s="114" t="s">
        <v>141</v>
      </c>
      <c r="AC158" s="45">
        <f t="shared" ref="AC158:AD158" si="56">SUM(AC148:AC156)</f>
        <v>2900</v>
      </c>
      <c r="AD158" s="45">
        <f t="shared" si="56"/>
        <v>2700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L92"/>
  <sheetViews>
    <sheetView topLeftCell="A48" workbookViewId="0">
      <selection activeCell="O83" sqref="O83"/>
    </sheetView>
  </sheetViews>
  <sheetFormatPr defaultColWidth="12.5703125" defaultRowHeight="15.75" customHeight="1" x14ac:dyDescent="0.2"/>
  <cols>
    <col min="1" max="1" width="8" customWidth="1"/>
    <col min="2" max="2" width="11.28515625" customWidth="1"/>
    <col min="3" max="3" width="5.42578125" customWidth="1"/>
    <col min="4" max="4" width="4.85546875" customWidth="1"/>
    <col min="5" max="8" width="4.28515625" customWidth="1"/>
    <col min="9" max="9" width="6.5703125" customWidth="1"/>
    <col min="10" max="10" width="7.140625" customWidth="1"/>
    <col min="11" max="11" width="5.140625" customWidth="1"/>
    <col min="12" max="12" width="8.28515625" customWidth="1"/>
    <col min="13" max="13" width="11.42578125" customWidth="1"/>
    <col min="14" max="14" width="5.5703125" customWidth="1"/>
    <col min="15" max="16" width="5" customWidth="1"/>
    <col min="17" max="17" width="5.140625" customWidth="1"/>
    <col min="18" max="18" width="5.28515625" customWidth="1"/>
    <col min="19" max="19" width="5.42578125" customWidth="1"/>
    <col min="20" max="20" width="6" customWidth="1"/>
    <col min="21" max="21" width="6.28515625" customWidth="1"/>
    <col min="22" max="22" width="6" customWidth="1"/>
    <col min="23" max="23" width="10.28515625" style="131" customWidth="1"/>
    <col min="24" max="24" width="8.28515625" customWidth="1"/>
    <col min="25" max="25" width="10.140625" customWidth="1"/>
    <col min="26" max="26" width="9.140625" customWidth="1"/>
    <col min="27" max="27" width="8.28515625" customWidth="1"/>
    <col min="28" max="28" width="8.85546875" customWidth="1"/>
    <col min="29" max="29" width="9.85546875" customWidth="1"/>
    <col min="30" max="30" width="7.5703125" customWidth="1"/>
    <col min="31" max="31" width="7.7109375" customWidth="1"/>
    <col min="32" max="32" width="7.5703125" customWidth="1"/>
    <col min="33" max="33" width="8.5703125" customWidth="1"/>
    <col min="34" max="34" width="7.140625" customWidth="1"/>
    <col min="35" max="35" width="7.5703125" customWidth="1"/>
  </cols>
  <sheetData>
    <row r="1" spans="1:38" ht="25.5" x14ac:dyDescent="0.2">
      <c r="A1" s="83" t="s">
        <v>135</v>
      </c>
      <c r="B1" s="84">
        <v>45870</v>
      </c>
      <c r="C1" s="85"/>
      <c r="D1" s="85"/>
      <c r="E1" s="85"/>
      <c r="F1" s="85"/>
      <c r="G1" s="85"/>
      <c r="H1" s="85"/>
      <c r="I1" s="85"/>
      <c r="J1" s="85"/>
      <c r="K1" s="86"/>
      <c r="L1" s="83" t="s">
        <v>136</v>
      </c>
      <c r="M1" s="84">
        <v>45870</v>
      </c>
      <c r="N1" s="85"/>
      <c r="O1" s="85"/>
      <c r="P1" s="85"/>
      <c r="Q1" s="85"/>
      <c r="R1" s="85"/>
      <c r="S1" s="85"/>
      <c r="T1" s="85"/>
      <c r="U1" s="85"/>
      <c r="V1" s="85"/>
      <c r="W1" s="88" t="s">
        <v>333</v>
      </c>
      <c r="X1" s="87" t="s">
        <v>141</v>
      </c>
      <c r="Y1" s="88" t="s">
        <v>192</v>
      </c>
      <c r="Z1" s="89" t="s">
        <v>142</v>
      </c>
      <c r="AA1" s="90" t="s">
        <v>193</v>
      </c>
      <c r="AB1" s="91" t="s">
        <v>194</v>
      </c>
      <c r="AC1" s="88" t="s">
        <v>312</v>
      </c>
      <c r="AD1" s="87" t="s">
        <v>195</v>
      </c>
      <c r="AE1" s="87" t="s">
        <v>196</v>
      </c>
      <c r="AF1" s="88" t="s">
        <v>313</v>
      </c>
      <c r="AG1" s="87" t="s">
        <v>198</v>
      </c>
      <c r="AH1" s="49"/>
      <c r="AI1" s="92"/>
      <c r="AJ1" s="49"/>
      <c r="AK1" s="49"/>
      <c r="AL1" s="49"/>
    </row>
    <row r="2" spans="1:38" ht="12.75" x14ac:dyDescent="0.2">
      <c r="A2" s="87" t="s">
        <v>199</v>
      </c>
      <c r="B2" s="93">
        <v>0.05</v>
      </c>
      <c r="C2" s="93">
        <v>0.1</v>
      </c>
      <c r="D2" s="93">
        <v>0.2</v>
      </c>
      <c r="E2" s="93">
        <v>0.5</v>
      </c>
      <c r="F2" s="93">
        <v>1</v>
      </c>
      <c r="G2" s="93">
        <v>2</v>
      </c>
      <c r="H2" s="93">
        <v>5</v>
      </c>
      <c r="I2" s="93">
        <v>10</v>
      </c>
      <c r="J2" s="49"/>
      <c r="K2" s="86"/>
      <c r="L2" s="87" t="s">
        <v>199</v>
      </c>
      <c r="M2" s="93">
        <v>0.05</v>
      </c>
      <c r="N2" s="93">
        <v>0.1</v>
      </c>
      <c r="O2" s="93">
        <v>0.2</v>
      </c>
      <c r="P2" s="93">
        <v>0.5</v>
      </c>
      <c r="Q2" s="93">
        <v>1</v>
      </c>
      <c r="R2" s="93">
        <v>2</v>
      </c>
      <c r="S2" s="93">
        <v>5</v>
      </c>
      <c r="T2" s="93">
        <v>10</v>
      </c>
      <c r="U2" s="93">
        <v>20</v>
      </c>
      <c r="V2" s="93">
        <v>50</v>
      </c>
      <c r="W2" s="129"/>
      <c r="X2" s="85"/>
      <c r="Y2" s="85"/>
      <c r="Z2" s="49"/>
      <c r="AA2" s="94"/>
      <c r="AB2" s="95"/>
      <c r="AC2" s="85"/>
      <c r="AD2" s="85"/>
      <c r="AE2" s="85"/>
      <c r="AF2" s="85"/>
      <c r="AG2" s="85"/>
      <c r="AH2" s="49"/>
      <c r="AI2" s="92"/>
      <c r="AJ2" s="49"/>
      <c r="AK2" s="49"/>
      <c r="AL2" s="49"/>
    </row>
    <row r="3" spans="1:38" ht="12.75" x14ac:dyDescent="0.2">
      <c r="A3" s="87" t="s">
        <v>200</v>
      </c>
      <c r="B3" s="38">
        <v>71</v>
      </c>
      <c r="C3" s="38">
        <v>72</v>
      </c>
      <c r="D3" s="49">
        <v>32</v>
      </c>
      <c r="E3" s="49">
        <v>9</v>
      </c>
      <c r="F3" s="85">
        <v>3</v>
      </c>
      <c r="G3" s="85">
        <v>4</v>
      </c>
      <c r="H3" s="85">
        <v>2</v>
      </c>
      <c r="I3" s="85"/>
      <c r="J3" s="85"/>
      <c r="K3" s="86"/>
      <c r="L3" s="87" t="s">
        <v>200</v>
      </c>
      <c r="M3" s="38">
        <v>73</v>
      </c>
      <c r="N3" s="38">
        <v>68</v>
      </c>
      <c r="O3" s="49">
        <v>21</v>
      </c>
      <c r="P3" s="49">
        <v>9</v>
      </c>
      <c r="Q3" s="85">
        <v>18</v>
      </c>
      <c r="R3" s="85">
        <v>12</v>
      </c>
      <c r="S3" s="85">
        <v>15</v>
      </c>
      <c r="T3" s="85">
        <v>7</v>
      </c>
      <c r="U3" s="85">
        <v>2</v>
      </c>
      <c r="V3" s="85">
        <v>2</v>
      </c>
      <c r="W3" s="129"/>
      <c r="X3" s="85"/>
      <c r="Y3" s="85"/>
      <c r="Z3" s="49"/>
      <c r="AA3" s="94"/>
      <c r="AB3" s="95"/>
      <c r="AC3" s="85"/>
      <c r="AD3" s="85"/>
      <c r="AE3" s="85"/>
      <c r="AF3" s="85"/>
      <c r="AG3" s="85"/>
      <c r="AH3" s="49"/>
      <c r="AI3" s="92"/>
      <c r="AJ3" s="49"/>
      <c r="AK3" s="49"/>
      <c r="AL3" s="49"/>
    </row>
    <row r="4" spans="1:38" ht="12.75" x14ac:dyDescent="0.2">
      <c r="A4" s="87" t="s">
        <v>141</v>
      </c>
      <c r="B4" s="70">
        <f t="shared" ref="B4:I4" si="0">B3*B2</f>
        <v>3.5500000000000003</v>
      </c>
      <c r="C4" s="70">
        <f t="shared" si="0"/>
        <v>7.2</v>
      </c>
      <c r="D4" s="70">
        <f t="shared" si="0"/>
        <v>6.4</v>
      </c>
      <c r="E4" s="70">
        <f t="shared" si="0"/>
        <v>4.5</v>
      </c>
      <c r="F4" s="70">
        <f t="shared" si="0"/>
        <v>3</v>
      </c>
      <c r="G4" s="70">
        <f t="shared" si="0"/>
        <v>8</v>
      </c>
      <c r="H4" s="70">
        <f t="shared" si="0"/>
        <v>10</v>
      </c>
      <c r="I4" s="70">
        <f t="shared" si="0"/>
        <v>0</v>
      </c>
      <c r="J4" s="70">
        <f>SUM(B4:I4)</f>
        <v>42.65</v>
      </c>
      <c r="K4" s="86"/>
      <c r="L4" s="87" t="s">
        <v>141</v>
      </c>
      <c r="M4" s="70">
        <f t="shared" ref="M4:V4" si="1">M3*M2</f>
        <v>3.6500000000000004</v>
      </c>
      <c r="N4" s="70">
        <f t="shared" si="1"/>
        <v>6.8000000000000007</v>
      </c>
      <c r="O4" s="70">
        <f t="shared" si="1"/>
        <v>4.2</v>
      </c>
      <c r="P4" s="70">
        <f t="shared" si="1"/>
        <v>4.5</v>
      </c>
      <c r="Q4" s="70">
        <f t="shared" si="1"/>
        <v>18</v>
      </c>
      <c r="R4" s="70">
        <f t="shared" si="1"/>
        <v>24</v>
      </c>
      <c r="S4" s="70">
        <f t="shared" si="1"/>
        <v>75</v>
      </c>
      <c r="T4" s="70">
        <f t="shared" si="1"/>
        <v>70</v>
      </c>
      <c r="U4" s="70">
        <f t="shared" si="1"/>
        <v>40</v>
      </c>
      <c r="V4" s="70">
        <f t="shared" si="1"/>
        <v>100</v>
      </c>
      <c r="W4" s="130"/>
      <c r="X4" s="70">
        <f>SUM(M4:V4)</f>
        <v>346.15</v>
      </c>
      <c r="Y4" s="96">
        <f>X4-J4</f>
        <v>303.5</v>
      </c>
      <c r="Z4" s="94">
        <v>169.7</v>
      </c>
      <c r="AA4" s="94">
        <v>36</v>
      </c>
      <c r="AB4" s="97">
        <f>Y4+AA4</f>
        <v>339.5</v>
      </c>
      <c r="AC4" s="85">
        <v>100</v>
      </c>
      <c r="AD4" s="96">
        <f>Z4-AC4</f>
        <v>69.699999999999989</v>
      </c>
      <c r="AE4" s="96">
        <f>Y4-Z4</f>
        <v>133.80000000000001</v>
      </c>
      <c r="AF4" s="85">
        <v>20</v>
      </c>
      <c r="AG4" s="96">
        <f>AE4-AF4</f>
        <v>113.80000000000001</v>
      </c>
      <c r="AH4" s="49"/>
      <c r="AI4" s="98">
        <f>(SUM(Z4:AA4)/(1+10/100))*(10/100)</f>
        <v>18.7</v>
      </c>
      <c r="AJ4" s="49"/>
      <c r="AK4" s="49"/>
      <c r="AL4" s="49"/>
    </row>
    <row r="6" spans="1:38" ht="25.5" x14ac:dyDescent="0.2">
      <c r="A6" s="83" t="s">
        <v>135</v>
      </c>
      <c r="B6" s="84">
        <v>45871</v>
      </c>
      <c r="C6" s="85"/>
      <c r="D6" s="85"/>
      <c r="E6" s="85"/>
      <c r="F6" s="85"/>
      <c r="G6" s="85"/>
      <c r="H6" s="85"/>
      <c r="I6" s="85"/>
      <c r="J6" s="85"/>
      <c r="K6" s="86"/>
      <c r="L6" s="83" t="s">
        <v>136</v>
      </c>
      <c r="M6" s="84">
        <v>45871</v>
      </c>
      <c r="N6" s="85"/>
      <c r="O6" s="85"/>
      <c r="P6" s="85"/>
      <c r="Q6" s="85"/>
      <c r="R6" s="85"/>
      <c r="S6" s="85"/>
      <c r="T6" s="85"/>
      <c r="U6" s="85"/>
      <c r="V6" s="85"/>
      <c r="W6" s="88" t="s">
        <v>333</v>
      </c>
      <c r="X6" s="87" t="s">
        <v>141</v>
      </c>
      <c r="Y6" s="88" t="s">
        <v>192</v>
      </c>
      <c r="Z6" s="89" t="s">
        <v>142</v>
      </c>
      <c r="AA6" s="90" t="s">
        <v>193</v>
      </c>
      <c r="AB6" s="91" t="s">
        <v>194</v>
      </c>
      <c r="AC6" s="88" t="s">
        <v>312</v>
      </c>
      <c r="AD6" s="87" t="s">
        <v>195</v>
      </c>
      <c r="AE6" s="87" t="s">
        <v>196</v>
      </c>
      <c r="AF6" s="88" t="s">
        <v>313</v>
      </c>
      <c r="AG6" s="87" t="s">
        <v>198</v>
      </c>
      <c r="AH6" s="49"/>
      <c r="AI6" s="92"/>
      <c r="AJ6" s="49"/>
      <c r="AK6" s="49"/>
      <c r="AL6" s="49"/>
    </row>
    <row r="7" spans="1:38" ht="12.75" x14ac:dyDescent="0.2">
      <c r="A7" s="87" t="s">
        <v>199</v>
      </c>
      <c r="B7" s="93">
        <v>0.05</v>
      </c>
      <c r="C7" s="93">
        <v>0.1</v>
      </c>
      <c r="D7" s="93">
        <v>0.2</v>
      </c>
      <c r="E7" s="93">
        <v>0.5</v>
      </c>
      <c r="F7" s="93">
        <v>1</v>
      </c>
      <c r="G7" s="93">
        <v>2</v>
      </c>
      <c r="H7" s="93">
        <v>5</v>
      </c>
      <c r="I7" s="93">
        <v>10</v>
      </c>
      <c r="J7" s="49"/>
      <c r="K7" s="86"/>
      <c r="L7" s="87" t="s">
        <v>199</v>
      </c>
      <c r="M7" s="93">
        <v>0.05</v>
      </c>
      <c r="N7" s="93">
        <v>0.1</v>
      </c>
      <c r="O7" s="93">
        <v>0.2</v>
      </c>
      <c r="P7" s="93">
        <v>0.5</v>
      </c>
      <c r="Q7" s="93">
        <v>1</v>
      </c>
      <c r="R7" s="93">
        <v>2</v>
      </c>
      <c r="S7" s="93">
        <v>5</v>
      </c>
      <c r="T7" s="93">
        <v>10</v>
      </c>
      <c r="U7" s="93">
        <v>20</v>
      </c>
      <c r="V7" s="93">
        <v>50</v>
      </c>
      <c r="W7" s="129"/>
      <c r="X7" s="85"/>
      <c r="Y7" s="85"/>
      <c r="Z7" s="49"/>
      <c r="AA7" s="94"/>
      <c r="AB7" s="95"/>
      <c r="AC7" s="85"/>
      <c r="AD7" s="85"/>
      <c r="AE7" s="85"/>
      <c r="AF7" s="85"/>
      <c r="AG7" s="85"/>
      <c r="AH7" s="49"/>
      <c r="AI7" s="92"/>
      <c r="AJ7" s="49"/>
      <c r="AK7" s="49"/>
      <c r="AL7" s="49"/>
    </row>
    <row r="8" spans="1:38" ht="12.75" x14ac:dyDescent="0.2">
      <c r="A8" s="87" t="s">
        <v>200</v>
      </c>
      <c r="B8" s="38">
        <v>73</v>
      </c>
      <c r="C8" s="38">
        <v>68</v>
      </c>
      <c r="D8" s="49">
        <v>21</v>
      </c>
      <c r="E8" s="49">
        <v>9</v>
      </c>
      <c r="F8" s="85">
        <v>5</v>
      </c>
      <c r="G8" s="85">
        <v>5</v>
      </c>
      <c r="H8" s="85">
        <v>2</v>
      </c>
      <c r="I8" s="85"/>
      <c r="J8" s="85"/>
      <c r="K8" s="86"/>
      <c r="L8" s="87" t="s">
        <v>200</v>
      </c>
      <c r="M8" s="38">
        <v>75</v>
      </c>
      <c r="N8" s="38">
        <v>68</v>
      </c>
      <c r="O8" s="49">
        <v>23</v>
      </c>
      <c r="P8" s="49">
        <v>1</v>
      </c>
      <c r="Q8" s="85">
        <v>2</v>
      </c>
      <c r="R8" s="85">
        <v>7</v>
      </c>
      <c r="S8" s="85">
        <v>8</v>
      </c>
      <c r="T8" s="85">
        <v>9</v>
      </c>
      <c r="U8" s="85">
        <v>3</v>
      </c>
      <c r="V8" s="85">
        <v>0</v>
      </c>
      <c r="W8" s="129"/>
      <c r="X8" s="85"/>
      <c r="Y8" s="85"/>
      <c r="Z8" s="49"/>
      <c r="AA8" s="94"/>
      <c r="AB8" s="95"/>
      <c r="AC8" s="85"/>
      <c r="AD8" s="85"/>
      <c r="AE8" s="85"/>
      <c r="AF8" s="85"/>
      <c r="AG8" s="85"/>
      <c r="AH8" s="49"/>
      <c r="AI8" s="92"/>
      <c r="AJ8" s="49"/>
      <c r="AK8" s="49"/>
      <c r="AL8" s="49"/>
    </row>
    <row r="9" spans="1:38" ht="12.75" x14ac:dyDescent="0.2">
      <c r="A9" s="87" t="s">
        <v>141</v>
      </c>
      <c r="B9" s="70">
        <f t="shared" ref="B9:I9" si="2">B8*B7</f>
        <v>3.6500000000000004</v>
      </c>
      <c r="C9" s="70">
        <f t="shared" si="2"/>
        <v>6.8000000000000007</v>
      </c>
      <c r="D9" s="70">
        <f t="shared" si="2"/>
        <v>4.2</v>
      </c>
      <c r="E9" s="70">
        <f t="shared" si="2"/>
        <v>4.5</v>
      </c>
      <c r="F9" s="70">
        <f t="shared" si="2"/>
        <v>5</v>
      </c>
      <c r="G9" s="70">
        <f t="shared" si="2"/>
        <v>10</v>
      </c>
      <c r="H9" s="70">
        <f t="shared" si="2"/>
        <v>10</v>
      </c>
      <c r="I9" s="70">
        <f t="shared" si="2"/>
        <v>0</v>
      </c>
      <c r="J9" s="70">
        <f>SUM(B9:I9)</f>
        <v>44.150000000000006</v>
      </c>
      <c r="K9" s="86"/>
      <c r="L9" s="87" t="s">
        <v>141</v>
      </c>
      <c r="M9" s="70">
        <f t="shared" ref="M9:V9" si="3">M8*M7</f>
        <v>3.75</v>
      </c>
      <c r="N9" s="70">
        <f t="shared" si="3"/>
        <v>6.8000000000000007</v>
      </c>
      <c r="O9" s="70">
        <f t="shared" si="3"/>
        <v>4.6000000000000005</v>
      </c>
      <c r="P9" s="70">
        <f t="shared" si="3"/>
        <v>0.5</v>
      </c>
      <c r="Q9" s="70">
        <f t="shared" si="3"/>
        <v>2</v>
      </c>
      <c r="R9" s="70">
        <f t="shared" si="3"/>
        <v>14</v>
      </c>
      <c r="S9" s="70">
        <f t="shared" si="3"/>
        <v>40</v>
      </c>
      <c r="T9" s="70">
        <f t="shared" si="3"/>
        <v>90</v>
      </c>
      <c r="U9" s="70">
        <f t="shared" si="3"/>
        <v>60</v>
      </c>
      <c r="V9" s="70">
        <f t="shared" si="3"/>
        <v>0</v>
      </c>
      <c r="W9" s="130"/>
      <c r="X9" s="70">
        <f>SUM(M9:V9)</f>
        <v>221.65</v>
      </c>
      <c r="Y9" s="96">
        <f>X9-J9</f>
        <v>177.5</v>
      </c>
      <c r="Z9" s="94">
        <v>95.1</v>
      </c>
      <c r="AA9" s="94">
        <v>38.4</v>
      </c>
      <c r="AB9" s="97">
        <f>Y9+AA9</f>
        <v>215.9</v>
      </c>
      <c r="AC9" s="85">
        <v>50</v>
      </c>
      <c r="AD9" s="96">
        <f>Z9-AC9</f>
        <v>45.099999999999994</v>
      </c>
      <c r="AE9" s="96">
        <f>Y9-Z9</f>
        <v>82.4</v>
      </c>
      <c r="AF9" s="85">
        <v>20</v>
      </c>
      <c r="AG9" s="96">
        <f>AE9-AF9</f>
        <v>62.400000000000006</v>
      </c>
      <c r="AH9" s="49"/>
      <c r="AI9" s="98">
        <f>(SUM(Z9:AA9)/(1+10/100))*(10/100)</f>
        <v>12.136363636363637</v>
      </c>
      <c r="AJ9" s="49"/>
      <c r="AK9" s="49"/>
      <c r="AL9" s="49"/>
    </row>
    <row r="11" spans="1:38" ht="25.5" x14ac:dyDescent="0.2">
      <c r="A11" s="83" t="s">
        <v>135</v>
      </c>
      <c r="B11" s="84">
        <v>45873</v>
      </c>
      <c r="C11" s="85"/>
      <c r="D11" s="85"/>
      <c r="E11" s="85"/>
      <c r="F11" s="85"/>
      <c r="G11" s="85"/>
      <c r="H11" s="85"/>
      <c r="I11" s="85"/>
      <c r="J11" s="85"/>
      <c r="K11" s="86"/>
      <c r="L11" s="83" t="s">
        <v>136</v>
      </c>
      <c r="M11" s="84">
        <v>45873</v>
      </c>
      <c r="N11" s="85"/>
      <c r="O11" s="85"/>
      <c r="P11" s="85"/>
      <c r="Q11" s="85"/>
      <c r="R11" s="85"/>
      <c r="S11" s="85"/>
      <c r="T11" s="85"/>
      <c r="U11" s="85"/>
      <c r="V11" s="85"/>
      <c r="W11" s="88" t="s">
        <v>333</v>
      </c>
      <c r="X11" s="87" t="s">
        <v>141</v>
      </c>
      <c r="Y11" s="88" t="s">
        <v>192</v>
      </c>
      <c r="Z11" s="89" t="s">
        <v>142</v>
      </c>
      <c r="AA11" s="90" t="s">
        <v>193</v>
      </c>
      <c r="AB11" s="91" t="s">
        <v>194</v>
      </c>
      <c r="AC11" s="88" t="s">
        <v>312</v>
      </c>
      <c r="AD11" s="87" t="s">
        <v>195</v>
      </c>
      <c r="AE11" s="87" t="s">
        <v>196</v>
      </c>
      <c r="AF11" s="88" t="s">
        <v>313</v>
      </c>
      <c r="AG11" s="87" t="s">
        <v>198</v>
      </c>
      <c r="AH11" s="49"/>
      <c r="AI11" s="92"/>
      <c r="AJ11" s="49"/>
      <c r="AK11" s="49"/>
      <c r="AL11" s="49"/>
    </row>
    <row r="12" spans="1:38" ht="12.75" x14ac:dyDescent="0.2">
      <c r="A12" s="87" t="s">
        <v>199</v>
      </c>
      <c r="B12" s="93">
        <v>0.05</v>
      </c>
      <c r="C12" s="93">
        <v>0.1</v>
      </c>
      <c r="D12" s="93">
        <v>0.2</v>
      </c>
      <c r="E12" s="93">
        <v>0.5</v>
      </c>
      <c r="F12" s="93">
        <v>1</v>
      </c>
      <c r="G12" s="93">
        <v>2</v>
      </c>
      <c r="H12" s="93">
        <v>5</v>
      </c>
      <c r="I12" s="93">
        <v>10</v>
      </c>
      <c r="J12" s="49"/>
      <c r="K12" s="86"/>
      <c r="L12" s="87" t="s">
        <v>199</v>
      </c>
      <c r="M12" s="93">
        <v>0.05</v>
      </c>
      <c r="N12" s="93">
        <v>0.1</v>
      </c>
      <c r="O12" s="93">
        <v>0.2</v>
      </c>
      <c r="P12" s="93">
        <v>0.5</v>
      </c>
      <c r="Q12" s="93">
        <v>1</v>
      </c>
      <c r="R12" s="93">
        <v>2</v>
      </c>
      <c r="S12" s="93">
        <v>5</v>
      </c>
      <c r="T12" s="93">
        <v>10</v>
      </c>
      <c r="U12" s="93">
        <v>20</v>
      </c>
      <c r="V12" s="93">
        <v>50</v>
      </c>
      <c r="W12" s="129"/>
      <c r="X12" s="85"/>
      <c r="Y12" s="85"/>
      <c r="Z12" s="49"/>
      <c r="AA12" s="94"/>
      <c r="AB12" s="95"/>
      <c r="AC12" s="85"/>
      <c r="AD12" s="85"/>
      <c r="AE12" s="85"/>
      <c r="AF12" s="85"/>
      <c r="AG12" s="85"/>
      <c r="AH12" s="49"/>
      <c r="AI12" s="92"/>
      <c r="AJ12" s="49"/>
      <c r="AK12" s="49"/>
      <c r="AL12" s="49"/>
    </row>
    <row r="13" spans="1:38" ht="12.75" x14ac:dyDescent="0.2">
      <c r="A13" s="87" t="s">
        <v>200</v>
      </c>
      <c r="B13" s="38">
        <v>75</v>
      </c>
      <c r="C13" s="38">
        <v>68</v>
      </c>
      <c r="D13" s="49">
        <v>23</v>
      </c>
      <c r="E13" s="49">
        <v>1</v>
      </c>
      <c r="F13" s="85">
        <v>2</v>
      </c>
      <c r="G13" s="85">
        <v>7</v>
      </c>
      <c r="H13" s="85">
        <v>2</v>
      </c>
      <c r="I13" s="85"/>
      <c r="J13" s="85"/>
      <c r="K13" s="86"/>
      <c r="L13" s="87" t="s">
        <v>200</v>
      </c>
      <c r="M13" s="38">
        <v>78</v>
      </c>
      <c r="N13" s="38">
        <v>87</v>
      </c>
      <c r="O13" s="49">
        <v>31</v>
      </c>
      <c r="P13" s="49">
        <v>23</v>
      </c>
      <c r="Q13" s="85">
        <v>11</v>
      </c>
      <c r="R13" s="85">
        <v>4</v>
      </c>
      <c r="S13" s="85">
        <v>17</v>
      </c>
      <c r="T13" s="85">
        <v>5</v>
      </c>
      <c r="U13" s="85">
        <v>8</v>
      </c>
      <c r="V13" s="85">
        <v>3</v>
      </c>
      <c r="W13" s="129"/>
      <c r="X13" s="85"/>
      <c r="Y13" s="85"/>
      <c r="Z13" s="49"/>
      <c r="AA13" s="94"/>
      <c r="AB13" s="95"/>
      <c r="AC13" s="85"/>
      <c r="AD13" s="85"/>
      <c r="AE13" s="85"/>
      <c r="AF13" s="85"/>
      <c r="AG13" s="85"/>
      <c r="AH13" s="49"/>
      <c r="AI13" s="92"/>
      <c r="AJ13" s="49"/>
      <c r="AK13" s="49"/>
      <c r="AL13" s="49"/>
    </row>
    <row r="14" spans="1:38" ht="12.75" x14ac:dyDescent="0.2">
      <c r="A14" s="87" t="s">
        <v>141</v>
      </c>
      <c r="B14" s="70">
        <f t="shared" ref="B14:I14" si="4">B13*B12</f>
        <v>3.75</v>
      </c>
      <c r="C14" s="70">
        <f t="shared" si="4"/>
        <v>6.8000000000000007</v>
      </c>
      <c r="D14" s="70">
        <f t="shared" si="4"/>
        <v>4.6000000000000005</v>
      </c>
      <c r="E14" s="70">
        <f t="shared" si="4"/>
        <v>0.5</v>
      </c>
      <c r="F14" s="70">
        <f t="shared" si="4"/>
        <v>2</v>
      </c>
      <c r="G14" s="70">
        <f t="shared" si="4"/>
        <v>14</v>
      </c>
      <c r="H14" s="70">
        <f t="shared" si="4"/>
        <v>10</v>
      </c>
      <c r="I14" s="70">
        <f t="shared" si="4"/>
        <v>0</v>
      </c>
      <c r="J14" s="70">
        <f>SUM(B14:I14)</f>
        <v>41.650000000000006</v>
      </c>
      <c r="K14" s="86"/>
      <c r="L14" s="87" t="s">
        <v>141</v>
      </c>
      <c r="M14" s="70">
        <f t="shared" ref="M14:V14" si="5">M13*M12</f>
        <v>3.9000000000000004</v>
      </c>
      <c r="N14" s="70">
        <f t="shared" si="5"/>
        <v>8.7000000000000011</v>
      </c>
      <c r="O14" s="70">
        <f t="shared" si="5"/>
        <v>6.2</v>
      </c>
      <c r="P14" s="70">
        <f t="shared" si="5"/>
        <v>11.5</v>
      </c>
      <c r="Q14" s="70">
        <f t="shared" si="5"/>
        <v>11</v>
      </c>
      <c r="R14" s="70">
        <f t="shared" si="5"/>
        <v>8</v>
      </c>
      <c r="S14" s="70">
        <f t="shared" si="5"/>
        <v>85</v>
      </c>
      <c r="T14" s="70">
        <f t="shared" si="5"/>
        <v>50</v>
      </c>
      <c r="U14" s="70">
        <f t="shared" si="5"/>
        <v>160</v>
      </c>
      <c r="V14" s="70">
        <f t="shared" si="5"/>
        <v>150</v>
      </c>
      <c r="W14" s="130"/>
      <c r="X14" s="70">
        <f>SUM(M14:V14)</f>
        <v>494.3</v>
      </c>
      <c r="Y14" s="96">
        <f>X14-J14</f>
        <v>452.65</v>
      </c>
      <c r="Z14" s="94">
        <v>156.5</v>
      </c>
      <c r="AA14" s="94">
        <v>61.5</v>
      </c>
      <c r="AB14" s="97">
        <f>Y14+AA14</f>
        <v>514.15</v>
      </c>
      <c r="AC14" s="85">
        <v>56</v>
      </c>
      <c r="AD14" s="96">
        <f>Z14-AC14</f>
        <v>100.5</v>
      </c>
      <c r="AE14" s="96">
        <f>Y14-Z14</f>
        <v>296.14999999999998</v>
      </c>
      <c r="AF14" s="85">
        <v>50</v>
      </c>
      <c r="AG14" s="96">
        <f>AE14-AF14</f>
        <v>246.14999999999998</v>
      </c>
      <c r="AH14" s="49"/>
      <c r="AI14" s="98">
        <f>(SUM(Z14:AA14)/(1+10/100))*(10/100)</f>
        <v>19.818181818181817</v>
      </c>
      <c r="AJ14" s="49"/>
      <c r="AK14" s="49"/>
      <c r="AL14" s="49"/>
    </row>
    <row r="15" spans="1:38" ht="12.75" x14ac:dyDescent="0.2">
      <c r="AG15" s="38">
        <v>-1.1499999999999999</v>
      </c>
    </row>
    <row r="16" spans="1:38" ht="25.5" x14ac:dyDescent="0.2">
      <c r="A16" s="83" t="s">
        <v>135</v>
      </c>
      <c r="B16" s="84">
        <v>45874</v>
      </c>
      <c r="C16" s="85"/>
      <c r="D16" s="85"/>
      <c r="E16" s="85"/>
      <c r="F16" s="85"/>
      <c r="G16" s="85"/>
      <c r="H16" s="85"/>
      <c r="I16" s="85"/>
      <c r="J16" s="85"/>
      <c r="K16" s="86"/>
      <c r="L16" s="83" t="s">
        <v>136</v>
      </c>
      <c r="M16" s="84">
        <v>45874</v>
      </c>
      <c r="N16" s="85"/>
      <c r="O16" s="85"/>
      <c r="P16" s="85"/>
      <c r="Q16" s="85"/>
      <c r="R16" s="85"/>
      <c r="S16" s="85"/>
      <c r="T16" s="85"/>
      <c r="U16" s="85"/>
      <c r="V16" s="85"/>
      <c r="W16" s="88" t="s">
        <v>333</v>
      </c>
      <c r="X16" s="87" t="s">
        <v>141</v>
      </c>
      <c r="Y16" s="88" t="s">
        <v>192</v>
      </c>
      <c r="Z16" s="89" t="s">
        <v>142</v>
      </c>
      <c r="AA16" s="90" t="s">
        <v>193</v>
      </c>
      <c r="AB16" s="91" t="s">
        <v>194</v>
      </c>
      <c r="AC16" s="88" t="s">
        <v>312</v>
      </c>
      <c r="AD16" s="87" t="s">
        <v>195</v>
      </c>
      <c r="AE16" s="87" t="s">
        <v>196</v>
      </c>
      <c r="AF16" s="88" t="s">
        <v>313</v>
      </c>
      <c r="AG16" s="87" t="s">
        <v>198</v>
      </c>
      <c r="AH16" s="49"/>
      <c r="AI16" s="92"/>
      <c r="AJ16" s="49"/>
      <c r="AK16" s="49"/>
      <c r="AL16" s="49"/>
    </row>
    <row r="17" spans="1:38" ht="12.75" x14ac:dyDescent="0.2">
      <c r="A17" s="87" t="s">
        <v>199</v>
      </c>
      <c r="B17" s="93">
        <v>0.05</v>
      </c>
      <c r="C17" s="93">
        <v>0.1</v>
      </c>
      <c r="D17" s="93">
        <v>0.2</v>
      </c>
      <c r="E17" s="93">
        <v>0.5</v>
      </c>
      <c r="F17" s="93">
        <v>1</v>
      </c>
      <c r="G17" s="93">
        <v>2</v>
      </c>
      <c r="H17" s="93">
        <v>5</v>
      </c>
      <c r="I17" s="93">
        <v>10</v>
      </c>
      <c r="J17" s="49"/>
      <c r="K17" s="86"/>
      <c r="L17" s="87" t="s">
        <v>199</v>
      </c>
      <c r="M17" s="93">
        <v>0.05</v>
      </c>
      <c r="N17" s="93">
        <v>0.1</v>
      </c>
      <c r="O17" s="93">
        <v>0.2</v>
      </c>
      <c r="P17" s="93">
        <v>0.5</v>
      </c>
      <c r="Q17" s="93">
        <v>1</v>
      </c>
      <c r="R17" s="93">
        <v>2</v>
      </c>
      <c r="S17" s="93">
        <v>5</v>
      </c>
      <c r="T17" s="93">
        <v>10</v>
      </c>
      <c r="U17" s="93">
        <v>20</v>
      </c>
      <c r="V17" s="93">
        <v>50</v>
      </c>
      <c r="W17" s="129"/>
      <c r="X17" s="85"/>
      <c r="Y17" s="85"/>
      <c r="Z17" s="49"/>
      <c r="AA17" s="94"/>
      <c r="AB17" s="95"/>
      <c r="AC17" s="85"/>
      <c r="AD17" s="85"/>
      <c r="AE17" s="85"/>
      <c r="AF17" s="85"/>
      <c r="AG17" s="85"/>
      <c r="AH17" s="49"/>
      <c r="AI17" s="92"/>
      <c r="AJ17" s="49"/>
      <c r="AK17" s="49"/>
      <c r="AL17" s="49"/>
    </row>
    <row r="18" spans="1:38" ht="12.75" x14ac:dyDescent="0.2">
      <c r="A18" s="87" t="s">
        <v>200</v>
      </c>
      <c r="B18" s="38">
        <v>78</v>
      </c>
      <c r="C18" s="38">
        <v>67</v>
      </c>
      <c r="D18" s="49">
        <v>16</v>
      </c>
      <c r="E18" s="49">
        <v>10</v>
      </c>
      <c r="F18" s="85">
        <v>11</v>
      </c>
      <c r="G18" s="85">
        <v>4</v>
      </c>
      <c r="H18" s="85">
        <v>1</v>
      </c>
      <c r="I18" s="85"/>
      <c r="J18" s="85"/>
      <c r="K18" s="86"/>
      <c r="L18" s="87" t="s">
        <v>200</v>
      </c>
      <c r="M18" s="38">
        <v>86</v>
      </c>
      <c r="N18" s="38">
        <v>59</v>
      </c>
      <c r="O18" s="49">
        <v>9</v>
      </c>
      <c r="P18" s="49">
        <v>2</v>
      </c>
      <c r="Q18" s="85">
        <v>8</v>
      </c>
      <c r="R18" s="85">
        <v>14</v>
      </c>
      <c r="S18" s="85">
        <v>13</v>
      </c>
      <c r="T18" s="85">
        <v>7</v>
      </c>
      <c r="U18" s="85">
        <v>1</v>
      </c>
      <c r="V18" s="85">
        <v>1</v>
      </c>
      <c r="W18" s="129"/>
      <c r="X18" s="85"/>
      <c r="Y18" s="85"/>
      <c r="Z18" s="49"/>
      <c r="AA18" s="94"/>
      <c r="AB18" s="95"/>
      <c r="AC18" s="85"/>
      <c r="AD18" s="85"/>
      <c r="AE18" s="85"/>
      <c r="AF18" s="85"/>
      <c r="AG18" s="85"/>
      <c r="AH18" s="49"/>
      <c r="AI18" s="92"/>
      <c r="AJ18" s="49"/>
      <c r="AK18" s="49"/>
      <c r="AL18" s="49"/>
    </row>
    <row r="19" spans="1:38" ht="12.75" x14ac:dyDescent="0.2">
      <c r="A19" s="87" t="s">
        <v>141</v>
      </c>
      <c r="B19" s="70">
        <f t="shared" ref="B19:I19" si="6">B18*B17</f>
        <v>3.9000000000000004</v>
      </c>
      <c r="C19" s="70">
        <f t="shared" si="6"/>
        <v>6.7</v>
      </c>
      <c r="D19" s="70">
        <f t="shared" si="6"/>
        <v>3.2</v>
      </c>
      <c r="E19" s="70">
        <f t="shared" si="6"/>
        <v>5</v>
      </c>
      <c r="F19" s="70">
        <f t="shared" si="6"/>
        <v>11</v>
      </c>
      <c r="G19" s="70">
        <f t="shared" si="6"/>
        <v>8</v>
      </c>
      <c r="H19" s="70">
        <f t="shared" si="6"/>
        <v>5</v>
      </c>
      <c r="I19" s="70">
        <f t="shared" si="6"/>
        <v>0</v>
      </c>
      <c r="J19" s="70">
        <f>SUM(B19:I19)</f>
        <v>42.8</v>
      </c>
      <c r="K19" s="86"/>
      <c r="L19" s="87" t="s">
        <v>141</v>
      </c>
      <c r="M19" s="70">
        <f t="shared" ref="M19:V19" si="7">M18*M17</f>
        <v>4.3</v>
      </c>
      <c r="N19" s="70">
        <f t="shared" si="7"/>
        <v>5.9</v>
      </c>
      <c r="O19" s="70">
        <f t="shared" si="7"/>
        <v>1.8</v>
      </c>
      <c r="P19" s="70">
        <f t="shared" si="7"/>
        <v>1</v>
      </c>
      <c r="Q19" s="70">
        <f t="shared" si="7"/>
        <v>8</v>
      </c>
      <c r="R19" s="70">
        <f t="shared" si="7"/>
        <v>28</v>
      </c>
      <c r="S19" s="70">
        <f t="shared" si="7"/>
        <v>65</v>
      </c>
      <c r="T19" s="70">
        <f t="shared" si="7"/>
        <v>70</v>
      </c>
      <c r="U19" s="70">
        <f t="shared" si="7"/>
        <v>20</v>
      </c>
      <c r="V19" s="70">
        <f t="shared" si="7"/>
        <v>50</v>
      </c>
      <c r="W19" s="130"/>
      <c r="X19" s="70">
        <f>SUM(M19:V19)</f>
        <v>254</v>
      </c>
      <c r="Y19" s="96">
        <f>X19-J19</f>
        <v>211.2</v>
      </c>
      <c r="Z19" s="94">
        <v>83.5</v>
      </c>
      <c r="AA19" s="94">
        <v>28.2</v>
      </c>
      <c r="AB19" s="97">
        <f>Y19+AA19</f>
        <v>239.39999999999998</v>
      </c>
      <c r="AC19" s="85">
        <v>30</v>
      </c>
      <c r="AD19" s="96">
        <f>Z19-AC19</f>
        <v>53.5</v>
      </c>
      <c r="AE19" s="96">
        <f>Y19-Z19</f>
        <v>127.69999999999999</v>
      </c>
      <c r="AF19" s="85"/>
      <c r="AG19" s="96">
        <f>AE19-AF19</f>
        <v>127.69999999999999</v>
      </c>
      <c r="AH19" s="49"/>
      <c r="AI19" s="98">
        <f>(SUM(Z19:AA19)/(1+10/100))*(10/100)</f>
        <v>10.154545454545456</v>
      </c>
      <c r="AJ19" s="49"/>
      <c r="AK19" s="49"/>
      <c r="AL19" s="49"/>
    </row>
    <row r="21" spans="1:38" ht="25.5" x14ac:dyDescent="0.2">
      <c r="A21" s="83" t="s">
        <v>135</v>
      </c>
      <c r="B21" s="84">
        <v>45875</v>
      </c>
      <c r="C21" s="85"/>
      <c r="D21" s="85"/>
      <c r="E21" s="85"/>
      <c r="F21" s="85"/>
      <c r="G21" s="85"/>
      <c r="H21" s="85"/>
      <c r="I21" s="85"/>
      <c r="J21" s="85"/>
      <c r="K21" s="86"/>
      <c r="L21" s="83" t="s">
        <v>136</v>
      </c>
      <c r="M21" s="84">
        <v>45875</v>
      </c>
      <c r="N21" s="85"/>
      <c r="O21" s="85"/>
      <c r="P21" s="85"/>
      <c r="Q21" s="85"/>
      <c r="R21" s="85"/>
      <c r="S21" s="85"/>
      <c r="T21" s="85"/>
      <c r="U21" s="85"/>
      <c r="V21" s="85"/>
      <c r="W21" s="88" t="s">
        <v>333</v>
      </c>
      <c r="X21" s="87" t="s">
        <v>141</v>
      </c>
      <c r="Y21" s="88" t="s">
        <v>192</v>
      </c>
      <c r="Z21" s="89" t="s">
        <v>142</v>
      </c>
      <c r="AA21" s="90" t="s">
        <v>193</v>
      </c>
      <c r="AB21" s="91" t="s">
        <v>194</v>
      </c>
      <c r="AC21" s="88" t="s">
        <v>312</v>
      </c>
      <c r="AD21" s="87" t="s">
        <v>195</v>
      </c>
      <c r="AE21" s="87" t="s">
        <v>196</v>
      </c>
      <c r="AF21" s="88" t="s">
        <v>313</v>
      </c>
      <c r="AG21" s="87" t="s">
        <v>198</v>
      </c>
      <c r="AH21" s="49"/>
      <c r="AI21" s="92"/>
      <c r="AJ21" s="49"/>
      <c r="AK21" s="49"/>
      <c r="AL21" s="49"/>
    </row>
    <row r="22" spans="1:38" ht="12.75" x14ac:dyDescent="0.2">
      <c r="A22" s="87" t="s">
        <v>199</v>
      </c>
      <c r="B22" s="93">
        <v>0.05</v>
      </c>
      <c r="C22" s="93">
        <v>0.1</v>
      </c>
      <c r="D22" s="93">
        <v>0.2</v>
      </c>
      <c r="E22" s="93">
        <v>0.5</v>
      </c>
      <c r="F22" s="93">
        <v>1</v>
      </c>
      <c r="G22" s="93">
        <v>2</v>
      </c>
      <c r="H22" s="93">
        <v>5</v>
      </c>
      <c r="I22" s="93">
        <v>10</v>
      </c>
      <c r="J22" s="49"/>
      <c r="K22" s="86"/>
      <c r="L22" s="87" t="s">
        <v>199</v>
      </c>
      <c r="M22" s="93">
        <v>0.05</v>
      </c>
      <c r="N22" s="93">
        <v>0.1</v>
      </c>
      <c r="O22" s="93">
        <v>0.2</v>
      </c>
      <c r="P22" s="93">
        <v>0.5</v>
      </c>
      <c r="Q22" s="93">
        <v>1</v>
      </c>
      <c r="R22" s="93">
        <v>2</v>
      </c>
      <c r="S22" s="93">
        <v>5</v>
      </c>
      <c r="T22" s="93">
        <v>10</v>
      </c>
      <c r="U22" s="93">
        <v>20</v>
      </c>
      <c r="V22" s="93">
        <v>50</v>
      </c>
      <c r="W22" s="129"/>
      <c r="X22" s="85"/>
      <c r="Y22" s="85"/>
      <c r="Z22" s="49"/>
      <c r="AA22" s="94"/>
      <c r="AB22" s="95"/>
      <c r="AC22" s="85"/>
      <c r="AD22" s="85"/>
      <c r="AE22" s="85"/>
      <c r="AF22" s="85"/>
      <c r="AG22" s="85"/>
      <c r="AH22" s="49"/>
      <c r="AI22" s="92"/>
      <c r="AJ22" s="49"/>
      <c r="AK22" s="49"/>
      <c r="AL22" s="49"/>
    </row>
    <row r="23" spans="1:38" ht="12.75" x14ac:dyDescent="0.2">
      <c r="A23" s="87" t="s">
        <v>200</v>
      </c>
      <c r="B23" s="38">
        <v>86</v>
      </c>
      <c r="C23" s="38">
        <v>59</v>
      </c>
      <c r="D23" s="49">
        <v>9</v>
      </c>
      <c r="E23" s="49">
        <v>2</v>
      </c>
      <c r="F23" s="85">
        <v>8</v>
      </c>
      <c r="G23" s="85">
        <v>5</v>
      </c>
      <c r="H23" s="85">
        <v>2</v>
      </c>
      <c r="I23" s="85"/>
      <c r="J23" s="85"/>
      <c r="K23" s="86"/>
      <c r="L23" s="87" t="s">
        <v>200</v>
      </c>
      <c r="M23" s="38">
        <v>91</v>
      </c>
      <c r="N23" s="38">
        <v>55</v>
      </c>
      <c r="O23" s="49">
        <v>9</v>
      </c>
      <c r="P23" s="49">
        <v>9</v>
      </c>
      <c r="Q23" s="85">
        <v>10</v>
      </c>
      <c r="R23" s="85">
        <v>4</v>
      </c>
      <c r="S23" s="85">
        <v>2</v>
      </c>
      <c r="T23" s="85">
        <v>13</v>
      </c>
      <c r="U23" s="85">
        <v>8</v>
      </c>
      <c r="V23" s="85">
        <v>1</v>
      </c>
      <c r="W23" s="129"/>
      <c r="X23" s="85"/>
      <c r="Y23" s="85"/>
      <c r="Z23" s="49"/>
      <c r="AA23" s="94"/>
      <c r="AB23" s="95"/>
      <c r="AC23" s="85"/>
      <c r="AD23" s="85"/>
      <c r="AE23" s="85"/>
      <c r="AF23" s="85"/>
      <c r="AG23" s="85"/>
      <c r="AH23" s="49"/>
      <c r="AI23" s="92"/>
      <c r="AJ23" s="49"/>
      <c r="AK23" s="49"/>
      <c r="AL23" s="49"/>
    </row>
    <row r="24" spans="1:38" ht="12.75" x14ac:dyDescent="0.2">
      <c r="A24" s="87" t="s">
        <v>141</v>
      </c>
      <c r="B24" s="70">
        <f t="shared" ref="B24:I24" si="8">B23*B22</f>
        <v>4.3</v>
      </c>
      <c r="C24" s="70">
        <f t="shared" si="8"/>
        <v>5.9</v>
      </c>
      <c r="D24" s="70">
        <f t="shared" si="8"/>
        <v>1.8</v>
      </c>
      <c r="E24" s="70">
        <f t="shared" si="8"/>
        <v>1</v>
      </c>
      <c r="F24" s="70">
        <f t="shared" si="8"/>
        <v>8</v>
      </c>
      <c r="G24" s="70">
        <f t="shared" si="8"/>
        <v>10</v>
      </c>
      <c r="H24" s="70">
        <f t="shared" si="8"/>
        <v>10</v>
      </c>
      <c r="I24" s="70">
        <f t="shared" si="8"/>
        <v>0</v>
      </c>
      <c r="J24" s="70">
        <f>SUM(B24:I24)</f>
        <v>41</v>
      </c>
      <c r="K24" s="86"/>
      <c r="L24" s="87" t="s">
        <v>141</v>
      </c>
      <c r="M24" s="70">
        <f t="shared" ref="M24:V24" si="9">M23*M22</f>
        <v>4.55</v>
      </c>
      <c r="N24" s="70">
        <f t="shared" si="9"/>
        <v>5.5</v>
      </c>
      <c r="O24" s="70">
        <f t="shared" si="9"/>
        <v>1.8</v>
      </c>
      <c r="P24" s="70">
        <f t="shared" si="9"/>
        <v>4.5</v>
      </c>
      <c r="Q24" s="70">
        <f t="shared" si="9"/>
        <v>10</v>
      </c>
      <c r="R24" s="70">
        <f t="shared" si="9"/>
        <v>8</v>
      </c>
      <c r="S24" s="70">
        <f t="shared" si="9"/>
        <v>10</v>
      </c>
      <c r="T24" s="70">
        <f t="shared" si="9"/>
        <v>130</v>
      </c>
      <c r="U24" s="70">
        <f t="shared" si="9"/>
        <v>160</v>
      </c>
      <c r="V24" s="70">
        <f t="shared" si="9"/>
        <v>50</v>
      </c>
      <c r="W24" s="130"/>
      <c r="X24" s="70">
        <f>SUM(M24:V24)</f>
        <v>384.35</v>
      </c>
      <c r="Y24" s="96">
        <f>X24-J24</f>
        <v>343.35</v>
      </c>
      <c r="Z24" s="94">
        <v>150.30000000000001</v>
      </c>
      <c r="AA24" s="94">
        <v>86.2</v>
      </c>
      <c r="AB24" s="97">
        <f>Y24+AA24</f>
        <v>429.55</v>
      </c>
      <c r="AC24" s="85">
        <v>50</v>
      </c>
      <c r="AD24" s="96">
        <f>Z24-AC24</f>
        <v>100.30000000000001</v>
      </c>
      <c r="AE24" s="96">
        <f>Y24-Z24</f>
        <v>193.05</v>
      </c>
      <c r="AF24" s="85">
        <v>53</v>
      </c>
      <c r="AG24" s="96">
        <f>AE24-AF24</f>
        <v>140.05000000000001</v>
      </c>
      <c r="AH24" s="49"/>
      <c r="AI24" s="98">
        <f>(SUM(AA24)/(1+10/100))*(10/100)</f>
        <v>7.836363636363636</v>
      </c>
      <c r="AJ24" s="49"/>
      <c r="AK24" s="49"/>
      <c r="AL24" s="49"/>
    </row>
    <row r="26" spans="1:38" ht="25.5" x14ac:dyDescent="0.2">
      <c r="A26" s="83" t="s">
        <v>135</v>
      </c>
      <c r="B26" s="84"/>
      <c r="C26" s="85"/>
      <c r="D26" s="85"/>
      <c r="E26" s="85"/>
      <c r="F26" s="85"/>
      <c r="G26" s="85"/>
      <c r="H26" s="85"/>
      <c r="I26" s="85"/>
      <c r="J26" s="85"/>
      <c r="K26" s="86"/>
      <c r="L26" s="83" t="s">
        <v>136</v>
      </c>
      <c r="M26" s="84">
        <v>45876</v>
      </c>
      <c r="N26" s="85"/>
      <c r="O26" s="85"/>
      <c r="P26" s="85"/>
      <c r="Q26" s="85"/>
      <c r="R26" s="85"/>
      <c r="S26" s="85"/>
      <c r="T26" s="85"/>
      <c r="U26" s="85"/>
      <c r="V26" s="85"/>
      <c r="W26" s="88" t="s">
        <v>333</v>
      </c>
      <c r="X26" s="87" t="s">
        <v>141</v>
      </c>
      <c r="Y26" s="88" t="s">
        <v>192</v>
      </c>
      <c r="Z26" s="89" t="s">
        <v>142</v>
      </c>
      <c r="AA26" s="90" t="s">
        <v>193</v>
      </c>
      <c r="AB26" s="91" t="s">
        <v>194</v>
      </c>
      <c r="AC26" s="88" t="s">
        <v>312</v>
      </c>
      <c r="AD26" s="87" t="s">
        <v>195</v>
      </c>
      <c r="AE26" s="87" t="s">
        <v>196</v>
      </c>
      <c r="AF26" s="88" t="s">
        <v>313</v>
      </c>
      <c r="AG26" s="87" t="s">
        <v>198</v>
      </c>
      <c r="AH26" s="49"/>
      <c r="AI26" s="92"/>
      <c r="AJ26" s="49"/>
      <c r="AK26" s="49"/>
      <c r="AL26" s="49"/>
    </row>
    <row r="27" spans="1:38" ht="12.75" x14ac:dyDescent="0.2">
      <c r="A27" s="87" t="s">
        <v>199</v>
      </c>
      <c r="B27" s="93">
        <v>0.05</v>
      </c>
      <c r="C27" s="93">
        <v>0.1</v>
      </c>
      <c r="D27" s="93">
        <v>0.2</v>
      </c>
      <c r="E27" s="93">
        <v>0.5</v>
      </c>
      <c r="F27" s="93">
        <v>1</v>
      </c>
      <c r="G27" s="93">
        <v>2</v>
      </c>
      <c r="H27" s="93">
        <v>5</v>
      </c>
      <c r="I27" s="93">
        <v>10</v>
      </c>
      <c r="J27" s="49"/>
      <c r="K27" s="86"/>
      <c r="L27" s="87" t="s">
        <v>199</v>
      </c>
      <c r="M27" s="93">
        <v>0.05</v>
      </c>
      <c r="N27" s="93">
        <v>0.1</v>
      </c>
      <c r="O27" s="93">
        <v>0.2</v>
      </c>
      <c r="P27" s="93">
        <v>0.5</v>
      </c>
      <c r="Q27" s="93">
        <v>1</v>
      </c>
      <c r="R27" s="93">
        <v>2</v>
      </c>
      <c r="S27" s="93">
        <v>5</v>
      </c>
      <c r="T27" s="93">
        <v>10</v>
      </c>
      <c r="U27" s="93">
        <v>20</v>
      </c>
      <c r="V27" s="93">
        <v>50</v>
      </c>
      <c r="W27" s="129"/>
      <c r="X27" s="85"/>
      <c r="Y27" s="85"/>
      <c r="Z27" s="49"/>
      <c r="AA27" s="94"/>
      <c r="AB27" s="95"/>
      <c r="AC27" s="85"/>
      <c r="AD27" s="85"/>
      <c r="AE27" s="85"/>
      <c r="AF27" s="85"/>
      <c r="AG27" s="85"/>
      <c r="AH27" s="49"/>
      <c r="AI27" s="92"/>
      <c r="AJ27" s="49"/>
      <c r="AK27" s="49"/>
      <c r="AL27" s="49"/>
    </row>
    <row r="28" spans="1:38" ht="12.75" x14ac:dyDescent="0.2">
      <c r="A28" s="87" t="s">
        <v>200</v>
      </c>
      <c r="B28" s="38">
        <v>91</v>
      </c>
      <c r="C28" s="38">
        <v>55</v>
      </c>
      <c r="D28" s="49">
        <v>9</v>
      </c>
      <c r="E28" s="49">
        <v>9</v>
      </c>
      <c r="F28" s="85">
        <v>10</v>
      </c>
      <c r="G28" s="85">
        <v>4</v>
      </c>
      <c r="H28" s="85">
        <v>2</v>
      </c>
      <c r="I28" s="85"/>
      <c r="J28" s="85"/>
      <c r="K28" s="86"/>
      <c r="L28" s="87" t="s">
        <v>200</v>
      </c>
      <c r="M28" s="38">
        <v>91</v>
      </c>
      <c r="N28" s="38">
        <v>58</v>
      </c>
      <c r="O28" s="49">
        <v>7</v>
      </c>
      <c r="P28" s="49">
        <v>11</v>
      </c>
      <c r="Q28" s="85">
        <v>9</v>
      </c>
      <c r="R28" s="85">
        <v>3</v>
      </c>
      <c r="S28" s="85">
        <v>2</v>
      </c>
      <c r="T28" s="85">
        <v>7</v>
      </c>
      <c r="U28" s="85">
        <v>10</v>
      </c>
      <c r="V28" s="85">
        <v>1</v>
      </c>
      <c r="W28" s="129"/>
      <c r="X28" s="85"/>
      <c r="Y28" s="85"/>
      <c r="Z28" s="49"/>
      <c r="AA28" s="94"/>
      <c r="AB28" s="95"/>
      <c r="AC28" s="85"/>
      <c r="AD28" s="85"/>
      <c r="AE28" s="85"/>
      <c r="AF28" s="85"/>
      <c r="AG28" s="85"/>
      <c r="AH28" s="49"/>
      <c r="AI28" s="92"/>
      <c r="AJ28" s="49"/>
      <c r="AK28" s="49"/>
      <c r="AL28" s="49"/>
    </row>
    <row r="29" spans="1:38" ht="12.75" x14ac:dyDescent="0.2">
      <c r="A29" s="87" t="s">
        <v>141</v>
      </c>
      <c r="B29" s="70">
        <f t="shared" ref="B29:I29" si="10">B28*B27</f>
        <v>4.55</v>
      </c>
      <c r="C29" s="70">
        <f t="shared" si="10"/>
        <v>5.5</v>
      </c>
      <c r="D29" s="70">
        <f t="shared" si="10"/>
        <v>1.8</v>
      </c>
      <c r="E29" s="70">
        <f t="shared" si="10"/>
        <v>4.5</v>
      </c>
      <c r="F29" s="70">
        <f t="shared" si="10"/>
        <v>10</v>
      </c>
      <c r="G29" s="70">
        <f t="shared" si="10"/>
        <v>8</v>
      </c>
      <c r="H29" s="70">
        <f t="shared" si="10"/>
        <v>10</v>
      </c>
      <c r="I29" s="70">
        <f t="shared" si="10"/>
        <v>0</v>
      </c>
      <c r="J29" s="70">
        <f>SUM(B29:I29)</f>
        <v>44.35</v>
      </c>
      <c r="K29" s="86"/>
      <c r="L29" s="87" t="s">
        <v>141</v>
      </c>
      <c r="M29" s="70">
        <f t="shared" ref="M29:V29" si="11">M28*M27</f>
        <v>4.55</v>
      </c>
      <c r="N29" s="70">
        <f t="shared" si="11"/>
        <v>5.8000000000000007</v>
      </c>
      <c r="O29" s="70">
        <f t="shared" si="11"/>
        <v>1.4000000000000001</v>
      </c>
      <c r="P29" s="70">
        <f t="shared" si="11"/>
        <v>5.5</v>
      </c>
      <c r="Q29" s="70">
        <f t="shared" si="11"/>
        <v>9</v>
      </c>
      <c r="R29" s="70">
        <f t="shared" si="11"/>
        <v>6</v>
      </c>
      <c r="S29" s="70">
        <f t="shared" si="11"/>
        <v>10</v>
      </c>
      <c r="T29" s="70">
        <f t="shared" si="11"/>
        <v>70</v>
      </c>
      <c r="U29" s="70">
        <f t="shared" si="11"/>
        <v>200</v>
      </c>
      <c r="V29" s="70">
        <f t="shared" si="11"/>
        <v>50</v>
      </c>
      <c r="W29" s="130"/>
      <c r="X29" s="70">
        <f>SUM(M29:V29)</f>
        <v>362.25</v>
      </c>
      <c r="Y29" s="96">
        <f>X29-J29</f>
        <v>317.89999999999998</v>
      </c>
      <c r="Z29" s="94">
        <v>160.5</v>
      </c>
      <c r="AA29" s="94">
        <v>118.4</v>
      </c>
      <c r="AB29" s="97">
        <f>Y29+AA29</f>
        <v>436.29999999999995</v>
      </c>
      <c r="AC29" s="85">
        <v>50</v>
      </c>
      <c r="AD29" s="96">
        <f>Z29-AC29</f>
        <v>110.5</v>
      </c>
      <c r="AE29" s="96">
        <f>Y29-Z29</f>
        <v>157.39999999999998</v>
      </c>
      <c r="AF29" s="85"/>
      <c r="AG29" s="96">
        <f>AE29-AF29</f>
        <v>157.39999999999998</v>
      </c>
      <c r="AH29" s="49"/>
      <c r="AI29" s="98">
        <f>(SUM(Z29:AA29)/(1+10/100))*(10/100)</f>
        <v>25.354545454545452</v>
      </c>
      <c r="AJ29" s="49"/>
      <c r="AK29" s="49"/>
      <c r="AL29" s="49"/>
    </row>
    <row r="31" spans="1:38" ht="25.5" x14ac:dyDescent="0.2">
      <c r="A31" s="83" t="s">
        <v>135</v>
      </c>
      <c r="B31" s="84">
        <v>45877</v>
      </c>
      <c r="C31" s="85"/>
      <c r="D31" s="85"/>
      <c r="E31" s="85"/>
      <c r="F31" s="85"/>
      <c r="G31" s="85"/>
      <c r="H31" s="85"/>
      <c r="I31" s="85"/>
      <c r="J31" s="85"/>
      <c r="K31" s="86"/>
      <c r="L31" s="83" t="s">
        <v>136</v>
      </c>
      <c r="M31" s="84">
        <v>45877</v>
      </c>
      <c r="N31" s="85"/>
      <c r="O31" s="85"/>
      <c r="P31" s="85"/>
      <c r="Q31" s="85"/>
      <c r="R31" s="85"/>
      <c r="S31" s="85"/>
      <c r="T31" s="85"/>
      <c r="U31" s="85"/>
      <c r="V31" s="85"/>
      <c r="W31" s="88" t="s">
        <v>333</v>
      </c>
      <c r="X31" s="87" t="s">
        <v>141</v>
      </c>
      <c r="Y31" s="88" t="s">
        <v>192</v>
      </c>
      <c r="Z31" s="89" t="s">
        <v>142</v>
      </c>
      <c r="AA31" s="90" t="s">
        <v>193</v>
      </c>
      <c r="AB31" s="91" t="s">
        <v>194</v>
      </c>
      <c r="AC31" s="88" t="s">
        <v>312</v>
      </c>
      <c r="AD31" s="87" t="s">
        <v>195</v>
      </c>
      <c r="AE31" s="87" t="s">
        <v>196</v>
      </c>
      <c r="AF31" s="88" t="s">
        <v>313</v>
      </c>
      <c r="AG31" s="87" t="s">
        <v>198</v>
      </c>
      <c r="AH31" s="49"/>
      <c r="AI31" s="92"/>
      <c r="AJ31" s="49"/>
      <c r="AK31" s="49"/>
      <c r="AL31" s="49"/>
    </row>
    <row r="32" spans="1:38" ht="12.75" x14ac:dyDescent="0.2">
      <c r="A32" s="87" t="s">
        <v>199</v>
      </c>
      <c r="B32" s="93">
        <v>0.05</v>
      </c>
      <c r="C32" s="93">
        <v>0.1</v>
      </c>
      <c r="D32" s="93">
        <v>0.2</v>
      </c>
      <c r="E32" s="93">
        <v>0.5</v>
      </c>
      <c r="F32" s="93">
        <v>1</v>
      </c>
      <c r="G32" s="93">
        <v>2</v>
      </c>
      <c r="H32" s="93">
        <v>5</v>
      </c>
      <c r="I32" s="93">
        <v>10</v>
      </c>
      <c r="J32" s="49"/>
      <c r="K32" s="86"/>
      <c r="L32" s="87" t="s">
        <v>199</v>
      </c>
      <c r="M32" s="93">
        <v>0.05</v>
      </c>
      <c r="N32" s="93">
        <v>0.1</v>
      </c>
      <c r="O32" s="93">
        <v>0.2</v>
      </c>
      <c r="P32" s="93">
        <v>0.5</v>
      </c>
      <c r="Q32" s="93">
        <v>1</v>
      </c>
      <c r="R32" s="93">
        <v>2</v>
      </c>
      <c r="S32" s="93">
        <v>5</v>
      </c>
      <c r="T32" s="93">
        <v>10</v>
      </c>
      <c r="U32" s="93">
        <v>20</v>
      </c>
      <c r="V32" s="93">
        <v>50</v>
      </c>
      <c r="W32" s="129"/>
      <c r="X32" s="85"/>
      <c r="Y32" s="85"/>
      <c r="Z32" s="49"/>
      <c r="AA32" s="94"/>
      <c r="AB32" s="95"/>
      <c r="AC32" s="85"/>
      <c r="AD32" s="85"/>
      <c r="AE32" s="85"/>
      <c r="AF32" s="85"/>
      <c r="AG32" s="85"/>
      <c r="AH32" s="49"/>
      <c r="AI32" s="92"/>
      <c r="AJ32" s="49"/>
      <c r="AK32" s="49"/>
      <c r="AL32" s="49"/>
    </row>
    <row r="33" spans="1:38" ht="12.75" x14ac:dyDescent="0.2">
      <c r="A33" s="87" t="s">
        <v>200</v>
      </c>
      <c r="B33" s="38">
        <v>91</v>
      </c>
      <c r="C33" s="38">
        <v>58</v>
      </c>
      <c r="D33" s="49">
        <v>7</v>
      </c>
      <c r="E33" s="49">
        <v>11</v>
      </c>
      <c r="F33" s="85">
        <v>9</v>
      </c>
      <c r="G33" s="85">
        <v>3</v>
      </c>
      <c r="H33" s="85">
        <v>2</v>
      </c>
      <c r="I33" s="85"/>
      <c r="J33" s="85"/>
      <c r="K33" s="86"/>
      <c r="L33" s="87" t="s">
        <v>200</v>
      </c>
      <c r="M33" s="38">
        <v>90</v>
      </c>
      <c r="N33" s="38">
        <v>47</v>
      </c>
      <c r="O33" s="49">
        <v>25</v>
      </c>
      <c r="P33" s="49">
        <v>11</v>
      </c>
      <c r="Q33" s="85">
        <v>24</v>
      </c>
      <c r="R33" s="85">
        <v>10</v>
      </c>
      <c r="S33" s="85">
        <v>6</v>
      </c>
      <c r="T33" s="85">
        <v>4</v>
      </c>
      <c r="U33" s="85">
        <v>2</v>
      </c>
      <c r="V33" s="85">
        <v>2</v>
      </c>
      <c r="W33" s="129"/>
      <c r="X33" s="85"/>
      <c r="Y33" s="85"/>
      <c r="Z33" s="49"/>
      <c r="AA33" s="94"/>
      <c r="AB33" s="95"/>
      <c r="AC33" s="85"/>
      <c r="AD33" s="85"/>
      <c r="AE33" s="85"/>
      <c r="AF33" s="85"/>
      <c r="AG33" s="85"/>
      <c r="AH33" s="49"/>
      <c r="AI33" s="92"/>
      <c r="AJ33" s="49"/>
      <c r="AK33" s="49"/>
      <c r="AL33" s="49"/>
    </row>
    <row r="34" spans="1:38" ht="12.75" x14ac:dyDescent="0.2">
      <c r="A34" s="87" t="s">
        <v>141</v>
      </c>
      <c r="B34" s="70">
        <f t="shared" ref="B34:I34" si="12">B33*B32</f>
        <v>4.55</v>
      </c>
      <c r="C34" s="70">
        <f t="shared" si="12"/>
        <v>5.8000000000000007</v>
      </c>
      <c r="D34" s="70">
        <f t="shared" si="12"/>
        <v>1.4000000000000001</v>
      </c>
      <c r="E34" s="70">
        <f t="shared" si="12"/>
        <v>5.5</v>
      </c>
      <c r="F34" s="70">
        <f t="shared" si="12"/>
        <v>9</v>
      </c>
      <c r="G34" s="70">
        <f t="shared" si="12"/>
        <v>6</v>
      </c>
      <c r="H34" s="70">
        <f t="shared" si="12"/>
        <v>10</v>
      </c>
      <c r="I34" s="70">
        <f t="shared" si="12"/>
        <v>0</v>
      </c>
      <c r="J34" s="70">
        <f>SUM(B34:I34)</f>
        <v>42.25</v>
      </c>
      <c r="K34" s="86"/>
      <c r="L34" s="87" t="s">
        <v>141</v>
      </c>
      <c r="M34" s="70">
        <f t="shared" ref="M34:V34" si="13">M33*M32</f>
        <v>4.5</v>
      </c>
      <c r="N34" s="70">
        <f t="shared" si="13"/>
        <v>4.7</v>
      </c>
      <c r="O34" s="70">
        <f t="shared" si="13"/>
        <v>5</v>
      </c>
      <c r="P34" s="70">
        <f t="shared" si="13"/>
        <v>5.5</v>
      </c>
      <c r="Q34" s="70">
        <f t="shared" si="13"/>
        <v>24</v>
      </c>
      <c r="R34" s="70">
        <f t="shared" si="13"/>
        <v>20</v>
      </c>
      <c r="S34" s="70">
        <f t="shared" si="13"/>
        <v>30</v>
      </c>
      <c r="T34" s="70">
        <f t="shared" si="13"/>
        <v>40</v>
      </c>
      <c r="U34" s="70">
        <f t="shared" si="13"/>
        <v>40</v>
      </c>
      <c r="V34" s="70">
        <f t="shared" si="13"/>
        <v>100</v>
      </c>
      <c r="W34" s="130"/>
      <c r="X34" s="70">
        <f>SUM(M34:V34)</f>
        <v>273.7</v>
      </c>
      <c r="Y34" s="96">
        <f>X34-J34</f>
        <v>231.45</v>
      </c>
      <c r="Z34" s="94">
        <v>118.9</v>
      </c>
      <c r="AA34" s="94">
        <v>50.8</v>
      </c>
      <c r="AB34" s="97">
        <f>Y34+AA34</f>
        <v>282.25</v>
      </c>
      <c r="AC34" s="85">
        <v>18.899999999999999</v>
      </c>
      <c r="AD34" s="96">
        <f>Z34-AC34</f>
        <v>100</v>
      </c>
      <c r="AE34" s="96">
        <f>Y34-Z34</f>
        <v>112.54999999999998</v>
      </c>
      <c r="AF34" s="85">
        <v>60</v>
      </c>
      <c r="AG34" s="96">
        <f>AE34-AF34</f>
        <v>52.549999999999983</v>
      </c>
      <c r="AH34" s="49"/>
      <c r="AI34" s="98">
        <f>(SUM(Z34:AA34)/(1+10/100))*(10/100)</f>
        <v>15.427272727272726</v>
      </c>
      <c r="AJ34" s="49"/>
      <c r="AK34" s="49"/>
      <c r="AL34" s="49"/>
    </row>
    <row r="36" spans="1:38" ht="25.5" x14ac:dyDescent="0.2">
      <c r="A36" s="83" t="s">
        <v>135</v>
      </c>
      <c r="B36" s="84">
        <v>45878</v>
      </c>
      <c r="C36" s="85"/>
      <c r="D36" s="85"/>
      <c r="E36" s="85"/>
      <c r="F36" s="85"/>
      <c r="G36" s="85"/>
      <c r="H36" s="85"/>
      <c r="I36" s="85"/>
      <c r="J36" s="85"/>
      <c r="K36" s="86"/>
      <c r="L36" s="83" t="s">
        <v>136</v>
      </c>
      <c r="M36" s="84">
        <v>45878</v>
      </c>
      <c r="N36" s="85"/>
      <c r="O36" s="85"/>
      <c r="P36" s="85"/>
      <c r="Q36" s="85"/>
      <c r="R36" s="85"/>
      <c r="S36" s="85"/>
      <c r="T36" s="85"/>
      <c r="U36" s="85"/>
      <c r="V36" s="85"/>
      <c r="W36" s="88" t="s">
        <v>333</v>
      </c>
      <c r="X36" s="87" t="s">
        <v>141</v>
      </c>
      <c r="Y36" s="88" t="s">
        <v>192</v>
      </c>
      <c r="Z36" s="89" t="s">
        <v>142</v>
      </c>
      <c r="AA36" s="90" t="s">
        <v>193</v>
      </c>
      <c r="AB36" s="91" t="s">
        <v>194</v>
      </c>
      <c r="AC36" s="88" t="s">
        <v>312</v>
      </c>
      <c r="AD36" s="87" t="s">
        <v>195</v>
      </c>
      <c r="AE36" s="87" t="s">
        <v>196</v>
      </c>
      <c r="AF36" s="88" t="s">
        <v>313</v>
      </c>
      <c r="AG36" s="87" t="s">
        <v>198</v>
      </c>
      <c r="AH36" s="49"/>
      <c r="AI36" s="92"/>
      <c r="AJ36" s="49"/>
      <c r="AK36" s="49"/>
      <c r="AL36" s="49"/>
    </row>
    <row r="37" spans="1:38" ht="12.75" x14ac:dyDescent="0.2">
      <c r="A37" s="87" t="s">
        <v>199</v>
      </c>
      <c r="B37" s="93">
        <v>0.05</v>
      </c>
      <c r="C37" s="93">
        <v>0.1</v>
      </c>
      <c r="D37" s="93">
        <v>0.2</v>
      </c>
      <c r="E37" s="93">
        <v>0.5</v>
      </c>
      <c r="F37" s="93">
        <v>1</v>
      </c>
      <c r="G37" s="93">
        <v>2</v>
      </c>
      <c r="H37" s="93">
        <v>5</v>
      </c>
      <c r="I37" s="93">
        <v>10</v>
      </c>
      <c r="J37" s="49"/>
      <c r="K37" s="86"/>
      <c r="L37" s="87" t="s">
        <v>199</v>
      </c>
      <c r="M37" s="93">
        <v>0.05</v>
      </c>
      <c r="N37" s="93">
        <v>0.1</v>
      </c>
      <c r="O37" s="93">
        <v>0.2</v>
      </c>
      <c r="P37" s="93">
        <v>0.5</v>
      </c>
      <c r="Q37" s="93">
        <v>1</v>
      </c>
      <c r="R37" s="93">
        <v>2</v>
      </c>
      <c r="S37" s="93">
        <v>5</v>
      </c>
      <c r="T37" s="93">
        <v>10</v>
      </c>
      <c r="U37" s="93">
        <v>20</v>
      </c>
      <c r="V37" s="93">
        <v>50</v>
      </c>
      <c r="W37" s="129"/>
      <c r="X37" s="85"/>
      <c r="Y37" s="85"/>
      <c r="Z37" s="49"/>
      <c r="AA37" s="94"/>
      <c r="AB37" s="95"/>
      <c r="AC37" s="85"/>
      <c r="AD37" s="85"/>
      <c r="AE37" s="85"/>
      <c r="AF37" s="85"/>
      <c r="AG37" s="85"/>
      <c r="AH37" s="49"/>
      <c r="AI37" s="92"/>
      <c r="AJ37" s="49"/>
      <c r="AK37" s="49"/>
      <c r="AL37" s="49"/>
    </row>
    <row r="38" spans="1:38" ht="12.75" x14ac:dyDescent="0.2">
      <c r="A38" s="87" t="s">
        <v>200</v>
      </c>
      <c r="B38" s="38">
        <v>90</v>
      </c>
      <c r="C38" s="38">
        <v>47</v>
      </c>
      <c r="D38" s="49">
        <v>25</v>
      </c>
      <c r="E38" s="49">
        <v>11</v>
      </c>
      <c r="F38" s="85">
        <v>10</v>
      </c>
      <c r="G38" s="85">
        <v>5</v>
      </c>
      <c r="H38" s="85"/>
      <c r="I38" s="85"/>
      <c r="J38" s="85"/>
      <c r="K38" s="86"/>
      <c r="L38" s="87" t="s">
        <v>200</v>
      </c>
      <c r="M38" s="38">
        <v>90</v>
      </c>
      <c r="N38" s="38">
        <v>48</v>
      </c>
      <c r="O38" s="49">
        <v>24</v>
      </c>
      <c r="P38" s="49">
        <v>13</v>
      </c>
      <c r="Q38" s="85">
        <v>28</v>
      </c>
      <c r="R38" s="85">
        <v>12</v>
      </c>
      <c r="S38" s="85">
        <v>2</v>
      </c>
      <c r="T38" s="85">
        <v>4</v>
      </c>
      <c r="U38" s="85">
        <v>5</v>
      </c>
      <c r="V38" s="85"/>
      <c r="W38" s="129"/>
      <c r="X38" s="85"/>
      <c r="Y38" s="85"/>
      <c r="Z38" s="49"/>
      <c r="AA38" s="94"/>
      <c r="AB38" s="95"/>
      <c r="AC38" s="85"/>
      <c r="AD38" s="85"/>
      <c r="AE38" s="85"/>
      <c r="AF38" s="85"/>
      <c r="AG38" s="85"/>
      <c r="AH38" s="49"/>
      <c r="AI38" s="92"/>
      <c r="AJ38" s="49"/>
      <c r="AK38" s="49"/>
      <c r="AL38" s="49"/>
    </row>
    <row r="39" spans="1:38" ht="12.75" x14ac:dyDescent="0.2">
      <c r="A39" s="87" t="s">
        <v>141</v>
      </c>
      <c r="B39" s="70">
        <f t="shared" ref="B39:I39" si="14">B38*B37</f>
        <v>4.5</v>
      </c>
      <c r="C39" s="70">
        <f t="shared" si="14"/>
        <v>4.7</v>
      </c>
      <c r="D39" s="70">
        <f t="shared" si="14"/>
        <v>5</v>
      </c>
      <c r="E39" s="70">
        <f t="shared" si="14"/>
        <v>5.5</v>
      </c>
      <c r="F39" s="70">
        <f t="shared" si="14"/>
        <v>10</v>
      </c>
      <c r="G39" s="70">
        <f t="shared" si="14"/>
        <v>10</v>
      </c>
      <c r="H39" s="70">
        <f t="shared" si="14"/>
        <v>0</v>
      </c>
      <c r="I39" s="70">
        <f t="shared" si="14"/>
        <v>0</v>
      </c>
      <c r="J39" s="70">
        <f>SUM(B39:I39)</f>
        <v>39.700000000000003</v>
      </c>
      <c r="K39" s="86"/>
      <c r="L39" s="87" t="s">
        <v>141</v>
      </c>
      <c r="M39" s="70">
        <f t="shared" ref="M39:V39" si="15">M38*M37</f>
        <v>4.5</v>
      </c>
      <c r="N39" s="70">
        <f t="shared" si="15"/>
        <v>4.8000000000000007</v>
      </c>
      <c r="O39" s="70">
        <f t="shared" si="15"/>
        <v>4.8000000000000007</v>
      </c>
      <c r="P39" s="70">
        <f t="shared" si="15"/>
        <v>6.5</v>
      </c>
      <c r="Q39" s="70">
        <f t="shared" si="15"/>
        <v>28</v>
      </c>
      <c r="R39" s="70">
        <f t="shared" si="15"/>
        <v>24</v>
      </c>
      <c r="S39" s="70">
        <f t="shared" si="15"/>
        <v>10</v>
      </c>
      <c r="T39" s="70">
        <f t="shared" si="15"/>
        <v>40</v>
      </c>
      <c r="U39" s="70">
        <f t="shared" si="15"/>
        <v>100</v>
      </c>
      <c r="V39" s="70">
        <f t="shared" si="15"/>
        <v>0</v>
      </c>
      <c r="W39" s="130"/>
      <c r="X39" s="70">
        <f>SUM(M39:V39)</f>
        <v>222.6</v>
      </c>
      <c r="Y39" s="96">
        <f>X39-J39</f>
        <v>182.89999999999998</v>
      </c>
      <c r="Z39" s="94">
        <v>55</v>
      </c>
      <c r="AA39" s="94">
        <v>21</v>
      </c>
      <c r="AB39" s="97">
        <f>Y39+AA39</f>
        <v>203.89999999999998</v>
      </c>
      <c r="AC39" s="85">
        <v>55</v>
      </c>
      <c r="AD39" s="96">
        <f>Z39-AC39</f>
        <v>0</v>
      </c>
      <c r="AE39" s="96">
        <f>Y39-Z39</f>
        <v>127.89999999999998</v>
      </c>
      <c r="AF39" s="85">
        <v>100</v>
      </c>
      <c r="AG39" s="96">
        <f>AE39-AF39</f>
        <v>27.899999999999977</v>
      </c>
      <c r="AH39" s="49"/>
      <c r="AI39" s="98">
        <f>(SUM(Z39:AA39)/(1+10/100))*(10/100)</f>
        <v>6.9090909090909083</v>
      </c>
      <c r="AJ39" s="49"/>
      <c r="AK39" s="49"/>
      <c r="AL39" s="49"/>
    </row>
    <row r="41" spans="1:38" ht="25.5" x14ac:dyDescent="0.2">
      <c r="A41" s="83" t="s">
        <v>135</v>
      </c>
      <c r="B41" s="84">
        <v>45894</v>
      </c>
      <c r="C41" s="85"/>
      <c r="D41" s="85"/>
      <c r="E41" s="85"/>
      <c r="F41" s="85"/>
      <c r="G41" s="85"/>
      <c r="H41" s="85"/>
      <c r="I41" s="85"/>
      <c r="J41" s="85"/>
      <c r="K41" s="86"/>
      <c r="L41" s="83" t="s">
        <v>136</v>
      </c>
      <c r="M41" s="84">
        <v>45894</v>
      </c>
      <c r="N41" s="85"/>
      <c r="O41" s="85"/>
      <c r="P41" s="85"/>
      <c r="Q41" s="85"/>
      <c r="R41" s="85"/>
      <c r="S41" s="85"/>
      <c r="T41" s="85"/>
      <c r="U41" s="85"/>
      <c r="V41" s="85"/>
      <c r="W41" s="88" t="s">
        <v>333</v>
      </c>
      <c r="X41" s="87" t="s">
        <v>141</v>
      </c>
      <c r="Y41" s="88" t="s">
        <v>192</v>
      </c>
      <c r="Z41" s="89" t="s">
        <v>142</v>
      </c>
      <c r="AA41" s="90" t="s">
        <v>193</v>
      </c>
      <c r="AB41" s="91" t="s">
        <v>194</v>
      </c>
      <c r="AC41" s="88" t="s">
        <v>312</v>
      </c>
      <c r="AD41" s="87" t="s">
        <v>195</v>
      </c>
      <c r="AE41" s="87" t="s">
        <v>196</v>
      </c>
      <c r="AF41" s="88" t="s">
        <v>313</v>
      </c>
      <c r="AG41" s="87" t="s">
        <v>198</v>
      </c>
      <c r="AH41" s="49"/>
      <c r="AI41" s="92"/>
      <c r="AJ41" s="49"/>
      <c r="AK41" s="49"/>
      <c r="AL41" s="49"/>
    </row>
    <row r="42" spans="1:38" ht="12.75" x14ac:dyDescent="0.2">
      <c r="A42" s="87" t="s">
        <v>199</v>
      </c>
      <c r="B42" s="93">
        <v>0.05</v>
      </c>
      <c r="C42" s="93">
        <v>0.1</v>
      </c>
      <c r="D42" s="93">
        <v>0.2</v>
      </c>
      <c r="E42" s="93">
        <v>0.5</v>
      </c>
      <c r="F42" s="93">
        <v>1</v>
      </c>
      <c r="G42" s="93">
        <v>2</v>
      </c>
      <c r="H42" s="93">
        <v>5</v>
      </c>
      <c r="I42" s="93">
        <v>10</v>
      </c>
      <c r="J42" s="49"/>
      <c r="K42" s="86"/>
      <c r="L42" s="87" t="s">
        <v>199</v>
      </c>
      <c r="M42" s="93">
        <v>0.05</v>
      </c>
      <c r="N42" s="93">
        <v>0.1</v>
      </c>
      <c r="O42" s="93">
        <v>0.2</v>
      </c>
      <c r="P42" s="93">
        <v>0.5</v>
      </c>
      <c r="Q42" s="93">
        <v>1</v>
      </c>
      <c r="R42" s="93">
        <v>2</v>
      </c>
      <c r="S42" s="93">
        <v>5</v>
      </c>
      <c r="T42" s="93">
        <v>10</v>
      </c>
      <c r="U42" s="93">
        <v>20</v>
      </c>
      <c r="V42" s="93">
        <v>50</v>
      </c>
      <c r="W42" s="129"/>
      <c r="X42" s="85"/>
      <c r="Y42" s="85"/>
      <c r="Z42" s="49"/>
      <c r="AA42" s="94"/>
      <c r="AB42" s="95"/>
      <c r="AC42" s="85"/>
      <c r="AD42" s="85"/>
      <c r="AE42" s="85"/>
      <c r="AF42" s="85"/>
      <c r="AG42" s="85"/>
      <c r="AH42" s="49"/>
      <c r="AI42" s="92"/>
      <c r="AJ42" s="49"/>
      <c r="AK42" s="49"/>
      <c r="AL42" s="49"/>
    </row>
    <row r="43" spans="1:38" ht="12.75" x14ac:dyDescent="0.2">
      <c r="A43" s="87" t="s">
        <v>200</v>
      </c>
      <c r="B43" s="38">
        <v>90</v>
      </c>
      <c r="C43" s="38">
        <v>48</v>
      </c>
      <c r="D43" s="49">
        <v>24</v>
      </c>
      <c r="E43" s="49">
        <v>13</v>
      </c>
      <c r="F43" s="85">
        <v>10</v>
      </c>
      <c r="G43" s="85">
        <v>5</v>
      </c>
      <c r="H43" s="85"/>
      <c r="I43" s="85"/>
      <c r="J43" s="85"/>
      <c r="K43" s="86"/>
      <c r="L43" s="87" t="s">
        <v>200</v>
      </c>
      <c r="M43" s="38">
        <v>97</v>
      </c>
      <c r="N43" s="38">
        <v>45</v>
      </c>
      <c r="O43" s="49">
        <v>20</v>
      </c>
      <c r="P43" s="49">
        <v>14</v>
      </c>
      <c r="Q43" s="85">
        <v>10</v>
      </c>
      <c r="R43" s="85">
        <v>5</v>
      </c>
      <c r="S43" s="85">
        <v>8</v>
      </c>
      <c r="T43" s="85">
        <v>6</v>
      </c>
      <c r="U43" s="85">
        <v>3</v>
      </c>
      <c r="V43" s="85">
        <v>2</v>
      </c>
      <c r="W43" s="129"/>
      <c r="X43" s="85"/>
      <c r="Y43" s="85"/>
      <c r="Z43" s="49"/>
      <c r="AA43" s="94"/>
      <c r="AB43" s="95"/>
      <c r="AC43" s="85"/>
      <c r="AD43" s="85"/>
      <c r="AE43" s="85"/>
      <c r="AF43" s="85"/>
      <c r="AG43" s="85"/>
      <c r="AH43" s="49"/>
      <c r="AI43" s="92"/>
      <c r="AJ43" s="49"/>
      <c r="AK43" s="49"/>
      <c r="AL43" s="49"/>
    </row>
    <row r="44" spans="1:38" ht="12.75" x14ac:dyDescent="0.2">
      <c r="A44" s="87" t="s">
        <v>141</v>
      </c>
      <c r="B44" s="70">
        <f t="shared" ref="B44:I44" si="16">B43*B42</f>
        <v>4.5</v>
      </c>
      <c r="C44" s="70">
        <f t="shared" si="16"/>
        <v>4.8000000000000007</v>
      </c>
      <c r="D44" s="70">
        <f t="shared" si="16"/>
        <v>4.8000000000000007</v>
      </c>
      <c r="E44" s="70">
        <f t="shared" si="16"/>
        <v>6.5</v>
      </c>
      <c r="F44" s="70">
        <f t="shared" si="16"/>
        <v>10</v>
      </c>
      <c r="G44" s="70">
        <f t="shared" si="16"/>
        <v>10</v>
      </c>
      <c r="H44" s="70">
        <f t="shared" si="16"/>
        <v>0</v>
      </c>
      <c r="I44" s="70">
        <f t="shared" si="16"/>
        <v>0</v>
      </c>
      <c r="J44" s="70">
        <f>SUM(B44:I44)</f>
        <v>40.6</v>
      </c>
      <c r="K44" s="86"/>
      <c r="L44" s="87" t="s">
        <v>141</v>
      </c>
      <c r="M44" s="70">
        <f t="shared" ref="M44:V44" si="17">M43*M42</f>
        <v>4.8500000000000005</v>
      </c>
      <c r="N44" s="70">
        <f t="shared" si="17"/>
        <v>4.5</v>
      </c>
      <c r="O44" s="70">
        <f t="shared" si="17"/>
        <v>4</v>
      </c>
      <c r="P44" s="70">
        <f t="shared" si="17"/>
        <v>7</v>
      </c>
      <c r="Q44" s="70">
        <f t="shared" si="17"/>
        <v>10</v>
      </c>
      <c r="R44" s="70">
        <f t="shared" si="17"/>
        <v>10</v>
      </c>
      <c r="S44" s="70">
        <f t="shared" si="17"/>
        <v>40</v>
      </c>
      <c r="T44" s="70">
        <f t="shared" si="17"/>
        <v>60</v>
      </c>
      <c r="U44" s="70">
        <f t="shared" si="17"/>
        <v>60</v>
      </c>
      <c r="V44" s="70">
        <f t="shared" si="17"/>
        <v>100</v>
      </c>
      <c r="W44" s="130">
        <v>18.899999999999999</v>
      </c>
      <c r="X44" s="70">
        <f>SUM(M44:W44)</f>
        <v>319.25</v>
      </c>
      <c r="Y44" s="96">
        <f>X44-J44</f>
        <v>278.64999999999998</v>
      </c>
      <c r="Z44" s="94">
        <v>154.19999999999999</v>
      </c>
      <c r="AA44" s="94">
        <v>62.1</v>
      </c>
      <c r="AB44" s="97">
        <f>Y44+AA44+W44</f>
        <v>359.65</v>
      </c>
      <c r="AC44" s="85">
        <v>90</v>
      </c>
      <c r="AD44" s="96">
        <f>Z44-AC44</f>
        <v>64.199999999999989</v>
      </c>
      <c r="AE44" s="96">
        <f>Y44-Z44</f>
        <v>124.44999999999999</v>
      </c>
      <c r="AF44" s="85">
        <v>54.45</v>
      </c>
      <c r="AG44" s="96">
        <f>AE44-AF44</f>
        <v>69.999999999999986</v>
      </c>
      <c r="AH44" s="49"/>
      <c r="AI44" s="98">
        <f>(SUM(Z44:AA44)/(1+10/100))*(10/100)</f>
        <v>19.66363636363636</v>
      </c>
      <c r="AJ44" s="49"/>
      <c r="AK44" s="49"/>
      <c r="AL44" s="49"/>
    </row>
    <row r="45" spans="1:38" ht="12.75" x14ac:dyDescent="0.2">
      <c r="AA45" s="38"/>
    </row>
    <row r="46" spans="1:38" ht="25.5" x14ac:dyDescent="0.2">
      <c r="A46" s="83" t="s">
        <v>135</v>
      </c>
      <c r="B46" s="84">
        <v>45895</v>
      </c>
      <c r="C46" s="85"/>
      <c r="D46" s="85"/>
      <c r="E46" s="85"/>
      <c r="F46" s="85"/>
      <c r="G46" s="85"/>
      <c r="H46" s="85"/>
      <c r="I46" s="85"/>
      <c r="J46" s="85"/>
      <c r="K46" s="86"/>
      <c r="L46" s="83" t="s">
        <v>136</v>
      </c>
      <c r="M46" s="84">
        <v>45895</v>
      </c>
      <c r="N46" s="85"/>
      <c r="O46" s="85"/>
      <c r="P46" s="85"/>
      <c r="Q46" s="85"/>
      <c r="R46" s="85"/>
      <c r="S46" s="85"/>
      <c r="T46" s="85"/>
      <c r="U46" s="85"/>
      <c r="V46" s="85"/>
      <c r="W46" s="88" t="s">
        <v>333</v>
      </c>
      <c r="X46" s="87" t="s">
        <v>141</v>
      </c>
      <c r="Y46" s="88" t="s">
        <v>192</v>
      </c>
      <c r="Z46" s="89" t="s">
        <v>142</v>
      </c>
      <c r="AA46" s="90" t="s">
        <v>193</v>
      </c>
      <c r="AB46" s="91" t="s">
        <v>194</v>
      </c>
      <c r="AC46" s="88" t="s">
        <v>312</v>
      </c>
      <c r="AD46" s="87" t="s">
        <v>195</v>
      </c>
      <c r="AE46" s="87" t="s">
        <v>196</v>
      </c>
      <c r="AF46" s="88" t="s">
        <v>313</v>
      </c>
      <c r="AG46" s="87" t="s">
        <v>198</v>
      </c>
      <c r="AH46" s="49"/>
      <c r="AI46" s="92"/>
      <c r="AJ46" s="49"/>
      <c r="AK46" s="49"/>
      <c r="AL46" s="49"/>
    </row>
    <row r="47" spans="1:38" ht="12.75" x14ac:dyDescent="0.2">
      <c r="A47" s="87" t="s">
        <v>199</v>
      </c>
      <c r="B47" s="93">
        <v>0.05</v>
      </c>
      <c r="C47" s="93">
        <v>0.1</v>
      </c>
      <c r="D47" s="93">
        <v>0.2</v>
      </c>
      <c r="E47" s="93">
        <v>0.5</v>
      </c>
      <c r="F47" s="93">
        <v>1</v>
      </c>
      <c r="G47" s="93">
        <v>2</v>
      </c>
      <c r="H47" s="93">
        <v>5</v>
      </c>
      <c r="I47" s="93">
        <v>10</v>
      </c>
      <c r="J47" s="49"/>
      <c r="K47" s="86"/>
      <c r="L47" s="87" t="s">
        <v>199</v>
      </c>
      <c r="M47" s="93">
        <v>0.05</v>
      </c>
      <c r="N47" s="93">
        <v>0.1</v>
      </c>
      <c r="O47" s="93">
        <v>0.2</v>
      </c>
      <c r="P47" s="93">
        <v>0.5</v>
      </c>
      <c r="Q47" s="93">
        <v>1</v>
      </c>
      <c r="R47" s="93">
        <v>2</v>
      </c>
      <c r="S47" s="93">
        <v>5</v>
      </c>
      <c r="T47" s="93">
        <v>10</v>
      </c>
      <c r="U47" s="93">
        <v>20</v>
      </c>
      <c r="V47" s="93">
        <v>50</v>
      </c>
      <c r="W47" s="129"/>
      <c r="X47" s="85"/>
      <c r="Y47" s="85"/>
      <c r="Z47" s="49"/>
      <c r="AA47" s="94"/>
      <c r="AB47" s="95"/>
      <c r="AC47" s="85"/>
      <c r="AD47" s="85"/>
      <c r="AE47" s="85"/>
      <c r="AF47" s="85"/>
      <c r="AG47" s="85"/>
      <c r="AH47" s="49"/>
      <c r="AI47" s="92"/>
      <c r="AJ47" s="49"/>
      <c r="AK47" s="49"/>
      <c r="AL47" s="49"/>
    </row>
    <row r="48" spans="1:38" ht="12.75" x14ac:dyDescent="0.2">
      <c r="A48" s="87" t="s">
        <v>200</v>
      </c>
      <c r="B48" s="38">
        <v>97</v>
      </c>
      <c r="C48" s="38">
        <v>45</v>
      </c>
      <c r="D48" s="49">
        <v>20</v>
      </c>
      <c r="E48" s="49">
        <v>14</v>
      </c>
      <c r="F48" s="85">
        <v>10</v>
      </c>
      <c r="G48" s="85">
        <v>5</v>
      </c>
      <c r="H48" s="85"/>
      <c r="I48" s="85"/>
      <c r="J48" s="85"/>
      <c r="K48" s="86"/>
      <c r="L48" s="87" t="s">
        <v>200</v>
      </c>
      <c r="M48" s="38">
        <v>58</v>
      </c>
      <c r="N48" s="38">
        <v>46</v>
      </c>
      <c r="O48" s="49">
        <v>11</v>
      </c>
      <c r="P48" s="49">
        <v>11</v>
      </c>
      <c r="Q48" s="85">
        <v>8</v>
      </c>
      <c r="R48" s="85">
        <v>13</v>
      </c>
      <c r="S48" s="85">
        <v>4</v>
      </c>
      <c r="T48" s="85">
        <v>5</v>
      </c>
      <c r="U48" s="85">
        <v>8</v>
      </c>
      <c r="V48" s="85">
        <v>1</v>
      </c>
      <c r="W48" s="129"/>
      <c r="X48" s="85"/>
      <c r="Y48" s="85"/>
      <c r="Z48" s="49"/>
      <c r="AA48" s="94"/>
      <c r="AB48" s="95"/>
      <c r="AC48" s="85"/>
      <c r="AD48" s="85"/>
      <c r="AE48" s="85"/>
      <c r="AF48" s="85"/>
      <c r="AG48" s="85"/>
      <c r="AH48" s="49"/>
      <c r="AI48" s="92"/>
      <c r="AJ48" s="49"/>
      <c r="AK48" s="49"/>
      <c r="AL48" s="49"/>
    </row>
    <row r="49" spans="1:38" ht="12.75" x14ac:dyDescent="0.2">
      <c r="A49" s="87" t="s">
        <v>141</v>
      </c>
      <c r="B49" s="70">
        <f t="shared" ref="B49:I49" si="18">B48*B47</f>
        <v>4.8500000000000005</v>
      </c>
      <c r="C49" s="70">
        <f t="shared" si="18"/>
        <v>4.5</v>
      </c>
      <c r="D49" s="70">
        <f t="shared" si="18"/>
        <v>4</v>
      </c>
      <c r="E49" s="70">
        <f t="shared" si="18"/>
        <v>7</v>
      </c>
      <c r="F49" s="70">
        <f t="shared" si="18"/>
        <v>10</v>
      </c>
      <c r="G49" s="70">
        <f t="shared" si="18"/>
        <v>10</v>
      </c>
      <c r="H49" s="70">
        <f t="shared" si="18"/>
        <v>0</v>
      </c>
      <c r="I49" s="70">
        <f t="shared" si="18"/>
        <v>0</v>
      </c>
      <c r="J49" s="70">
        <f>SUM(B49:I49)</f>
        <v>40.35</v>
      </c>
      <c r="K49" s="86"/>
      <c r="L49" s="87" t="s">
        <v>141</v>
      </c>
      <c r="M49" s="70">
        <f t="shared" ref="M49:V49" si="19">M48*M47</f>
        <v>2.9000000000000004</v>
      </c>
      <c r="N49" s="70">
        <f t="shared" si="19"/>
        <v>4.6000000000000005</v>
      </c>
      <c r="O49" s="70">
        <f t="shared" si="19"/>
        <v>2.2000000000000002</v>
      </c>
      <c r="P49" s="70">
        <f t="shared" si="19"/>
        <v>5.5</v>
      </c>
      <c r="Q49" s="70">
        <f t="shared" si="19"/>
        <v>8</v>
      </c>
      <c r="R49" s="70">
        <f t="shared" si="19"/>
        <v>26</v>
      </c>
      <c r="S49" s="70">
        <f t="shared" si="19"/>
        <v>20</v>
      </c>
      <c r="T49" s="70">
        <f t="shared" si="19"/>
        <v>50</v>
      </c>
      <c r="U49" s="70">
        <f t="shared" si="19"/>
        <v>160</v>
      </c>
      <c r="V49" s="70">
        <f t="shared" si="19"/>
        <v>50</v>
      </c>
      <c r="W49" s="130"/>
      <c r="X49" s="70">
        <f>SUM(M49:V49)</f>
        <v>329.2</v>
      </c>
      <c r="Y49" s="96">
        <f>X49-J49</f>
        <v>288.84999999999997</v>
      </c>
      <c r="Z49" s="94">
        <v>133</v>
      </c>
      <c r="AA49" s="94">
        <v>40.5</v>
      </c>
      <c r="AB49" s="97">
        <f>Y49+AA49</f>
        <v>329.34999999999997</v>
      </c>
      <c r="AC49" s="85">
        <v>50</v>
      </c>
      <c r="AD49" s="96">
        <f>Z49-AC49</f>
        <v>83</v>
      </c>
      <c r="AE49" s="96">
        <f>Y49-Z49</f>
        <v>155.84999999999997</v>
      </c>
      <c r="AF49" s="85"/>
      <c r="AG49" s="96">
        <f>AE49-AF49</f>
        <v>155.84999999999997</v>
      </c>
      <c r="AH49" s="49"/>
      <c r="AI49" s="98">
        <f>(SUM(Z49:AA49)/(1+10/100))*(10/100)</f>
        <v>15.772727272727273</v>
      </c>
      <c r="AJ49" s="49"/>
      <c r="AK49" s="49"/>
      <c r="AL49" s="49"/>
    </row>
    <row r="51" spans="1:38" ht="25.5" x14ac:dyDescent="0.2">
      <c r="A51" s="83" t="s">
        <v>135</v>
      </c>
      <c r="B51" s="84">
        <v>45896</v>
      </c>
      <c r="C51" s="85"/>
      <c r="D51" s="85"/>
      <c r="E51" s="85"/>
      <c r="F51" s="85"/>
      <c r="G51" s="85"/>
      <c r="H51" s="85"/>
      <c r="I51" s="85"/>
      <c r="J51" s="85"/>
      <c r="K51" s="86"/>
      <c r="L51" s="83" t="s">
        <v>136</v>
      </c>
      <c r="M51" s="84">
        <v>45896</v>
      </c>
      <c r="N51" s="85"/>
      <c r="O51" s="85"/>
      <c r="P51" s="85"/>
      <c r="Q51" s="85"/>
      <c r="R51" s="85"/>
      <c r="S51" s="85"/>
      <c r="T51" s="85"/>
      <c r="U51" s="85"/>
      <c r="V51" s="85"/>
      <c r="W51" s="88" t="s">
        <v>333</v>
      </c>
      <c r="X51" s="87" t="s">
        <v>141</v>
      </c>
      <c r="Y51" s="88" t="s">
        <v>192</v>
      </c>
      <c r="Z51" s="89" t="s">
        <v>142</v>
      </c>
      <c r="AA51" s="90" t="s">
        <v>193</v>
      </c>
      <c r="AB51" s="91" t="s">
        <v>194</v>
      </c>
      <c r="AC51" s="88" t="s">
        <v>312</v>
      </c>
      <c r="AD51" s="87" t="s">
        <v>195</v>
      </c>
      <c r="AE51" s="87" t="s">
        <v>196</v>
      </c>
      <c r="AF51" s="88" t="s">
        <v>313</v>
      </c>
      <c r="AG51" s="87" t="s">
        <v>198</v>
      </c>
      <c r="AH51" s="49"/>
      <c r="AI51" s="92"/>
      <c r="AJ51" s="49"/>
      <c r="AK51" s="49"/>
      <c r="AL51" s="49"/>
    </row>
    <row r="52" spans="1:38" ht="12.75" x14ac:dyDescent="0.2">
      <c r="A52" s="87" t="s">
        <v>199</v>
      </c>
      <c r="B52" s="93">
        <v>0.05</v>
      </c>
      <c r="C52" s="93">
        <v>0.1</v>
      </c>
      <c r="D52" s="93">
        <v>0.2</v>
      </c>
      <c r="E52" s="93">
        <v>0.5</v>
      </c>
      <c r="F52" s="93">
        <v>1</v>
      </c>
      <c r="G52" s="93">
        <v>2</v>
      </c>
      <c r="H52" s="93">
        <v>5</v>
      </c>
      <c r="I52" s="93">
        <v>10</v>
      </c>
      <c r="J52" s="49"/>
      <c r="K52" s="86"/>
      <c r="L52" s="87" t="s">
        <v>199</v>
      </c>
      <c r="M52" s="93">
        <v>0.05</v>
      </c>
      <c r="N52" s="93">
        <v>0.1</v>
      </c>
      <c r="O52" s="93">
        <v>0.2</v>
      </c>
      <c r="P52" s="93">
        <v>0.5</v>
      </c>
      <c r="Q52" s="93">
        <v>1</v>
      </c>
      <c r="R52" s="93">
        <v>2</v>
      </c>
      <c r="S52" s="93">
        <v>5</v>
      </c>
      <c r="T52" s="93">
        <v>10</v>
      </c>
      <c r="U52" s="93">
        <v>20</v>
      </c>
      <c r="V52" s="93">
        <v>50</v>
      </c>
      <c r="W52" s="129"/>
      <c r="X52" s="85"/>
      <c r="Y52" s="85"/>
      <c r="Z52" s="49"/>
      <c r="AA52" s="94"/>
      <c r="AB52" s="95"/>
      <c r="AC52" s="85"/>
      <c r="AD52" s="85"/>
      <c r="AE52" s="85"/>
      <c r="AF52" s="85"/>
      <c r="AG52" s="85"/>
      <c r="AH52" s="49"/>
      <c r="AI52" s="92"/>
      <c r="AJ52" s="49"/>
      <c r="AK52" s="49"/>
      <c r="AL52" s="49"/>
    </row>
    <row r="53" spans="1:38" ht="12.75" x14ac:dyDescent="0.2">
      <c r="A53" s="87" t="s">
        <v>200</v>
      </c>
      <c r="B53" s="38">
        <v>58</v>
      </c>
      <c r="C53" s="38">
        <v>46</v>
      </c>
      <c r="D53" s="49">
        <v>11</v>
      </c>
      <c r="E53" s="49">
        <v>11</v>
      </c>
      <c r="F53" s="85">
        <v>8</v>
      </c>
      <c r="G53" s="85">
        <v>5</v>
      </c>
      <c r="H53" s="85">
        <v>2</v>
      </c>
      <c r="I53" s="85"/>
      <c r="J53" s="85"/>
      <c r="K53" s="86"/>
      <c r="L53" s="87" t="s">
        <v>200</v>
      </c>
      <c r="M53" s="38">
        <v>64</v>
      </c>
      <c r="N53" s="38">
        <v>41</v>
      </c>
      <c r="O53" s="49">
        <v>19</v>
      </c>
      <c r="P53" s="49">
        <v>6</v>
      </c>
      <c r="Q53" s="85">
        <v>7</v>
      </c>
      <c r="R53" s="85">
        <v>6</v>
      </c>
      <c r="S53" s="85">
        <v>5</v>
      </c>
      <c r="T53" s="85">
        <v>1</v>
      </c>
      <c r="U53" s="85">
        <v>11</v>
      </c>
      <c r="V53" s="85">
        <v>1</v>
      </c>
      <c r="W53" s="129"/>
      <c r="X53" s="85"/>
      <c r="Y53" s="85"/>
      <c r="Z53" s="49"/>
      <c r="AA53" s="94"/>
      <c r="AB53" s="95"/>
      <c r="AC53" s="85"/>
      <c r="AD53" s="85"/>
      <c r="AE53" s="85"/>
      <c r="AF53" s="85"/>
      <c r="AG53" s="85"/>
      <c r="AH53" s="49"/>
      <c r="AI53" s="92"/>
      <c r="AJ53" s="49"/>
      <c r="AK53" s="49"/>
      <c r="AL53" s="49"/>
    </row>
    <row r="54" spans="1:38" ht="12.75" x14ac:dyDescent="0.2">
      <c r="A54" s="87" t="s">
        <v>141</v>
      </c>
      <c r="B54" s="70">
        <f t="shared" ref="B54:I54" si="20">B53*B52</f>
        <v>2.9000000000000004</v>
      </c>
      <c r="C54" s="70">
        <f t="shared" si="20"/>
        <v>4.6000000000000005</v>
      </c>
      <c r="D54" s="70">
        <f t="shared" si="20"/>
        <v>2.2000000000000002</v>
      </c>
      <c r="E54" s="70">
        <f t="shared" si="20"/>
        <v>5.5</v>
      </c>
      <c r="F54" s="70">
        <f t="shared" si="20"/>
        <v>8</v>
      </c>
      <c r="G54" s="70">
        <f t="shared" si="20"/>
        <v>10</v>
      </c>
      <c r="H54" s="70">
        <f t="shared" si="20"/>
        <v>10</v>
      </c>
      <c r="I54" s="70">
        <f t="shared" si="20"/>
        <v>0</v>
      </c>
      <c r="J54" s="70">
        <f>SUM(B54:I54)</f>
        <v>43.2</v>
      </c>
      <c r="K54" s="86"/>
      <c r="L54" s="87" t="s">
        <v>141</v>
      </c>
      <c r="M54" s="70">
        <f t="shared" ref="M54:V54" si="21">M53*M52</f>
        <v>3.2</v>
      </c>
      <c r="N54" s="70">
        <f t="shared" si="21"/>
        <v>4.1000000000000005</v>
      </c>
      <c r="O54" s="70">
        <f t="shared" si="21"/>
        <v>3.8000000000000003</v>
      </c>
      <c r="P54" s="70">
        <f t="shared" si="21"/>
        <v>3</v>
      </c>
      <c r="Q54" s="70">
        <f t="shared" si="21"/>
        <v>7</v>
      </c>
      <c r="R54" s="70">
        <f t="shared" si="21"/>
        <v>12</v>
      </c>
      <c r="S54" s="70">
        <f t="shared" si="21"/>
        <v>25</v>
      </c>
      <c r="T54" s="70">
        <f t="shared" si="21"/>
        <v>10</v>
      </c>
      <c r="U54" s="70">
        <f t="shared" si="21"/>
        <v>220</v>
      </c>
      <c r="V54" s="70">
        <f t="shared" si="21"/>
        <v>50</v>
      </c>
      <c r="W54" s="130"/>
      <c r="X54" s="70">
        <f>SUM(M54:V54)</f>
        <v>338.1</v>
      </c>
      <c r="Y54" s="96">
        <f>X54-J54</f>
        <v>294.90000000000003</v>
      </c>
      <c r="Z54" s="94">
        <v>152</v>
      </c>
      <c r="AA54" s="94">
        <v>89</v>
      </c>
      <c r="AB54" s="97">
        <f>Y54+AA54</f>
        <v>383.90000000000003</v>
      </c>
      <c r="AC54" s="85">
        <v>120</v>
      </c>
      <c r="AD54" s="96">
        <f>Z54-AC54</f>
        <v>32</v>
      </c>
      <c r="AE54" s="96">
        <f>Y54-Z54</f>
        <v>142.90000000000003</v>
      </c>
      <c r="AF54" s="85">
        <v>20</v>
      </c>
      <c r="AG54" s="96">
        <f>AE54-AF54</f>
        <v>122.90000000000003</v>
      </c>
      <c r="AH54" s="49"/>
      <c r="AI54" s="98">
        <f>(SUM(Z54:AA54)/(1+10/100))*(10/100)</f>
        <v>21.909090909090907</v>
      </c>
      <c r="AJ54" s="49"/>
      <c r="AK54" s="49"/>
      <c r="AL54" s="49"/>
    </row>
    <row r="56" spans="1:38" ht="25.5" x14ac:dyDescent="0.2">
      <c r="A56" s="83" t="s">
        <v>135</v>
      </c>
      <c r="B56" s="84">
        <v>45897</v>
      </c>
      <c r="C56" s="85"/>
      <c r="D56" s="85"/>
      <c r="E56" s="85"/>
      <c r="F56" s="85"/>
      <c r="G56" s="85"/>
      <c r="H56" s="85"/>
      <c r="I56" s="85"/>
      <c r="J56" s="85"/>
      <c r="K56" s="86"/>
      <c r="L56" s="83" t="s">
        <v>136</v>
      </c>
      <c r="M56" s="84">
        <v>45897</v>
      </c>
      <c r="N56" s="85"/>
      <c r="O56" s="85"/>
      <c r="P56" s="85"/>
      <c r="Q56" s="85"/>
      <c r="R56" s="85"/>
      <c r="S56" s="85"/>
      <c r="T56" s="85"/>
      <c r="U56" s="85"/>
      <c r="V56" s="85"/>
      <c r="W56" s="88" t="s">
        <v>333</v>
      </c>
      <c r="X56" s="87" t="s">
        <v>141</v>
      </c>
      <c r="Y56" s="88" t="s">
        <v>192</v>
      </c>
      <c r="Z56" s="89" t="s">
        <v>142</v>
      </c>
      <c r="AA56" s="90" t="s">
        <v>193</v>
      </c>
      <c r="AB56" s="91" t="s">
        <v>194</v>
      </c>
      <c r="AC56" s="88" t="s">
        <v>312</v>
      </c>
      <c r="AD56" s="87" t="s">
        <v>195</v>
      </c>
      <c r="AE56" s="87" t="s">
        <v>196</v>
      </c>
      <c r="AF56" s="88" t="s">
        <v>313</v>
      </c>
      <c r="AG56" s="87" t="s">
        <v>198</v>
      </c>
      <c r="AH56" s="49"/>
      <c r="AI56" s="92"/>
      <c r="AJ56" s="49"/>
      <c r="AK56" s="49"/>
      <c r="AL56" s="49"/>
    </row>
    <row r="57" spans="1:38" ht="12.75" x14ac:dyDescent="0.2">
      <c r="A57" s="87" t="s">
        <v>199</v>
      </c>
      <c r="B57" s="93">
        <v>0.05</v>
      </c>
      <c r="C57" s="93">
        <v>0.1</v>
      </c>
      <c r="D57" s="93">
        <v>0.2</v>
      </c>
      <c r="E57" s="93">
        <v>0.5</v>
      </c>
      <c r="F57" s="93">
        <v>1</v>
      </c>
      <c r="G57" s="93">
        <v>2</v>
      </c>
      <c r="H57" s="93">
        <v>5</v>
      </c>
      <c r="I57" s="93">
        <v>10</v>
      </c>
      <c r="J57" s="49"/>
      <c r="K57" s="86"/>
      <c r="L57" s="87" t="s">
        <v>199</v>
      </c>
      <c r="M57" s="93">
        <v>0.05</v>
      </c>
      <c r="N57" s="93">
        <v>0.1</v>
      </c>
      <c r="O57" s="93">
        <v>0.2</v>
      </c>
      <c r="P57" s="93">
        <v>0.5</v>
      </c>
      <c r="Q57" s="93">
        <v>1</v>
      </c>
      <c r="R57" s="93">
        <v>2</v>
      </c>
      <c r="S57" s="93">
        <v>5</v>
      </c>
      <c r="T57" s="93">
        <v>10</v>
      </c>
      <c r="U57" s="93">
        <v>20</v>
      </c>
      <c r="V57" s="93">
        <v>50</v>
      </c>
      <c r="W57" s="129"/>
      <c r="X57" s="85"/>
      <c r="Y57" s="85"/>
      <c r="Z57" s="49"/>
      <c r="AA57" s="94"/>
      <c r="AB57" s="95"/>
      <c r="AC57" s="85"/>
      <c r="AD57" s="85"/>
      <c r="AE57" s="85"/>
      <c r="AF57" s="85"/>
      <c r="AG57" s="85"/>
      <c r="AH57" s="49"/>
      <c r="AI57" s="92"/>
      <c r="AJ57" s="49"/>
      <c r="AK57" s="49"/>
      <c r="AL57" s="49"/>
    </row>
    <row r="58" spans="1:38" ht="12.75" x14ac:dyDescent="0.2">
      <c r="A58" s="87" t="s">
        <v>200</v>
      </c>
      <c r="B58" s="38">
        <v>64</v>
      </c>
      <c r="C58" s="38">
        <v>41</v>
      </c>
      <c r="D58" s="49">
        <v>19</v>
      </c>
      <c r="E58" s="49">
        <v>6</v>
      </c>
      <c r="F58" s="85">
        <v>7</v>
      </c>
      <c r="G58" s="85">
        <v>6</v>
      </c>
      <c r="H58" s="85">
        <v>2</v>
      </c>
      <c r="I58" s="85"/>
      <c r="J58" s="85"/>
      <c r="K58" s="86"/>
      <c r="L58" s="87" t="s">
        <v>200</v>
      </c>
      <c r="M58" s="38">
        <v>66</v>
      </c>
      <c r="N58" s="38">
        <v>31</v>
      </c>
      <c r="O58" s="49">
        <v>18</v>
      </c>
      <c r="P58" s="49">
        <v>4</v>
      </c>
      <c r="Q58" s="85">
        <v>11</v>
      </c>
      <c r="R58" s="85">
        <v>12</v>
      </c>
      <c r="S58" s="85">
        <v>7</v>
      </c>
      <c r="T58" s="85">
        <v>5</v>
      </c>
      <c r="U58" s="85">
        <v>1</v>
      </c>
      <c r="V58" s="85">
        <v>2</v>
      </c>
      <c r="W58" s="129"/>
      <c r="X58" s="85"/>
      <c r="Y58" s="85"/>
      <c r="Z58" s="49"/>
      <c r="AA58" s="94"/>
      <c r="AB58" s="95"/>
      <c r="AC58" s="85"/>
      <c r="AD58" s="85"/>
      <c r="AE58" s="85"/>
      <c r="AF58" s="85"/>
      <c r="AG58" s="85"/>
      <c r="AH58" s="49"/>
      <c r="AI58" s="92"/>
      <c r="AJ58" s="49"/>
      <c r="AK58" s="49"/>
      <c r="AL58" s="49"/>
    </row>
    <row r="59" spans="1:38" ht="12.75" x14ac:dyDescent="0.2">
      <c r="A59" s="87" t="s">
        <v>141</v>
      </c>
      <c r="B59" s="70">
        <f t="shared" ref="B59:I59" si="22">B58*B57</f>
        <v>3.2</v>
      </c>
      <c r="C59" s="70">
        <f t="shared" si="22"/>
        <v>4.1000000000000005</v>
      </c>
      <c r="D59" s="70">
        <f t="shared" si="22"/>
        <v>3.8000000000000003</v>
      </c>
      <c r="E59" s="70">
        <f t="shared" si="22"/>
        <v>3</v>
      </c>
      <c r="F59" s="70">
        <f t="shared" si="22"/>
        <v>7</v>
      </c>
      <c r="G59" s="70">
        <f t="shared" si="22"/>
        <v>12</v>
      </c>
      <c r="H59" s="70">
        <f t="shared" si="22"/>
        <v>10</v>
      </c>
      <c r="I59" s="70">
        <f t="shared" si="22"/>
        <v>0</v>
      </c>
      <c r="J59" s="70">
        <f>SUM(B59:I59)</f>
        <v>43.1</v>
      </c>
      <c r="K59" s="86"/>
      <c r="L59" s="87" t="s">
        <v>141</v>
      </c>
      <c r="M59" s="70">
        <f t="shared" ref="M59:V59" si="23">M58*M57</f>
        <v>3.3000000000000003</v>
      </c>
      <c r="N59" s="70">
        <f t="shared" si="23"/>
        <v>3.1</v>
      </c>
      <c r="O59" s="70">
        <f t="shared" si="23"/>
        <v>3.6</v>
      </c>
      <c r="P59" s="70">
        <f t="shared" si="23"/>
        <v>2</v>
      </c>
      <c r="Q59" s="70">
        <f t="shared" si="23"/>
        <v>11</v>
      </c>
      <c r="R59" s="70">
        <f t="shared" si="23"/>
        <v>24</v>
      </c>
      <c r="S59" s="70">
        <f t="shared" si="23"/>
        <v>35</v>
      </c>
      <c r="T59" s="70">
        <f t="shared" si="23"/>
        <v>50</v>
      </c>
      <c r="U59" s="70">
        <f t="shared" si="23"/>
        <v>20</v>
      </c>
      <c r="V59" s="70">
        <f t="shared" si="23"/>
        <v>100</v>
      </c>
      <c r="W59" s="130"/>
      <c r="X59" s="70">
        <f>SUM(M59:V59)</f>
        <v>252</v>
      </c>
      <c r="Y59" s="96">
        <f>X59-J59</f>
        <v>208.9</v>
      </c>
      <c r="Z59" s="94">
        <v>84.4</v>
      </c>
      <c r="AA59" s="94">
        <v>32.5</v>
      </c>
      <c r="AB59" s="97">
        <f>Y59+AA59</f>
        <v>241.4</v>
      </c>
      <c r="AC59" s="85">
        <v>80</v>
      </c>
      <c r="AD59" s="96">
        <f>Z59-AC59</f>
        <v>4.4000000000000057</v>
      </c>
      <c r="AE59" s="96">
        <f>Y59-Z59</f>
        <v>124.5</v>
      </c>
      <c r="AF59" s="85">
        <v>20</v>
      </c>
      <c r="AG59" s="96">
        <f>AE59-AF59</f>
        <v>104.5</v>
      </c>
      <c r="AH59" s="49"/>
      <c r="AI59" s="98">
        <f>(SUM(Z59:AA59)/(1+10/100))*(10/100)</f>
        <v>10.627272727272727</v>
      </c>
      <c r="AJ59" s="49"/>
      <c r="AK59" s="49"/>
      <c r="AL59" s="49"/>
    </row>
    <row r="61" spans="1:38" ht="25.5" x14ac:dyDescent="0.2">
      <c r="A61" s="83" t="s">
        <v>135</v>
      </c>
      <c r="B61" s="84">
        <v>45898</v>
      </c>
      <c r="C61" s="85"/>
      <c r="D61" s="85"/>
      <c r="E61" s="85"/>
      <c r="F61" s="85"/>
      <c r="G61" s="85"/>
      <c r="H61" s="85"/>
      <c r="I61" s="85"/>
      <c r="J61" s="85"/>
      <c r="K61" s="86"/>
      <c r="L61" s="83" t="s">
        <v>136</v>
      </c>
      <c r="M61" s="84">
        <v>45898</v>
      </c>
      <c r="N61" s="85"/>
      <c r="O61" s="85"/>
      <c r="P61" s="85"/>
      <c r="Q61" s="85"/>
      <c r="R61" s="85"/>
      <c r="S61" s="85"/>
      <c r="T61" s="85"/>
      <c r="U61" s="85"/>
      <c r="V61" s="85"/>
      <c r="W61" s="88" t="s">
        <v>333</v>
      </c>
      <c r="X61" s="87" t="s">
        <v>141</v>
      </c>
      <c r="Y61" s="88" t="s">
        <v>192</v>
      </c>
      <c r="Z61" s="89" t="s">
        <v>142</v>
      </c>
      <c r="AA61" s="90" t="s">
        <v>193</v>
      </c>
      <c r="AB61" s="91" t="s">
        <v>194</v>
      </c>
      <c r="AC61" s="88" t="s">
        <v>312</v>
      </c>
      <c r="AD61" s="87" t="s">
        <v>195</v>
      </c>
      <c r="AE61" s="87" t="s">
        <v>196</v>
      </c>
      <c r="AF61" s="88" t="s">
        <v>313</v>
      </c>
      <c r="AG61" s="87" t="s">
        <v>198</v>
      </c>
      <c r="AH61" s="49"/>
      <c r="AI61" s="92"/>
      <c r="AJ61" s="49"/>
      <c r="AK61" s="49"/>
      <c r="AL61" s="49"/>
    </row>
    <row r="62" spans="1:38" ht="12.75" x14ac:dyDescent="0.2">
      <c r="A62" s="87" t="s">
        <v>199</v>
      </c>
      <c r="B62" s="93">
        <v>0.05</v>
      </c>
      <c r="C62" s="93">
        <v>0.1</v>
      </c>
      <c r="D62" s="93">
        <v>0.2</v>
      </c>
      <c r="E62" s="93">
        <v>0.5</v>
      </c>
      <c r="F62" s="93">
        <v>1</v>
      </c>
      <c r="G62" s="93">
        <v>2</v>
      </c>
      <c r="H62" s="93">
        <v>5</v>
      </c>
      <c r="I62" s="93">
        <v>10</v>
      </c>
      <c r="J62" s="49"/>
      <c r="K62" s="86"/>
      <c r="L62" s="87" t="s">
        <v>199</v>
      </c>
      <c r="M62" s="93">
        <v>0.05</v>
      </c>
      <c r="N62" s="93">
        <v>0.1</v>
      </c>
      <c r="O62" s="93">
        <v>0.2</v>
      </c>
      <c r="P62" s="93">
        <v>0.5</v>
      </c>
      <c r="Q62" s="93">
        <v>1</v>
      </c>
      <c r="R62" s="93">
        <v>2</v>
      </c>
      <c r="S62" s="93">
        <v>5</v>
      </c>
      <c r="T62" s="93">
        <v>10</v>
      </c>
      <c r="U62" s="93">
        <v>20</v>
      </c>
      <c r="V62" s="93">
        <v>50</v>
      </c>
      <c r="W62" s="129"/>
      <c r="X62" s="85"/>
      <c r="Y62" s="85"/>
      <c r="Z62" s="49"/>
      <c r="AA62" s="94"/>
      <c r="AB62" s="95"/>
      <c r="AC62" s="85"/>
      <c r="AD62" s="85"/>
      <c r="AE62" s="85"/>
      <c r="AF62" s="85"/>
      <c r="AG62" s="85"/>
      <c r="AH62" s="49"/>
      <c r="AI62" s="92"/>
      <c r="AJ62" s="49"/>
      <c r="AK62" s="49"/>
      <c r="AL62" s="49"/>
    </row>
    <row r="63" spans="1:38" ht="12.75" x14ac:dyDescent="0.2">
      <c r="A63" s="87" t="s">
        <v>200</v>
      </c>
      <c r="B63" s="38">
        <v>66</v>
      </c>
      <c r="C63" s="38">
        <v>31</v>
      </c>
      <c r="D63" s="49">
        <v>18</v>
      </c>
      <c r="E63" s="49">
        <v>4</v>
      </c>
      <c r="F63" s="85">
        <v>7</v>
      </c>
      <c r="G63" s="85">
        <v>6</v>
      </c>
      <c r="H63" s="85">
        <v>2</v>
      </c>
      <c r="I63" s="85"/>
      <c r="J63" s="85"/>
      <c r="K63" s="86"/>
      <c r="L63" s="87" t="s">
        <v>200</v>
      </c>
      <c r="M63" s="38">
        <v>69</v>
      </c>
      <c r="N63" s="38">
        <v>15</v>
      </c>
      <c r="O63" s="49">
        <v>3</v>
      </c>
      <c r="P63" s="49">
        <v>4</v>
      </c>
      <c r="Q63" s="85">
        <v>12</v>
      </c>
      <c r="R63" s="85">
        <v>6</v>
      </c>
      <c r="S63" s="85">
        <v>10</v>
      </c>
      <c r="T63" s="85">
        <v>5</v>
      </c>
      <c r="U63" s="85">
        <v>6</v>
      </c>
      <c r="V63" s="85">
        <v>2</v>
      </c>
      <c r="W63" s="129"/>
      <c r="X63" s="85"/>
      <c r="Y63" s="85"/>
      <c r="Z63" s="49"/>
      <c r="AA63" s="94"/>
      <c r="AB63" s="95"/>
      <c r="AC63" s="85"/>
      <c r="AD63" s="85"/>
      <c r="AE63" s="85"/>
      <c r="AF63" s="85"/>
      <c r="AG63" s="85"/>
      <c r="AH63" s="49"/>
      <c r="AI63" s="92"/>
      <c r="AJ63" s="49"/>
      <c r="AK63" s="49"/>
      <c r="AL63" s="49"/>
    </row>
    <row r="64" spans="1:38" ht="12.75" x14ac:dyDescent="0.2">
      <c r="A64" s="87" t="s">
        <v>141</v>
      </c>
      <c r="B64" s="70">
        <f t="shared" ref="B64:I64" si="24">B63*B62</f>
        <v>3.3000000000000003</v>
      </c>
      <c r="C64" s="70">
        <f t="shared" si="24"/>
        <v>3.1</v>
      </c>
      <c r="D64" s="70">
        <f t="shared" si="24"/>
        <v>3.6</v>
      </c>
      <c r="E64" s="70">
        <f t="shared" si="24"/>
        <v>2</v>
      </c>
      <c r="F64" s="70">
        <f t="shared" si="24"/>
        <v>7</v>
      </c>
      <c r="G64" s="70">
        <f t="shared" si="24"/>
        <v>12</v>
      </c>
      <c r="H64" s="70">
        <f t="shared" si="24"/>
        <v>10</v>
      </c>
      <c r="I64" s="70">
        <f t="shared" si="24"/>
        <v>0</v>
      </c>
      <c r="J64" s="70">
        <f>SUM(B64:I64)</f>
        <v>41</v>
      </c>
      <c r="K64" s="86"/>
      <c r="L64" s="87" t="s">
        <v>141</v>
      </c>
      <c r="M64" s="70">
        <f t="shared" ref="M64:V64" si="25">M63*M62</f>
        <v>3.45</v>
      </c>
      <c r="N64" s="70">
        <f t="shared" si="25"/>
        <v>1.5</v>
      </c>
      <c r="O64" s="70">
        <f t="shared" si="25"/>
        <v>0.60000000000000009</v>
      </c>
      <c r="P64" s="70">
        <f t="shared" si="25"/>
        <v>2</v>
      </c>
      <c r="Q64" s="70">
        <f t="shared" si="25"/>
        <v>12</v>
      </c>
      <c r="R64" s="70">
        <f t="shared" si="25"/>
        <v>12</v>
      </c>
      <c r="S64" s="70">
        <f t="shared" si="25"/>
        <v>50</v>
      </c>
      <c r="T64" s="70">
        <f t="shared" si="25"/>
        <v>50</v>
      </c>
      <c r="U64" s="70">
        <f t="shared" si="25"/>
        <v>120</v>
      </c>
      <c r="V64" s="70">
        <f t="shared" si="25"/>
        <v>100</v>
      </c>
      <c r="W64" s="130"/>
      <c r="X64" s="70">
        <f>SUM(M64:V64)</f>
        <v>351.55</v>
      </c>
      <c r="Y64" s="96">
        <f>X64-J64</f>
        <v>310.55</v>
      </c>
      <c r="Z64" s="94">
        <v>156.69999999999999</v>
      </c>
      <c r="AA64" s="94">
        <v>4.3</v>
      </c>
      <c r="AB64" s="97">
        <f>Y64+Z70</f>
        <v>310.55</v>
      </c>
      <c r="AC64" s="85">
        <v>41.54</v>
      </c>
      <c r="AD64" s="96">
        <f>Z64-AC64</f>
        <v>115.16</v>
      </c>
      <c r="AE64" s="96">
        <f>Y64-Z64</f>
        <v>153.85000000000002</v>
      </c>
      <c r="AF64" s="85">
        <v>80</v>
      </c>
      <c r="AG64" s="96">
        <f>AE64-AF64</f>
        <v>73.850000000000023</v>
      </c>
      <c r="AH64" s="49"/>
      <c r="AI64" s="98">
        <f>(SUM(Z64:AA64)/(1+10/100))*(10/100)</f>
        <v>14.636363636363635</v>
      </c>
      <c r="AJ64" s="49"/>
      <c r="AK64" s="49"/>
      <c r="AL64" s="49"/>
    </row>
    <row r="65" spans="1:38" ht="12.75" x14ac:dyDescent="0.2">
      <c r="AD65" s="38"/>
    </row>
    <row r="66" spans="1:38" ht="25.5" x14ac:dyDescent="0.2">
      <c r="A66" s="83" t="s">
        <v>135</v>
      </c>
      <c r="B66" s="84">
        <v>45899</v>
      </c>
      <c r="C66" s="85"/>
      <c r="D66" s="85"/>
      <c r="E66" s="85"/>
      <c r="F66" s="85"/>
      <c r="G66" s="85"/>
      <c r="H66" s="85"/>
      <c r="I66" s="85"/>
      <c r="J66" s="85"/>
      <c r="K66" s="86"/>
      <c r="L66" s="83" t="s">
        <v>136</v>
      </c>
      <c r="M66" s="84">
        <v>45899</v>
      </c>
      <c r="N66" s="85"/>
      <c r="O66" s="85"/>
      <c r="P66" s="85"/>
      <c r="Q66" s="85"/>
      <c r="R66" s="85"/>
      <c r="S66" s="85"/>
      <c r="T66" s="85"/>
      <c r="U66" s="85"/>
      <c r="V66" s="85"/>
      <c r="W66" s="88" t="s">
        <v>333</v>
      </c>
      <c r="X66" s="87" t="s">
        <v>141</v>
      </c>
      <c r="Y66" s="88" t="s">
        <v>192</v>
      </c>
      <c r="Z66" s="89" t="s">
        <v>142</v>
      </c>
      <c r="AA66" s="90" t="s">
        <v>193</v>
      </c>
      <c r="AB66" s="91" t="s">
        <v>194</v>
      </c>
      <c r="AC66" s="88" t="s">
        <v>312</v>
      </c>
      <c r="AD66" s="87" t="s">
        <v>195</v>
      </c>
      <c r="AE66" s="87" t="s">
        <v>196</v>
      </c>
      <c r="AF66" s="88" t="s">
        <v>313</v>
      </c>
      <c r="AG66" s="87" t="s">
        <v>198</v>
      </c>
      <c r="AH66" s="49"/>
      <c r="AI66" s="92"/>
      <c r="AJ66" s="49"/>
      <c r="AK66" s="49"/>
      <c r="AL66" s="49"/>
    </row>
    <row r="67" spans="1:38" ht="12.75" x14ac:dyDescent="0.2">
      <c r="A67" s="87" t="s">
        <v>199</v>
      </c>
      <c r="B67" s="93">
        <v>0.05</v>
      </c>
      <c r="C67" s="93">
        <v>0.1</v>
      </c>
      <c r="D67" s="93">
        <v>0.2</v>
      </c>
      <c r="E67" s="93">
        <v>0.5</v>
      </c>
      <c r="F67" s="93">
        <v>1</v>
      </c>
      <c r="G67" s="93">
        <v>2</v>
      </c>
      <c r="H67" s="93">
        <v>5</v>
      </c>
      <c r="I67" s="93">
        <v>10</v>
      </c>
      <c r="J67" s="49"/>
      <c r="K67" s="86"/>
      <c r="L67" s="87" t="s">
        <v>199</v>
      </c>
      <c r="M67" s="93">
        <v>0.05</v>
      </c>
      <c r="N67" s="93">
        <v>0.1</v>
      </c>
      <c r="O67" s="93">
        <v>0.2</v>
      </c>
      <c r="P67" s="93">
        <v>0.5</v>
      </c>
      <c r="Q67" s="93">
        <v>1</v>
      </c>
      <c r="R67" s="93">
        <v>2</v>
      </c>
      <c r="S67" s="93">
        <v>5</v>
      </c>
      <c r="T67" s="93">
        <v>10</v>
      </c>
      <c r="U67" s="93">
        <v>20</v>
      </c>
      <c r="V67" s="93">
        <v>50</v>
      </c>
      <c r="W67" s="129"/>
      <c r="X67" s="85"/>
      <c r="Y67" s="85"/>
      <c r="Z67" s="49"/>
      <c r="AA67" s="94"/>
      <c r="AB67" s="95"/>
      <c r="AC67" s="85"/>
      <c r="AD67" s="85"/>
      <c r="AE67" s="85"/>
      <c r="AF67" s="85"/>
      <c r="AG67" s="85"/>
      <c r="AH67" s="49"/>
      <c r="AI67" s="92"/>
      <c r="AJ67" s="49"/>
      <c r="AK67" s="49"/>
      <c r="AL67" s="49"/>
    </row>
    <row r="68" spans="1:38" ht="12.75" x14ac:dyDescent="0.2">
      <c r="A68" s="87" t="s">
        <v>200</v>
      </c>
      <c r="B68" s="38">
        <v>69</v>
      </c>
      <c r="C68" s="38">
        <v>15</v>
      </c>
      <c r="D68" s="49">
        <v>3</v>
      </c>
      <c r="E68" s="49">
        <v>4</v>
      </c>
      <c r="F68" s="85">
        <v>12</v>
      </c>
      <c r="G68" s="85">
        <v>6</v>
      </c>
      <c r="H68" s="85">
        <v>1</v>
      </c>
      <c r="I68" s="85"/>
      <c r="J68" s="85"/>
      <c r="K68" s="86"/>
      <c r="L68" s="87" t="s">
        <v>200</v>
      </c>
      <c r="M68" s="38">
        <v>74</v>
      </c>
      <c r="N68" s="38">
        <v>25</v>
      </c>
      <c r="O68" s="49">
        <v>1</v>
      </c>
      <c r="P68" s="49"/>
      <c r="Q68" s="85">
        <v>14</v>
      </c>
      <c r="R68" s="85">
        <v>12</v>
      </c>
      <c r="S68" s="85">
        <v>9</v>
      </c>
      <c r="T68" s="85">
        <v>14</v>
      </c>
      <c r="U68" s="85">
        <v>10</v>
      </c>
      <c r="V68" s="85">
        <v>1</v>
      </c>
      <c r="W68" s="129"/>
      <c r="X68" s="85"/>
      <c r="Y68" s="85"/>
      <c r="Z68" s="49"/>
      <c r="AA68" s="94"/>
      <c r="AB68" s="95"/>
      <c r="AC68" s="85"/>
      <c r="AD68" s="85"/>
      <c r="AE68" s="85"/>
      <c r="AF68" s="85"/>
      <c r="AG68" s="85"/>
      <c r="AH68" s="49"/>
      <c r="AI68" s="92"/>
      <c r="AJ68" s="49"/>
      <c r="AK68" s="49"/>
      <c r="AL68" s="49"/>
    </row>
    <row r="69" spans="1:38" ht="12.75" x14ac:dyDescent="0.2">
      <c r="A69" s="87" t="s">
        <v>141</v>
      </c>
      <c r="B69" s="70">
        <f t="shared" ref="B69:I69" si="26">B68*B67</f>
        <v>3.45</v>
      </c>
      <c r="C69" s="70">
        <f t="shared" si="26"/>
        <v>1.5</v>
      </c>
      <c r="D69" s="70">
        <f t="shared" si="26"/>
        <v>0.60000000000000009</v>
      </c>
      <c r="E69" s="70">
        <f t="shared" si="26"/>
        <v>2</v>
      </c>
      <c r="F69" s="70">
        <f t="shared" si="26"/>
        <v>12</v>
      </c>
      <c r="G69" s="70">
        <f t="shared" si="26"/>
        <v>12</v>
      </c>
      <c r="H69" s="70">
        <f t="shared" si="26"/>
        <v>5</v>
      </c>
      <c r="I69" s="70">
        <f t="shared" si="26"/>
        <v>0</v>
      </c>
      <c r="J69" s="70">
        <f>SUM(B69:I69)</f>
        <v>36.549999999999997</v>
      </c>
      <c r="K69" s="86"/>
      <c r="L69" s="87" t="s">
        <v>141</v>
      </c>
      <c r="M69" s="70">
        <f t="shared" ref="M69:V69" si="27">M68*M67</f>
        <v>3.7</v>
      </c>
      <c r="N69" s="70">
        <f t="shared" si="27"/>
        <v>2.5</v>
      </c>
      <c r="O69" s="70">
        <f t="shared" si="27"/>
        <v>0.2</v>
      </c>
      <c r="P69" s="70">
        <f t="shared" si="27"/>
        <v>0</v>
      </c>
      <c r="Q69" s="70">
        <f t="shared" si="27"/>
        <v>14</v>
      </c>
      <c r="R69" s="70">
        <f t="shared" si="27"/>
        <v>24</v>
      </c>
      <c r="S69" s="70">
        <f t="shared" si="27"/>
        <v>45</v>
      </c>
      <c r="T69" s="70">
        <f t="shared" si="27"/>
        <v>140</v>
      </c>
      <c r="U69" s="70">
        <f t="shared" si="27"/>
        <v>200</v>
      </c>
      <c r="V69" s="70">
        <f t="shared" si="27"/>
        <v>50</v>
      </c>
      <c r="W69" s="130"/>
      <c r="X69" s="70">
        <f>SUM(M69:V69)</f>
        <v>479.4</v>
      </c>
      <c r="Y69" s="96">
        <f>X69-J69</f>
        <v>442.84999999999997</v>
      </c>
      <c r="Z69" s="94">
        <v>202.2</v>
      </c>
      <c r="AA69" s="94">
        <v>150</v>
      </c>
      <c r="AB69" s="97">
        <f>Y69+AA69</f>
        <v>592.84999999999991</v>
      </c>
      <c r="AC69" s="85">
        <v>100</v>
      </c>
      <c r="AD69" s="96">
        <f>Z69-AC69</f>
        <v>102.19999999999999</v>
      </c>
      <c r="AE69" s="96">
        <f>Y69-Z69</f>
        <v>240.64999999999998</v>
      </c>
      <c r="AF69" s="85">
        <v>50</v>
      </c>
      <c r="AG69" s="96">
        <f>AE69-AF69</f>
        <v>190.64999999999998</v>
      </c>
      <c r="AH69" s="49"/>
      <c r="AI69" s="98">
        <f>(SUM(Z69:AA69)/(1+10/100))*(10/100)</f>
        <v>32.018181818181816</v>
      </c>
      <c r="AJ69" s="49"/>
      <c r="AK69" s="49"/>
      <c r="AL69" s="49"/>
    </row>
    <row r="73" spans="1:38" ht="12.75" x14ac:dyDescent="0.2">
      <c r="Z73" s="38">
        <f t="shared" ref="Z73:AG73" si="28">SUM(Z1:Z70)</f>
        <v>1872</v>
      </c>
      <c r="AA73" s="38">
        <f t="shared" si="28"/>
        <v>818.90000000000009</v>
      </c>
      <c r="AB73" s="38">
        <f t="shared" si="28"/>
        <v>4878.6499999999996</v>
      </c>
      <c r="AC73" s="38">
        <f t="shared" si="28"/>
        <v>891.43999999999994</v>
      </c>
      <c r="AD73" s="38">
        <f t="shared" si="28"/>
        <v>980.56</v>
      </c>
      <c r="AE73" s="38">
        <f t="shared" si="28"/>
        <v>2173.15</v>
      </c>
      <c r="AF73" s="38">
        <f t="shared" si="28"/>
        <v>527.45000000000005</v>
      </c>
      <c r="AG73" s="38">
        <f t="shared" si="28"/>
        <v>1644.5500000000002</v>
      </c>
    </row>
    <row r="74" spans="1:38" ht="12.75" x14ac:dyDescent="0.2">
      <c r="AG74" s="38">
        <v>-30</v>
      </c>
      <c r="AH74" s="38"/>
    </row>
    <row r="75" spans="1:38" ht="12.75" x14ac:dyDescent="0.2">
      <c r="AG75" s="38">
        <v>-40</v>
      </c>
      <c r="AH75" s="38"/>
      <c r="AI75" s="38" t="s">
        <v>307</v>
      </c>
    </row>
    <row r="76" spans="1:38" ht="12.75" x14ac:dyDescent="0.2">
      <c r="AC76" s="38" t="s">
        <v>210</v>
      </c>
      <c r="AD76" s="38">
        <v>-600</v>
      </c>
      <c r="AF76" s="38" t="s">
        <v>315</v>
      </c>
      <c r="AG76" s="38">
        <v>-250</v>
      </c>
    </row>
    <row r="77" spans="1:38" ht="12.75" x14ac:dyDescent="0.2">
      <c r="AC77" s="38" t="s">
        <v>309</v>
      </c>
      <c r="AD77" s="38">
        <v>-250</v>
      </c>
      <c r="AF77" s="38" t="s">
        <v>221</v>
      </c>
      <c r="AG77" s="42">
        <v>-500</v>
      </c>
      <c r="AH77" s="107"/>
      <c r="AI77" s="38" t="s">
        <v>262</v>
      </c>
    </row>
    <row r="78" spans="1:38" ht="12.75" x14ac:dyDescent="0.2">
      <c r="AF78" s="38" t="s">
        <v>292</v>
      </c>
      <c r="AG78" s="42">
        <v>-500</v>
      </c>
      <c r="AH78" s="107"/>
      <c r="AI78" s="38" t="s">
        <v>262</v>
      </c>
    </row>
    <row r="79" spans="1:38" ht="12.75" x14ac:dyDescent="0.2">
      <c r="AF79" s="38" t="s">
        <v>262</v>
      </c>
      <c r="AI79" s="38" t="s">
        <v>262</v>
      </c>
    </row>
    <row r="80" spans="1:38" ht="12.75" x14ac:dyDescent="0.2">
      <c r="AF80" s="38" t="s">
        <v>295</v>
      </c>
      <c r="AG80" s="38">
        <v>-250</v>
      </c>
    </row>
    <row r="81" spans="27:34" ht="12.75" x14ac:dyDescent="0.2">
      <c r="AB81" s="114" t="s">
        <v>282</v>
      </c>
      <c r="AC81" s="114" t="s">
        <v>221</v>
      </c>
      <c r="AD81" s="114" t="s">
        <v>211</v>
      </c>
      <c r="AG81" s="38">
        <v>-50</v>
      </c>
      <c r="AH81" s="38"/>
    </row>
    <row r="82" spans="27:34" ht="12.75" x14ac:dyDescent="0.2">
      <c r="AB82" s="115" t="s">
        <v>285</v>
      </c>
      <c r="AC82" s="45">
        <v>600</v>
      </c>
      <c r="AD82" s="45">
        <v>400</v>
      </c>
    </row>
    <row r="83" spans="27:34" ht="25.5" x14ac:dyDescent="0.2">
      <c r="AB83" s="115" t="s">
        <v>286</v>
      </c>
      <c r="AC83" s="45">
        <v>100</v>
      </c>
      <c r="AD83" s="45">
        <v>100</v>
      </c>
    </row>
    <row r="84" spans="27:34" ht="25.5" x14ac:dyDescent="0.2">
      <c r="AB84" s="115" t="s">
        <v>287</v>
      </c>
      <c r="AC84" s="45">
        <v>350</v>
      </c>
      <c r="AD84" s="45">
        <v>350</v>
      </c>
    </row>
    <row r="85" spans="27:34" ht="25.5" x14ac:dyDescent="0.2">
      <c r="AB85" s="115" t="s">
        <v>296</v>
      </c>
      <c r="AC85" s="45">
        <v>350</v>
      </c>
      <c r="AD85" s="45">
        <v>350</v>
      </c>
    </row>
    <row r="86" spans="27:34" ht="12.75" x14ac:dyDescent="0.2">
      <c r="AB86" s="115" t="s">
        <v>297</v>
      </c>
      <c r="AC86" s="45">
        <v>400</v>
      </c>
      <c r="AD86" s="45">
        <v>400</v>
      </c>
    </row>
    <row r="87" spans="27:34" ht="12.75" x14ac:dyDescent="0.2">
      <c r="AB87" s="49"/>
      <c r="AC87" s="45">
        <v>200</v>
      </c>
      <c r="AD87" s="45">
        <v>200</v>
      </c>
    </row>
    <row r="88" spans="27:34" ht="12.75" x14ac:dyDescent="0.2">
      <c r="AB88" s="61" t="s">
        <v>310</v>
      </c>
      <c r="AC88" s="61">
        <v>200</v>
      </c>
      <c r="AD88" s="61">
        <v>200</v>
      </c>
    </row>
    <row r="90" spans="27:34" ht="25.5" x14ac:dyDescent="0.2">
      <c r="AB90" s="115" t="s">
        <v>306</v>
      </c>
      <c r="AC90" s="45">
        <v>350</v>
      </c>
      <c r="AD90" s="45">
        <v>350</v>
      </c>
    </row>
    <row r="91" spans="27:34" ht="25.5" x14ac:dyDescent="0.2">
      <c r="AB91" s="115" t="s">
        <v>311</v>
      </c>
      <c r="AC91" s="45">
        <v>350</v>
      </c>
      <c r="AD91" s="45">
        <v>350</v>
      </c>
    </row>
    <row r="92" spans="27:34" ht="12.75" x14ac:dyDescent="0.2">
      <c r="AA92" s="38" t="s">
        <v>316</v>
      </c>
      <c r="AB92" s="114" t="s">
        <v>141</v>
      </c>
      <c r="AC92" s="45">
        <f t="shared" ref="AC92:AD92" si="29">SUM(AC82:AC91)</f>
        <v>2900</v>
      </c>
      <c r="AD92" s="45">
        <f t="shared" si="29"/>
        <v>2700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L144"/>
  <sheetViews>
    <sheetView topLeftCell="A116" workbookViewId="0">
      <selection activeCell="W145" sqref="W145"/>
    </sheetView>
  </sheetViews>
  <sheetFormatPr defaultColWidth="12.5703125" defaultRowHeight="15.75" customHeight="1" x14ac:dyDescent="0.2"/>
  <cols>
    <col min="1" max="1" width="8" customWidth="1"/>
    <col min="2" max="2" width="10.7109375" customWidth="1"/>
    <col min="3" max="3" width="5.42578125" customWidth="1"/>
    <col min="4" max="4" width="5.28515625" customWidth="1"/>
    <col min="5" max="5" width="5.42578125" customWidth="1"/>
    <col min="6" max="6" width="5.5703125" customWidth="1"/>
    <col min="7" max="7" width="5.42578125" customWidth="1"/>
    <col min="8" max="8" width="5.140625" customWidth="1"/>
    <col min="9" max="9" width="6.42578125" customWidth="1"/>
    <col min="10" max="10" width="5.28515625" customWidth="1"/>
    <col min="11" max="11" width="4.85546875" customWidth="1"/>
    <col min="12" max="12" width="8.28515625" customWidth="1"/>
    <col min="13" max="13" width="11" customWidth="1"/>
    <col min="14" max="14" width="5.42578125" customWidth="1"/>
    <col min="15" max="15" width="5.5703125" customWidth="1"/>
    <col min="16" max="16" width="5.42578125" customWidth="1"/>
    <col min="17" max="17" width="5" customWidth="1"/>
    <col min="18" max="18" width="4.85546875" customWidth="1"/>
    <col min="19" max="19" width="4.5703125" customWidth="1"/>
    <col min="20" max="21" width="5.42578125" customWidth="1"/>
    <col min="22" max="22" width="7" customWidth="1"/>
    <col min="23" max="23" width="8.28515625" style="131" customWidth="1"/>
    <col min="24" max="24" width="10.85546875" customWidth="1"/>
    <col min="25" max="25" width="9.140625" customWidth="1"/>
    <col min="26" max="26" width="7.7109375" customWidth="1"/>
    <col min="27" max="27" width="7.140625" customWidth="1"/>
    <col min="28" max="28" width="8.85546875" customWidth="1"/>
    <col min="29" max="29" width="10.42578125" customWidth="1"/>
    <col min="30" max="30" width="6.42578125" customWidth="1"/>
    <col min="31" max="31" width="8.7109375" customWidth="1"/>
    <col min="32" max="32" width="6.5703125" customWidth="1"/>
    <col min="33" max="33" width="7.140625" customWidth="1"/>
    <col min="34" max="34" width="6.42578125" customWidth="1"/>
    <col min="35" max="35" width="5.85546875" customWidth="1"/>
  </cols>
  <sheetData>
    <row r="1" spans="1:38" ht="38.25" x14ac:dyDescent="0.2">
      <c r="A1" s="83" t="s">
        <v>135</v>
      </c>
      <c r="B1" s="84">
        <v>45901</v>
      </c>
      <c r="C1" s="85"/>
      <c r="D1" s="85"/>
      <c r="E1" s="85"/>
      <c r="F1" s="85"/>
      <c r="G1" s="85"/>
      <c r="H1" s="85"/>
      <c r="I1" s="85"/>
      <c r="J1" s="85"/>
      <c r="K1" s="86"/>
      <c r="L1" s="83" t="s">
        <v>136</v>
      </c>
      <c r="M1" s="84">
        <v>45901</v>
      </c>
      <c r="N1" s="85"/>
      <c r="O1" s="85"/>
      <c r="P1" s="85"/>
      <c r="Q1" s="85"/>
      <c r="R1" s="85"/>
      <c r="S1" s="85"/>
      <c r="T1" s="85"/>
      <c r="U1" s="85"/>
      <c r="V1" s="85"/>
      <c r="W1" s="88" t="s">
        <v>333</v>
      </c>
      <c r="X1" s="87" t="s">
        <v>141</v>
      </c>
      <c r="Y1" s="88" t="s">
        <v>192</v>
      </c>
      <c r="Z1" s="89" t="s">
        <v>142</v>
      </c>
      <c r="AA1" s="90" t="s">
        <v>193</v>
      </c>
      <c r="AB1" s="91" t="s">
        <v>194</v>
      </c>
      <c r="AC1" s="88" t="s">
        <v>312</v>
      </c>
      <c r="AD1" s="87" t="s">
        <v>195</v>
      </c>
      <c r="AE1" s="87" t="s">
        <v>196</v>
      </c>
      <c r="AF1" s="88" t="s">
        <v>313</v>
      </c>
      <c r="AG1" s="87" t="s">
        <v>198</v>
      </c>
      <c r="AH1" s="49"/>
      <c r="AI1" s="92"/>
      <c r="AJ1" s="49"/>
      <c r="AK1" s="49"/>
      <c r="AL1" s="49"/>
    </row>
    <row r="2" spans="1:38" ht="12.75" x14ac:dyDescent="0.2">
      <c r="A2" s="87" t="s">
        <v>199</v>
      </c>
      <c r="B2" s="93">
        <v>0.05</v>
      </c>
      <c r="C2" s="93">
        <v>0.1</v>
      </c>
      <c r="D2" s="93">
        <v>0.2</v>
      </c>
      <c r="E2" s="93">
        <v>0.5</v>
      </c>
      <c r="F2" s="93">
        <v>1</v>
      </c>
      <c r="G2" s="93">
        <v>2</v>
      </c>
      <c r="H2" s="93">
        <v>5</v>
      </c>
      <c r="I2" s="93">
        <v>10</v>
      </c>
      <c r="J2" s="49"/>
      <c r="K2" s="86"/>
      <c r="L2" s="87" t="s">
        <v>199</v>
      </c>
      <c r="M2" s="93">
        <v>0.05</v>
      </c>
      <c r="N2" s="93">
        <v>0.1</v>
      </c>
      <c r="O2" s="93">
        <v>0.2</v>
      </c>
      <c r="P2" s="93">
        <v>0.5</v>
      </c>
      <c r="Q2" s="93">
        <v>1</v>
      </c>
      <c r="R2" s="93">
        <v>2</v>
      </c>
      <c r="S2" s="93">
        <v>5</v>
      </c>
      <c r="T2" s="93">
        <v>10</v>
      </c>
      <c r="U2" s="93">
        <v>20</v>
      </c>
      <c r="V2" s="93">
        <v>50</v>
      </c>
      <c r="W2" s="129"/>
      <c r="X2" s="85"/>
      <c r="Y2" s="85"/>
      <c r="Z2" s="49"/>
      <c r="AA2" s="94"/>
      <c r="AB2" s="95"/>
      <c r="AC2" s="85"/>
      <c r="AD2" s="85"/>
      <c r="AE2" s="85"/>
      <c r="AF2" s="85"/>
      <c r="AG2" s="85"/>
      <c r="AH2" s="49"/>
      <c r="AI2" s="92"/>
      <c r="AJ2" s="49"/>
      <c r="AK2" s="49"/>
      <c r="AL2" s="49"/>
    </row>
    <row r="3" spans="1:38" ht="12.75" x14ac:dyDescent="0.2">
      <c r="A3" s="87" t="s">
        <v>200</v>
      </c>
      <c r="B3" s="38">
        <v>74</v>
      </c>
      <c r="C3" s="38">
        <v>25</v>
      </c>
      <c r="D3" s="49">
        <v>1</v>
      </c>
      <c r="E3" s="49"/>
      <c r="F3" s="85">
        <v>14</v>
      </c>
      <c r="G3" s="85">
        <v>8</v>
      </c>
      <c r="H3" s="85"/>
      <c r="I3" s="85"/>
      <c r="J3" s="85"/>
      <c r="K3" s="86"/>
      <c r="L3" s="87" t="s">
        <v>200</v>
      </c>
      <c r="M3" s="38">
        <v>77</v>
      </c>
      <c r="N3" s="38">
        <v>27</v>
      </c>
      <c r="O3" s="49">
        <v>32</v>
      </c>
      <c r="P3" s="49">
        <v>7</v>
      </c>
      <c r="Q3" s="85">
        <v>26</v>
      </c>
      <c r="R3" s="85">
        <v>11</v>
      </c>
      <c r="S3" s="85">
        <v>2</v>
      </c>
      <c r="T3" s="85">
        <v>3</v>
      </c>
      <c r="U3" s="85">
        <v>6</v>
      </c>
      <c r="V3" s="85">
        <v>2</v>
      </c>
      <c r="W3" s="129"/>
      <c r="X3" s="85"/>
      <c r="Y3" s="85"/>
      <c r="Z3" s="49"/>
      <c r="AA3" s="94"/>
      <c r="AB3" s="95"/>
      <c r="AC3" s="85"/>
      <c r="AD3" s="85"/>
      <c r="AE3" s="85"/>
      <c r="AF3" s="85"/>
      <c r="AG3" s="85"/>
      <c r="AH3" s="49"/>
      <c r="AI3" s="92"/>
      <c r="AJ3" s="49"/>
      <c r="AK3" s="49"/>
      <c r="AL3" s="49"/>
    </row>
    <row r="4" spans="1:38" ht="12.75" x14ac:dyDescent="0.2">
      <c r="A4" s="87" t="s">
        <v>141</v>
      </c>
      <c r="B4" s="70">
        <f t="shared" ref="B4:I4" si="0">B3*B2</f>
        <v>3.7</v>
      </c>
      <c r="C4" s="70">
        <f t="shared" si="0"/>
        <v>2.5</v>
      </c>
      <c r="D4" s="70">
        <f t="shared" si="0"/>
        <v>0.2</v>
      </c>
      <c r="E4" s="70">
        <f t="shared" si="0"/>
        <v>0</v>
      </c>
      <c r="F4" s="70">
        <f t="shared" si="0"/>
        <v>14</v>
      </c>
      <c r="G4" s="70">
        <f t="shared" si="0"/>
        <v>16</v>
      </c>
      <c r="H4" s="70">
        <f t="shared" si="0"/>
        <v>0</v>
      </c>
      <c r="I4" s="70">
        <f t="shared" si="0"/>
        <v>0</v>
      </c>
      <c r="J4" s="70">
        <f>SUM(B4:I4)</f>
        <v>36.4</v>
      </c>
      <c r="K4" s="86"/>
      <c r="L4" s="87" t="s">
        <v>141</v>
      </c>
      <c r="M4" s="70">
        <f t="shared" ref="M4:V4" si="1">M3*M2</f>
        <v>3.85</v>
      </c>
      <c r="N4" s="70">
        <f t="shared" si="1"/>
        <v>2.7</v>
      </c>
      <c r="O4" s="70">
        <f t="shared" si="1"/>
        <v>6.4</v>
      </c>
      <c r="P4" s="70">
        <f t="shared" si="1"/>
        <v>3.5</v>
      </c>
      <c r="Q4" s="70">
        <f t="shared" si="1"/>
        <v>26</v>
      </c>
      <c r="R4" s="70">
        <f t="shared" si="1"/>
        <v>22</v>
      </c>
      <c r="S4" s="70">
        <f t="shared" si="1"/>
        <v>10</v>
      </c>
      <c r="T4" s="70">
        <f t="shared" si="1"/>
        <v>30</v>
      </c>
      <c r="U4" s="70">
        <f t="shared" si="1"/>
        <v>120</v>
      </c>
      <c r="V4" s="70">
        <f t="shared" si="1"/>
        <v>100</v>
      </c>
      <c r="W4" s="130"/>
      <c r="X4" s="70">
        <f>SUM(M4:V4)</f>
        <v>324.45</v>
      </c>
      <c r="Y4" s="96">
        <f>X4-J4</f>
        <v>288.05</v>
      </c>
      <c r="Z4" s="94">
        <v>135.9</v>
      </c>
      <c r="AA4" s="94">
        <v>69.7</v>
      </c>
      <c r="AB4" s="97">
        <f>Y4+AA4</f>
        <v>357.75</v>
      </c>
      <c r="AC4" s="85">
        <v>89</v>
      </c>
      <c r="AD4" s="96">
        <f>Z4-AC4</f>
        <v>46.900000000000006</v>
      </c>
      <c r="AE4" s="96">
        <f>Y4-Z4</f>
        <v>152.15</v>
      </c>
      <c r="AF4" s="85">
        <v>22.15</v>
      </c>
      <c r="AG4" s="96">
        <f>AE4-AF4</f>
        <v>130</v>
      </c>
      <c r="AH4" s="49"/>
      <c r="AI4" s="98">
        <f>(SUM(Z4:AA4)/(1+10/100))*(10/100)</f>
        <v>18.690909090909091</v>
      </c>
      <c r="AJ4" s="49"/>
      <c r="AK4" s="49"/>
      <c r="AL4" s="49"/>
    </row>
    <row r="5" spans="1:38" ht="12.75" x14ac:dyDescent="0.2">
      <c r="AD5" s="38">
        <v>-10</v>
      </c>
    </row>
    <row r="6" spans="1:38" ht="38.25" x14ac:dyDescent="0.2">
      <c r="A6" s="83" t="s">
        <v>135</v>
      </c>
      <c r="B6" s="84">
        <v>45902</v>
      </c>
      <c r="C6" s="85"/>
      <c r="D6" s="85"/>
      <c r="E6" s="85"/>
      <c r="F6" s="85"/>
      <c r="G6" s="85"/>
      <c r="H6" s="85"/>
      <c r="I6" s="85"/>
      <c r="J6" s="85"/>
      <c r="K6" s="86"/>
      <c r="L6" s="83" t="s">
        <v>136</v>
      </c>
      <c r="M6" s="84">
        <v>45902</v>
      </c>
      <c r="N6" s="85"/>
      <c r="O6" s="85"/>
      <c r="P6" s="85"/>
      <c r="Q6" s="85"/>
      <c r="R6" s="85"/>
      <c r="S6" s="85"/>
      <c r="T6" s="85"/>
      <c r="U6" s="85"/>
      <c r="V6" s="85"/>
      <c r="W6" s="88" t="s">
        <v>333</v>
      </c>
      <c r="X6" s="87" t="s">
        <v>141</v>
      </c>
      <c r="Y6" s="88" t="s">
        <v>192</v>
      </c>
      <c r="Z6" s="89" t="s">
        <v>142</v>
      </c>
      <c r="AA6" s="90" t="s">
        <v>193</v>
      </c>
      <c r="AB6" s="91" t="s">
        <v>194</v>
      </c>
      <c r="AC6" s="88" t="s">
        <v>312</v>
      </c>
      <c r="AD6" s="87" t="s">
        <v>195</v>
      </c>
      <c r="AE6" s="87" t="s">
        <v>196</v>
      </c>
      <c r="AF6" s="88" t="s">
        <v>313</v>
      </c>
      <c r="AG6" s="87" t="s">
        <v>198</v>
      </c>
      <c r="AH6" s="49"/>
      <c r="AI6" s="92"/>
      <c r="AJ6" s="49"/>
      <c r="AK6" s="49"/>
      <c r="AL6" s="49"/>
    </row>
    <row r="7" spans="1:38" ht="12.75" x14ac:dyDescent="0.2">
      <c r="A7" s="87" t="s">
        <v>199</v>
      </c>
      <c r="B7" s="93">
        <v>0.05</v>
      </c>
      <c r="C7" s="93">
        <v>0.1</v>
      </c>
      <c r="D7" s="93">
        <v>0.2</v>
      </c>
      <c r="E7" s="93">
        <v>0.5</v>
      </c>
      <c r="F7" s="93">
        <v>1</v>
      </c>
      <c r="G7" s="93">
        <v>2</v>
      </c>
      <c r="H7" s="93">
        <v>5</v>
      </c>
      <c r="I7" s="93">
        <v>10</v>
      </c>
      <c r="J7" s="49"/>
      <c r="K7" s="86"/>
      <c r="L7" s="87" t="s">
        <v>199</v>
      </c>
      <c r="M7" s="93">
        <v>0.05</v>
      </c>
      <c r="N7" s="93">
        <v>0.1</v>
      </c>
      <c r="O7" s="93">
        <v>0.2</v>
      </c>
      <c r="P7" s="93">
        <v>0.5</v>
      </c>
      <c r="Q7" s="93">
        <v>1</v>
      </c>
      <c r="R7" s="93">
        <v>2</v>
      </c>
      <c r="S7" s="93">
        <v>5</v>
      </c>
      <c r="T7" s="93">
        <v>10</v>
      </c>
      <c r="U7" s="93">
        <v>20</v>
      </c>
      <c r="V7" s="93">
        <v>50</v>
      </c>
      <c r="W7" s="129"/>
      <c r="X7" s="85"/>
      <c r="Y7" s="85"/>
      <c r="Z7" s="49"/>
      <c r="AA7" s="94"/>
      <c r="AB7" s="95"/>
      <c r="AC7" s="85"/>
      <c r="AD7" s="85"/>
      <c r="AE7" s="85"/>
      <c r="AF7" s="85"/>
      <c r="AG7" s="85"/>
      <c r="AH7" s="49"/>
      <c r="AI7" s="92"/>
      <c r="AJ7" s="49"/>
      <c r="AK7" s="49"/>
      <c r="AL7" s="49"/>
    </row>
    <row r="8" spans="1:38" ht="12.75" x14ac:dyDescent="0.2">
      <c r="A8" s="87" t="s">
        <v>200</v>
      </c>
      <c r="B8" s="38">
        <v>77</v>
      </c>
      <c r="C8" s="38">
        <v>27</v>
      </c>
      <c r="D8" s="49">
        <v>32</v>
      </c>
      <c r="E8" s="49">
        <v>7</v>
      </c>
      <c r="F8" s="85">
        <v>10</v>
      </c>
      <c r="G8" s="85">
        <v>5</v>
      </c>
      <c r="H8" s="85"/>
      <c r="I8" s="85"/>
      <c r="J8" s="85"/>
      <c r="K8" s="86"/>
      <c r="L8" s="87" t="s">
        <v>200</v>
      </c>
      <c r="M8" s="38">
        <v>79</v>
      </c>
      <c r="N8" s="38">
        <v>32</v>
      </c>
      <c r="O8" s="49">
        <v>24</v>
      </c>
      <c r="P8" s="49">
        <v>4</v>
      </c>
      <c r="Q8" s="85">
        <v>12</v>
      </c>
      <c r="R8" s="85">
        <v>7</v>
      </c>
      <c r="S8" s="85">
        <v>6</v>
      </c>
      <c r="T8" s="85">
        <v>9</v>
      </c>
      <c r="U8" s="85">
        <v>3</v>
      </c>
      <c r="V8" s="85">
        <v>1</v>
      </c>
      <c r="W8" s="129"/>
      <c r="X8" s="85"/>
      <c r="Y8" s="85"/>
      <c r="Z8" s="49"/>
      <c r="AA8" s="94"/>
      <c r="AB8" s="95"/>
      <c r="AC8" s="85"/>
      <c r="AD8" s="85"/>
      <c r="AE8" s="85"/>
      <c r="AF8" s="85"/>
      <c r="AG8" s="85"/>
      <c r="AH8" s="49"/>
      <c r="AI8" s="92"/>
      <c r="AJ8" s="49"/>
      <c r="AK8" s="49"/>
      <c r="AL8" s="49"/>
    </row>
    <row r="9" spans="1:38" ht="12.75" x14ac:dyDescent="0.2">
      <c r="A9" s="87" t="s">
        <v>141</v>
      </c>
      <c r="B9" s="70">
        <f t="shared" ref="B9:I9" si="2">B8*B7</f>
        <v>3.85</v>
      </c>
      <c r="C9" s="70">
        <f t="shared" si="2"/>
        <v>2.7</v>
      </c>
      <c r="D9" s="70">
        <f t="shared" si="2"/>
        <v>6.4</v>
      </c>
      <c r="E9" s="70">
        <f t="shared" si="2"/>
        <v>3.5</v>
      </c>
      <c r="F9" s="70">
        <f t="shared" si="2"/>
        <v>10</v>
      </c>
      <c r="G9" s="70">
        <f t="shared" si="2"/>
        <v>10</v>
      </c>
      <c r="H9" s="70">
        <f t="shared" si="2"/>
        <v>0</v>
      </c>
      <c r="I9" s="70">
        <f t="shared" si="2"/>
        <v>0</v>
      </c>
      <c r="J9" s="70">
        <f>SUM(B9:I9)</f>
        <v>36.450000000000003</v>
      </c>
      <c r="K9" s="86"/>
      <c r="L9" s="87" t="s">
        <v>141</v>
      </c>
      <c r="M9" s="70">
        <f t="shared" ref="M9:V9" si="3">M8*M7</f>
        <v>3.95</v>
      </c>
      <c r="N9" s="70">
        <f t="shared" si="3"/>
        <v>3.2</v>
      </c>
      <c r="O9" s="70">
        <f t="shared" si="3"/>
        <v>4.8000000000000007</v>
      </c>
      <c r="P9" s="70">
        <f t="shared" si="3"/>
        <v>2</v>
      </c>
      <c r="Q9" s="70">
        <f t="shared" si="3"/>
        <v>12</v>
      </c>
      <c r="R9" s="70">
        <f t="shared" si="3"/>
        <v>14</v>
      </c>
      <c r="S9" s="70">
        <f t="shared" si="3"/>
        <v>30</v>
      </c>
      <c r="T9" s="70">
        <f t="shared" si="3"/>
        <v>90</v>
      </c>
      <c r="U9" s="70">
        <f t="shared" si="3"/>
        <v>60</v>
      </c>
      <c r="V9" s="70">
        <f t="shared" si="3"/>
        <v>50</v>
      </c>
      <c r="W9" s="130"/>
      <c r="X9" s="70">
        <f>SUM(M9:V9)</f>
        <v>269.95</v>
      </c>
      <c r="Y9" s="96">
        <f>X9-J9</f>
        <v>233.5</v>
      </c>
      <c r="Z9" s="94">
        <v>64.2</v>
      </c>
      <c r="AA9" s="94">
        <v>35.200000000000003</v>
      </c>
      <c r="AB9" s="97">
        <f>Y9+AA9</f>
        <v>268.7</v>
      </c>
      <c r="AC9" s="85">
        <v>64.2</v>
      </c>
      <c r="AD9" s="96">
        <f>Z9-AC9</f>
        <v>0</v>
      </c>
      <c r="AE9" s="96">
        <f>Y9-Z9</f>
        <v>169.3</v>
      </c>
      <c r="AF9" s="85">
        <v>62</v>
      </c>
      <c r="AG9" s="96">
        <f>AE9-AF9</f>
        <v>107.30000000000001</v>
      </c>
      <c r="AH9" s="49"/>
      <c r="AI9" s="98">
        <f>(SUM(Z9:AA9)/(1+10/100))*(10/100)</f>
        <v>9.036363636363637</v>
      </c>
      <c r="AJ9" s="49"/>
      <c r="AK9" s="49"/>
      <c r="AL9" s="49"/>
    </row>
    <row r="10" spans="1:38" ht="12.75" x14ac:dyDescent="0.2">
      <c r="AH10" s="38"/>
    </row>
    <row r="11" spans="1:38" ht="38.25" x14ac:dyDescent="0.2">
      <c r="A11" s="83" t="s">
        <v>135</v>
      </c>
      <c r="B11" s="84">
        <v>45903</v>
      </c>
      <c r="C11" s="85"/>
      <c r="D11" s="85"/>
      <c r="E11" s="85"/>
      <c r="F11" s="85"/>
      <c r="G11" s="85"/>
      <c r="H11" s="85"/>
      <c r="I11" s="85"/>
      <c r="J11" s="85"/>
      <c r="K11" s="86"/>
      <c r="L11" s="83" t="s">
        <v>136</v>
      </c>
      <c r="M11" s="84">
        <v>45903</v>
      </c>
      <c r="N11" s="85"/>
      <c r="O11" s="85"/>
      <c r="P11" s="85"/>
      <c r="Q11" s="85"/>
      <c r="R11" s="85"/>
      <c r="S11" s="85"/>
      <c r="T11" s="85"/>
      <c r="U11" s="85"/>
      <c r="V11" s="85"/>
      <c r="W11" s="88" t="s">
        <v>333</v>
      </c>
      <c r="X11" s="87" t="s">
        <v>141</v>
      </c>
      <c r="Y11" s="88" t="s">
        <v>192</v>
      </c>
      <c r="Z11" s="89" t="s">
        <v>142</v>
      </c>
      <c r="AA11" s="90" t="s">
        <v>193</v>
      </c>
      <c r="AB11" s="91" t="s">
        <v>194</v>
      </c>
      <c r="AC11" s="88" t="s">
        <v>312</v>
      </c>
      <c r="AD11" s="87" t="s">
        <v>195</v>
      </c>
      <c r="AE11" s="87" t="s">
        <v>196</v>
      </c>
      <c r="AF11" s="88" t="s">
        <v>313</v>
      </c>
      <c r="AG11" s="87" t="s">
        <v>198</v>
      </c>
      <c r="AH11" s="49"/>
      <c r="AI11" s="92"/>
      <c r="AJ11" s="49"/>
      <c r="AK11" s="49"/>
      <c r="AL11" s="49"/>
    </row>
    <row r="12" spans="1:38" ht="12.75" x14ac:dyDescent="0.2">
      <c r="A12" s="87" t="s">
        <v>199</v>
      </c>
      <c r="B12" s="93">
        <v>0.05</v>
      </c>
      <c r="C12" s="93">
        <v>0.1</v>
      </c>
      <c r="D12" s="93">
        <v>0.2</v>
      </c>
      <c r="E12" s="93">
        <v>0.5</v>
      </c>
      <c r="F12" s="93">
        <v>1</v>
      </c>
      <c r="G12" s="93">
        <v>2</v>
      </c>
      <c r="H12" s="93">
        <v>5</v>
      </c>
      <c r="I12" s="93">
        <v>10</v>
      </c>
      <c r="J12" s="49"/>
      <c r="K12" s="86"/>
      <c r="L12" s="87" t="s">
        <v>199</v>
      </c>
      <c r="M12" s="93">
        <v>0.05</v>
      </c>
      <c r="N12" s="93">
        <v>0.1</v>
      </c>
      <c r="O12" s="93">
        <v>0.2</v>
      </c>
      <c r="P12" s="93">
        <v>0.5</v>
      </c>
      <c r="Q12" s="93">
        <v>1</v>
      </c>
      <c r="R12" s="93">
        <v>2</v>
      </c>
      <c r="S12" s="93">
        <v>5</v>
      </c>
      <c r="T12" s="93">
        <v>10</v>
      </c>
      <c r="U12" s="93">
        <v>20</v>
      </c>
      <c r="V12" s="93">
        <v>50</v>
      </c>
      <c r="W12" s="129"/>
      <c r="X12" s="85"/>
      <c r="Y12" s="85"/>
      <c r="Z12" s="49"/>
      <c r="AA12" s="94"/>
      <c r="AB12" s="95"/>
      <c r="AC12" s="85"/>
      <c r="AD12" s="85"/>
      <c r="AE12" s="85"/>
      <c r="AF12" s="85"/>
      <c r="AG12" s="85"/>
      <c r="AH12" s="49"/>
      <c r="AI12" s="92"/>
      <c r="AJ12" s="49"/>
      <c r="AK12" s="49"/>
      <c r="AL12" s="49"/>
    </row>
    <row r="13" spans="1:38" ht="12.75" x14ac:dyDescent="0.2">
      <c r="A13" s="87" t="s">
        <v>200</v>
      </c>
      <c r="B13" s="38">
        <v>79</v>
      </c>
      <c r="C13" s="38">
        <v>32</v>
      </c>
      <c r="D13" s="49">
        <v>24</v>
      </c>
      <c r="E13" s="49">
        <v>4</v>
      </c>
      <c r="F13" s="85">
        <v>10</v>
      </c>
      <c r="G13" s="85">
        <v>5</v>
      </c>
      <c r="H13" s="85">
        <v>1</v>
      </c>
      <c r="I13" s="85"/>
      <c r="J13" s="85"/>
      <c r="K13" s="86"/>
      <c r="L13" s="87" t="s">
        <v>200</v>
      </c>
      <c r="M13" s="38">
        <v>88</v>
      </c>
      <c r="N13" s="38">
        <v>37</v>
      </c>
      <c r="O13" s="38">
        <v>20</v>
      </c>
      <c r="P13" s="38">
        <v>11</v>
      </c>
      <c r="Q13" s="38">
        <v>18</v>
      </c>
      <c r="R13" s="49">
        <v>18</v>
      </c>
      <c r="S13" s="49">
        <v>4</v>
      </c>
      <c r="T13" s="85">
        <v>8</v>
      </c>
      <c r="U13" s="85">
        <v>6</v>
      </c>
      <c r="V13" s="85">
        <v>1</v>
      </c>
      <c r="W13" s="129"/>
      <c r="X13" s="85"/>
      <c r="Y13" s="85"/>
      <c r="Z13" s="49"/>
      <c r="AA13" s="94"/>
      <c r="AB13" s="95"/>
      <c r="AC13" s="85"/>
      <c r="AD13" s="85"/>
      <c r="AE13" s="85"/>
      <c r="AF13" s="85"/>
      <c r="AG13" s="85"/>
      <c r="AH13" s="49"/>
      <c r="AI13" s="92"/>
      <c r="AJ13" s="49"/>
      <c r="AK13" s="49"/>
      <c r="AL13" s="49"/>
    </row>
    <row r="14" spans="1:38" ht="12.75" x14ac:dyDescent="0.2">
      <c r="A14" s="87" t="s">
        <v>141</v>
      </c>
      <c r="B14" s="70">
        <f t="shared" ref="B14:I14" si="4">B13*B12</f>
        <v>3.95</v>
      </c>
      <c r="C14" s="70">
        <f t="shared" si="4"/>
        <v>3.2</v>
      </c>
      <c r="D14" s="70">
        <f t="shared" si="4"/>
        <v>4.8000000000000007</v>
      </c>
      <c r="E14" s="70">
        <f t="shared" si="4"/>
        <v>2</v>
      </c>
      <c r="F14" s="70">
        <f t="shared" si="4"/>
        <v>10</v>
      </c>
      <c r="G14" s="70">
        <f t="shared" si="4"/>
        <v>10</v>
      </c>
      <c r="H14" s="70">
        <f t="shared" si="4"/>
        <v>5</v>
      </c>
      <c r="I14" s="70">
        <f t="shared" si="4"/>
        <v>0</v>
      </c>
      <c r="J14" s="70">
        <f>SUM(B14:I14)</f>
        <v>38.950000000000003</v>
      </c>
      <c r="K14" s="86"/>
      <c r="L14" s="87" t="s">
        <v>141</v>
      </c>
      <c r="M14" s="70">
        <f t="shared" ref="M14:V14" si="5">M13*M12</f>
        <v>4.4000000000000004</v>
      </c>
      <c r="N14" s="70">
        <f t="shared" si="5"/>
        <v>3.7</v>
      </c>
      <c r="O14" s="70">
        <f t="shared" si="5"/>
        <v>4</v>
      </c>
      <c r="P14" s="70">
        <f t="shared" si="5"/>
        <v>5.5</v>
      </c>
      <c r="Q14" s="70">
        <f t="shared" si="5"/>
        <v>18</v>
      </c>
      <c r="R14" s="70">
        <f t="shared" si="5"/>
        <v>36</v>
      </c>
      <c r="S14" s="70">
        <f t="shared" si="5"/>
        <v>20</v>
      </c>
      <c r="T14" s="70">
        <f t="shared" si="5"/>
        <v>80</v>
      </c>
      <c r="U14" s="70">
        <f t="shared" si="5"/>
        <v>120</v>
      </c>
      <c r="V14" s="70">
        <f t="shared" si="5"/>
        <v>50</v>
      </c>
      <c r="W14" s="130"/>
      <c r="X14" s="70">
        <f>SUM(M14:V14)</f>
        <v>341.6</v>
      </c>
      <c r="Y14" s="96">
        <f>X14-J14</f>
        <v>302.65000000000003</v>
      </c>
      <c r="Z14" s="94">
        <v>125.1</v>
      </c>
      <c r="AA14" s="94">
        <v>87.1</v>
      </c>
      <c r="AB14" s="97">
        <f>Y14+AA14</f>
        <v>389.75</v>
      </c>
      <c r="AC14" s="85">
        <v>20</v>
      </c>
      <c r="AD14" s="96">
        <f>Z14-AC14</f>
        <v>105.1</v>
      </c>
      <c r="AE14" s="96">
        <f>Y14-Z14</f>
        <v>177.55000000000004</v>
      </c>
      <c r="AF14" s="85">
        <v>7.5</v>
      </c>
      <c r="AG14" s="96">
        <f>AE14-AF14</f>
        <v>170.05000000000004</v>
      </c>
      <c r="AH14" s="49"/>
      <c r="AI14" s="98">
        <f>(SUM(Z14:AA14)/(1+10/100))*(10/100)</f>
        <v>19.290909090909089</v>
      </c>
      <c r="AJ14" s="49"/>
      <c r="AK14" s="49"/>
      <c r="AL14" s="49"/>
    </row>
    <row r="16" spans="1:38" ht="38.25" x14ac:dyDescent="0.2">
      <c r="A16" s="83" t="s">
        <v>135</v>
      </c>
      <c r="B16" s="84">
        <v>45904</v>
      </c>
      <c r="C16" s="85"/>
      <c r="D16" s="85"/>
      <c r="E16" s="85"/>
      <c r="F16" s="85"/>
      <c r="G16" s="85"/>
      <c r="H16" s="85"/>
      <c r="I16" s="85"/>
      <c r="J16" s="85"/>
      <c r="K16" s="86"/>
      <c r="L16" s="83" t="s">
        <v>136</v>
      </c>
      <c r="M16" s="84">
        <v>45904</v>
      </c>
      <c r="N16" s="85"/>
      <c r="O16" s="85"/>
      <c r="P16" s="85"/>
      <c r="Q16" s="85"/>
      <c r="R16" s="85"/>
      <c r="S16" s="85"/>
      <c r="T16" s="85"/>
      <c r="U16" s="85"/>
      <c r="V16" s="85"/>
      <c r="W16" s="88" t="s">
        <v>333</v>
      </c>
      <c r="X16" s="87" t="s">
        <v>141</v>
      </c>
      <c r="Y16" s="88" t="s">
        <v>192</v>
      </c>
      <c r="Z16" s="89" t="s">
        <v>142</v>
      </c>
      <c r="AA16" s="90" t="s">
        <v>193</v>
      </c>
      <c r="AB16" s="91" t="s">
        <v>194</v>
      </c>
      <c r="AC16" s="88" t="s">
        <v>312</v>
      </c>
      <c r="AD16" s="87" t="s">
        <v>195</v>
      </c>
      <c r="AE16" s="87" t="s">
        <v>196</v>
      </c>
      <c r="AF16" s="88" t="s">
        <v>313</v>
      </c>
      <c r="AG16" s="87" t="s">
        <v>198</v>
      </c>
      <c r="AH16" s="49"/>
      <c r="AI16" s="92"/>
      <c r="AJ16" s="49"/>
      <c r="AK16" s="49"/>
      <c r="AL16" s="49"/>
    </row>
    <row r="17" spans="1:38" ht="12.75" x14ac:dyDescent="0.2">
      <c r="A17" s="87" t="s">
        <v>199</v>
      </c>
      <c r="B17" s="93">
        <v>0.05</v>
      </c>
      <c r="C17" s="93">
        <v>0.1</v>
      </c>
      <c r="D17" s="93">
        <v>0.2</v>
      </c>
      <c r="E17" s="93">
        <v>0.5</v>
      </c>
      <c r="F17" s="93">
        <v>1</v>
      </c>
      <c r="G17" s="93">
        <v>2</v>
      </c>
      <c r="H17" s="93">
        <v>5</v>
      </c>
      <c r="I17" s="93">
        <v>10</v>
      </c>
      <c r="J17" s="49"/>
      <c r="K17" s="86"/>
      <c r="L17" s="87" t="s">
        <v>199</v>
      </c>
      <c r="M17" s="93">
        <v>0.05</v>
      </c>
      <c r="N17" s="93">
        <v>0.1</v>
      </c>
      <c r="O17" s="93">
        <v>0.2</v>
      </c>
      <c r="P17" s="93">
        <v>0.5</v>
      </c>
      <c r="Q17" s="93">
        <v>1</v>
      </c>
      <c r="R17" s="93">
        <v>2</v>
      </c>
      <c r="S17" s="93">
        <v>5</v>
      </c>
      <c r="T17" s="93">
        <v>10</v>
      </c>
      <c r="U17" s="93">
        <v>20</v>
      </c>
      <c r="V17" s="93">
        <v>50</v>
      </c>
      <c r="W17" s="129"/>
      <c r="X17" s="85"/>
      <c r="Y17" s="85"/>
      <c r="Z17" s="49"/>
      <c r="AA17" s="94"/>
      <c r="AB17" s="95"/>
      <c r="AC17" s="85"/>
      <c r="AD17" s="85"/>
      <c r="AE17" s="85"/>
      <c r="AF17" s="85"/>
      <c r="AG17" s="85"/>
      <c r="AH17" s="49"/>
      <c r="AI17" s="92"/>
      <c r="AJ17" s="49"/>
      <c r="AK17" s="49"/>
      <c r="AL17" s="49"/>
    </row>
    <row r="18" spans="1:38" ht="12.75" x14ac:dyDescent="0.2">
      <c r="A18" s="87" t="s">
        <v>200</v>
      </c>
      <c r="B18" s="38">
        <v>88</v>
      </c>
      <c r="C18" s="38">
        <v>37</v>
      </c>
      <c r="D18" s="38">
        <v>20</v>
      </c>
      <c r="E18" s="38">
        <v>11</v>
      </c>
      <c r="F18" s="38">
        <v>5</v>
      </c>
      <c r="G18" s="49">
        <v>4</v>
      </c>
      <c r="H18" s="85">
        <v>2</v>
      </c>
      <c r="I18" s="85"/>
      <c r="J18" s="85"/>
      <c r="K18" s="86"/>
      <c r="L18" s="87" t="s">
        <v>200</v>
      </c>
      <c r="M18" s="38">
        <v>104</v>
      </c>
      <c r="N18" s="38">
        <v>47</v>
      </c>
      <c r="O18" s="38">
        <v>27</v>
      </c>
      <c r="P18" s="38">
        <v>23</v>
      </c>
      <c r="Q18" s="38">
        <v>22</v>
      </c>
      <c r="R18" s="49">
        <v>1</v>
      </c>
      <c r="S18" s="49">
        <v>1</v>
      </c>
      <c r="T18" s="85">
        <v>1</v>
      </c>
      <c r="U18" s="85">
        <v>9</v>
      </c>
      <c r="V18" s="85"/>
      <c r="W18" s="129"/>
      <c r="X18" s="85"/>
      <c r="Y18" s="85"/>
      <c r="Z18" s="49"/>
      <c r="AA18" s="94"/>
      <c r="AB18" s="95"/>
      <c r="AC18" s="85"/>
      <c r="AD18" s="85"/>
      <c r="AE18" s="85"/>
      <c r="AF18" s="85"/>
      <c r="AG18" s="85"/>
      <c r="AH18" s="49"/>
      <c r="AI18" s="92"/>
      <c r="AJ18" s="49"/>
      <c r="AK18" s="49"/>
      <c r="AL18" s="49"/>
    </row>
    <row r="19" spans="1:38" ht="12.75" x14ac:dyDescent="0.2">
      <c r="A19" s="87" t="s">
        <v>141</v>
      </c>
      <c r="B19" s="70">
        <f t="shared" ref="B19:I19" si="6">B18*B17</f>
        <v>4.4000000000000004</v>
      </c>
      <c r="C19" s="70">
        <f t="shared" si="6"/>
        <v>3.7</v>
      </c>
      <c r="D19" s="70">
        <f t="shared" si="6"/>
        <v>4</v>
      </c>
      <c r="E19" s="70">
        <f t="shared" si="6"/>
        <v>5.5</v>
      </c>
      <c r="F19" s="70">
        <f t="shared" si="6"/>
        <v>5</v>
      </c>
      <c r="G19" s="70">
        <f t="shared" si="6"/>
        <v>8</v>
      </c>
      <c r="H19" s="70">
        <f t="shared" si="6"/>
        <v>10</v>
      </c>
      <c r="I19" s="70">
        <f t="shared" si="6"/>
        <v>0</v>
      </c>
      <c r="J19" s="70">
        <f>SUM(B19:I19)</f>
        <v>40.6</v>
      </c>
      <c r="K19" s="86"/>
      <c r="L19" s="87" t="s">
        <v>141</v>
      </c>
      <c r="M19" s="70">
        <f t="shared" ref="M19:V19" si="7">M18*M17</f>
        <v>5.2</v>
      </c>
      <c r="N19" s="70">
        <f t="shared" si="7"/>
        <v>4.7</v>
      </c>
      <c r="O19" s="70">
        <f t="shared" si="7"/>
        <v>5.4</v>
      </c>
      <c r="P19" s="70">
        <f t="shared" si="7"/>
        <v>11.5</v>
      </c>
      <c r="Q19" s="70">
        <f t="shared" si="7"/>
        <v>22</v>
      </c>
      <c r="R19" s="70">
        <f t="shared" si="7"/>
        <v>2</v>
      </c>
      <c r="S19" s="70">
        <f t="shared" si="7"/>
        <v>5</v>
      </c>
      <c r="T19" s="70">
        <f t="shared" si="7"/>
        <v>10</v>
      </c>
      <c r="U19" s="70">
        <f t="shared" si="7"/>
        <v>180</v>
      </c>
      <c r="V19" s="70">
        <f t="shared" si="7"/>
        <v>0</v>
      </c>
      <c r="W19" s="130"/>
      <c r="X19" s="70">
        <f>SUM(M19:V19)</f>
        <v>245.8</v>
      </c>
      <c r="Y19" s="96">
        <f>X19-J19</f>
        <v>205.20000000000002</v>
      </c>
      <c r="Z19" s="94">
        <v>110.1</v>
      </c>
      <c r="AA19" s="94">
        <v>58.4</v>
      </c>
      <c r="AB19" s="97">
        <f>Y19+AA19</f>
        <v>263.60000000000002</v>
      </c>
      <c r="AC19" s="85">
        <v>40</v>
      </c>
      <c r="AD19" s="96">
        <f>Z19-AC19</f>
        <v>70.099999999999994</v>
      </c>
      <c r="AE19" s="96">
        <f>Y19-Z19</f>
        <v>95.100000000000023</v>
      </c>
      <c r="AF19" s="85"/>
      <c r="AG19" s="96">
        <f>AE19-AF19</f>
        <v>95.100000000000023</v>
      </c>
      <c r="AH19" s="49"/>
      <c r="AI19" s="98">
        <f>(SUM(Z19:AA19)/(1+10/100))*(10/100)</f>
        <v>15.318181818181817</v>
      </c>
      <c r="AJ19" s="49"/>
      <c r="AK19" s="49"/>
      <c r="AL19" s="49"/>
    </row>
    <row r="21" spans="1:38" ht="38.25" x14ac:dyDescent="0.2">
      <c r="A21" s="83" t="s">
        <v>135</v>
      </c>
      <c r="B21" s="84">
        <v>45905</v>
      </c>
      <c r="C21" s="85"/>
      <c r="D21" s="85"/>
      <c r="E21" s="85"/>
      <c r="F21" s="85"/>
      <c r="G21" s="85"/>
      <c r="H21" s="85"/>
      <c r="I21" s="85"/>
      <c r="J21" s="85"/>
      <c r="K21" s="86"/>
      <c r="L21" s="83" t="s">
        <v>136</v>
      </c>
      <c r="M21" s="84">
        <v>45905</v>
      </c>
      <c r="N21" s="85"/>
      <c r="O21" s="85"/>
      <c r="P21" s="85"/>
      <c r="Q21" s="85"/>
      <c r="R21" s="85"/>
      <c r="S21" s="85"/>
      <c r="T21" s="85"/>
      <c r="U21" s="85"/>
      <c r="V21" s="85"/>
      <c r="W21" s="88" t="s">
        <v>333</v>
      </c>
      <c r="X21" s="87" t="s">
        <v>141</v>
      </c>
      <c r="Y21" s="88" t="s">
        <v>192</v>
      </c>
      <c r="Z21" s="89" t="s">
        <v>142</v>
      </c>
      <c r="AA21" s="90" t="s">
        <v>193</v>
      </c>
      <c r="AB21" s="91" t="s">
        <v>194</v>
      </c>
      <c r="AC21" s="88" t="s">
        <v>312</v>
      </c>
      <c r="AD21" s="87" t="s">
        <v>195</v>
      </c>
      <c r="AE21" s="87" t="s">
        <v>196</v>
      </c>
      <c r="AF21" s="88" t="s">
        <v>313</v>
      </c>
      <c r="AG21" s="87" t="s">
        <v>198</v>
      </c>
      <c r="AH21" s="49"/>
      <c r="AI21" s="92"/>
      <c r="AJ21" s="49"/>
      <c r="AK21" s="49"/>
      <c r="AL21" s="49"/>
    </row>
    <row r="22" spans="1:38" ht="12.75" x14ac:dyDescent="0.2">
      <c r="A22" s="87" t="s">
        <v>199</v>
      </c>
      <c r="B22" s="93">
        <v>0.05</v>
      </c>
      <c r="C22" s="93">
        <v>0.1</v>
      </c>
      <c r="D22" s="93">
        <v>0.2</v>
      </c>
      <c r="E22" s="93">
        <v>0.5</v>
      </c>
      <c r="F22" s="93">
        <v>1</v>
      </c>
      <c r="G22" s="93">
        <v>2</v>
      </c>
      <c r="H22" s="93">
        <v>5</v>
      </c>
      <c r="I22" s="93">
        <v>10</v>
      </c>
      <c r="J22" s="49"/>
      <c r="K22" s="86"/>
      <c r="L22" s="87" t="s">
        <v>199</v>
      </c>
      <c r="M22" s="93">
        <v>0.05</v>
      </c>
      <c r="N22" s="93">
        <v>0.1</v>
      </c>
      <c r="O22" s="93">
        <v>0.2</v>
      </c>
      <c r="P22" s="93">
        <v>0.5</v>
      </c>
      <c r="Q22" s="93">
        <v>1</v>
      </c>
      <c r="R22" s="93">
        <v>2</v>
      </c>
      <c r="S22" s="93">
        <v>5</v>
      </c>
      <c r="T22" s="93">
        <v>10</v>
      </c>
      <c r="U22" s="93">
        <v>20</v>
      </c>
      <c r="V22" s="93">
        <v>50</v>
      </c>
      <c r="W22" s="129"/>
      <c r="X22" s="85"/>
      <c r="Y22" s="85"/>
      <c r="Z22" s="49"/>
      <c r="AA22" s="94"/>
      <c r="AB22" s="95"/>
      <c r="AC22" s="85"/>
      <c r="AD22" s="85"/>
      <c r="AE22" s="85"/>
      <c r="AF22" s="85"/>
      <c r="AG22" s="85"/>
      <c r="AH22" s="49"/>
      <c r="AI22" s="92"/>
      <c r="AJ22" s="49"/>
      <c r="AK22" s="49"/>
      <c r="AL22" s="49"/>
    </row>
    <row r="23" spans="1:38" ht="12.75" x14ac:dyDescent="0.2">
      <c r="A23" s="87" t="s">
        <v>200</v>
      </c>
      <c r="B23" s="38">
        <v>104</v>
      </c>
      <c r="C23" s="38">
        <v>47</v>
      </c>
      <c r="D23" s="38">
        <v>27</v>
      </c>
      <c r="E23" s="38">
        <v>10</v>
      </c>
      <c r="F23" s="38">
        <v>10</v>
      </c>
      <c r="G23" s="49">
        <v>1</v>
      </c>
      <c r="H23" s="85">
        <v>2</v>
      </c>
      <c r="I23" s="85"/>
      <c r="J23" s="85"/>
      <c r="K23" s="86"/>
      <c r="L23" s="87" t="s">
        <v>200</v>
      </c>
      <c r="M23" s="38">
        <v>11</v>
      </c>
      <c r="N23" s="38">
        <v>51</v>
      </c>
      <c r="O23" s="38">
        <v>32</v>
      </c>
      <c r="P23" s="38">
        <v>23</v>
      </c>
      <c r="Q23" s="38">
        <v>11</v>
      </c>
      <c r="R23" s="38">
        <v>4</v>
      </c>
      <c r="S23" s="38">
        <v>5</v>
      </c>
      <c r="T23" s="49">
        <v>6</v>
      </c>
      <c r="U23" s="49">
        <v>6</v>
      </c>
      <c r="V23" s="85">
        <v>2</v>
      </c>
      <c r="W23" s="129"/>
      <c r="X23" s="85"/>
      <c r="Y23" s="85"/>
      <c r="Z23" s="49"/>
      <c r="AA23" s="94"/>
      <c r="AB23" s="95"/>
      <c r="AC23" s="85"/>
      <c r="AD23" s="85"/>
      <c r="AE23" s="85"/>
      <c r="AF23" s="85"/>
      <c r="AG23" s="85"/>
      <c r="AH23" s="49"/>
      <c r="AI23" s="92"/>
      <c r="AJ23" s="49"/>
      <c r="AK23" s="49"/>
      <c r="AL23" s="49"/>
    </row>
    <row r="24" spans="1:38" ht="12.75" x14ac:dyDescent="0.2">
      <c r="A24" s="87" t="s">
        <v>141</v>
      </c>
      <c r="B24" s="70">
        <f t="shared" ref="B24:H24" si="8">B23*B22</f>
        <v>5.2</v>
      </c>
      <c r="C24" s="70">
        <f t="shared" si="8"/>
        <v>4.7</v>
      </c>
      <c r="D24" s="70">
        <f t="shared" si="8"/>
        <v>5.4</v>
      </c>
      <c r="E24" s="70">
        <f t="shared" si="8"/>
        <v>5</v>
      </c>
      <c r="F24" s="70">
        <f t="shared" si="8"/>
        <v>10</v>
      </c>
      <c r="G24" s="70">
        <f t="shared" si="8"/>
        <v>2</v>
      </c>
      <c r="H24" s="70">
        <f t="shared" si="8"/>
        <v>10</v>
      </c>
      <c r="I24" s="70">
        <f>J23*I22</f>
        <v>0</v>
      </c>
      <c r="J24" s="70">
        <f>SUM(B24:I24)</f>
        <v>42.3</v>
      </c>
      <c r="K24" s="86"/>
      <c r="L24" s="87" t="s">
        <v>141</v>
      </c>
      <c r="M24" s="70">
        <f t="shared" ref="M24:V24" si="9">M23*M22</f>
        <v>0.55000000000000004</v>
      </c>
      <c r="N24" s="70">
        <f t="shared" si="9"/>
        <v>5.1000000000000005</v>
      </c>
      <c r="O24" s="70">
        <f t="shared" si="9"/>
        <v>6.4</v>
      </c>
      <c r="P24" s="70">
        <f t="shared" si="9"/>
        <v>11.5</v>
      </c>
      <c r="Q24" s="70">
        <f t="shared" si="9"/>
        <v>11</v>
      </c>
      <c r="R24" s="70">
        <f t="shared" si="9"/>
        <v>8</v>
      </c>
      <c r="S24" s="70">
        <f t="shared" si="9"/>
        <v>25</v>
      </c>
      <c r="T24" s="70">
        <f t="shared" si="9"/>
        <v>60</v>
      </c>
      <c r="U24" s="70">
        <f t="shared" si="9"/>
        <v>120</v>
      </c>
      <c r="V24" s="70">
        <f t="shared" si="9"/>
        <v>100</v>
      </c>
      <c r="W24" s="130"/>
      <c r="X24" s="70">
        <f>SUM(M24:V24)</f>
        <v>347.55</v>
      </c>
      <c r="Y24" s="96">
        <f>X24-J24</f>
        <v>305.25</v>
      </c>
      <c r="Z24" s="94">
        <v>136</v>
      </c>
      <c r="AA24" s="94">
        <v>13.6</v>
      </c>
      <c r="AB24" s="97">
        <f>Y24+AA24</f>
        <v>318.85000000000002</v>
      </c>
      <c r="AC24" s="85">
        <v>80</v>
      </c>
      <c r="AD24" s="96">
        <f>Z24-AC24</f>
        <v>56</v>
      </c>
      <c r="AE24" s="96">
        <f>Y24-Z24</f>
        <v>169.25</v>
      </c>
      <c r="AF24" s="85">
        <v>20</v>
      </c>
      <c r="AG24" s="96">
        <f>AE24-AF24</f>
        <v>149.25</v>
      </c>
      <c r="AH24" s="49"/>
      <c r="AI24" s="98">
        <f>(SUM(Z24:AA24)/(1+10/100))*(10/100)</f>
        <v>13.599999999999998</v>
      </c>
      <c r="AJ24" s="49"/>
      <c r="AK24" s="49"/>
      <c r="AL24" s="49"/>
    </row>
    <row r="26" spans="1:38" ht="38.25" x14ac:dyDescent="0.2">
      <c r="A26" s="83" t="s">
        <v>135</v>
      </c>
      <c r="B26" s="84">
        <v>45906</v>
      </c>
      <c r="C26" s="85"/>
      <c r="D26" s="85"/>
      <c r="E26" s="85"/>
      <c r="F26" s="85"/>
      <c r="G26" s="85"/>
      <c r="H26" s="85"/>
      <c r="I26" s="85"/>
      <c r="J26" s="85"/>
      <c r="K26" s="86"/>
      <c r="L26" s="83" t="s">
        <v>136</v>
      </c>
      <c r="M26" s="84">
        <v>45906</v>
      </c>
      <c r="N26" s="85"/>
      <c r="O26" s="85"/>
      <c r="P26" s="85"/>
      <c r="Q26" s="85"/>
      <c r="R26" s="85"/>
      <c r="S26" s="85"/>
      <c r="T26" s="85"/>
      <c r="U26" s="85"/>
      <c r="V26" s="85"/>
      <c r="W26" s="88" t="s">
        <v>333</v>
      </c>
      <c r="X26" s="87" t="s">
        <v>141</v>
      </c>
      <c r="Y26" s="88" t="s">
        <v>192</v>
      </c>
      <c r="Z26" s="89" t="s">
        <v>142</v>
      </c>
      <c r="AA26" s="90" t="s">
        <v>193</v>
      </c>
      <c r="AB26" s="91" t="s">
        <v>194</v>
      </c>
      <c r="AC26" s="88" t="s">
        <v>312</v>
      </c>
      <c r="AD26" s="87" t="s">
        <v>195</v>
      </c>
      <c r="AE26" s="87" t="s">
        <v>196</v>
      </c>
      <c r="AF26" s="88" t="s">
        <v>313</v>
      </c>
      <c r="AG26" s="87" t="s">
        <v>198</v>
      </c>
      <c r="AH26" s="49"/>
      <c r="AI26" s="92"/>
      <c r="AJ26" s="49"/>
      <c r="AK26" s="49"/>
      <c r="AL26" s="49"/>
    </row>
    <row r="27" spans="1:38" ht="12.75" x14ac:dyDescent="0.2">
      <c r="A27" s="87" t="s">
        <v>199</v>
      </c>
      <c r="B27" s="93">
        <v>0.05</v>
      </c>
      <c r="C27" s="93">
        <v>0.1</v>
      </c>
      <c r="D27" s="93">
        <v>0.2</v>
      </c>
      <c r="E27" s="93">
        <v>0.5</v>
      </c>
      <c r="F27" s="93">
        <v>1</v>
      </c>
      <c r="G27" s="93">
        <v>2</v>
      </c>
      <c r="H27" s="93">
        <v>5</v>
      </c>
      <c r="I27" s="93">
        <v>10</v>
      </c>
      <c r="J27" s="49"/>
      <c r="K27" s="86"/>
      <c r="L27" s="87" t="s">
        <v>199</v>
      </c>
      <c r="M27" s="93">
        <v>0.05</v>
      </c>
      <c r="N27" s="93">
        <v>0.1</v>
      </c>
      <c r="O27" s="93">
        <v>0.2</v>
      </c>
      <c r="P27" s="93">
        <v>0.5</v>
      </c>
      <c r="Q27" s="93">
        <v>1</v>
      </c>
      <c r="R27" s="93">
        <v>2</v>
      </c>
      <c r="S27" s="93">
        <v>5</v>
      </c>
      <c r="T27" s="93">
        <v>10</v>
      </c>
      <c r="U27" s="93">
        <v>20</v>
      </c>
      <c r="V27" s="93">
        <v>50</v>
      </c>
      <c r="W27" s="129"/>
      <c r="X27" s="85"/>
      <c r="Y27" s="85"/>
      <c r="Z27" s="49"/>
      <c r="AA27" s="94"/>
      <c r="AB27" s="95"/>
      <c r="AC27" s="85"/>
      <c r="AD27" s="85"/>
      <c r="AE27" s="85"/>
      <c r="AF27" s="85"/>
      <c r="AG27" s="85"/>
      <c r="AH27" s="49"/>
      <c r="AI27" s="92"/>
      <c r="AJ27" s="49"/>
      <c r="AK27" s="49"/>
      <c r="AL27" s="49"/>
    </row>
    <row r="28" spans="1:38" ht="12.75" x14ac:dyDescent="0.2">
      <c r="A28" s="87" t="s">
        <v>200</v>
      </c>
      <c r="B28" s="38">
        <v>11</v>
      </c>
      <c r="C28" s="38">
        <v>51</v>
      </c>
      <c r="D28" s="38">
        <v>32</v>
      </c>
      <c r="E28" s="38">
        <v>10</v>
      </c>
      <c r="F28" s="38">
        <v>10</v>
      </c>
      <c r="G28" s="38">
        <v>4</v>
      </c>
      <c r="H28" s="85">
        <v>1</v>
      </c>
      <c r="I28" s="85"/>
      <c r="J28" s="85"/>
      <c r="K28" s="86"/>
      <c r="L28" s="87" t="s">
        <v>200</v>
      </c>
      <c r="M28" s="38">
        <v>25</v>
      </c>
      <c r="N28" s="38">
        <v>61</v>
      </c>
      <c r="O28" s="38">
        <v>37</v>
      </c>
      <c r="P28" s="38">
        <v>13</v>
      </c>
      <c r="Q28" s="38">
        <v>23</v>
      </c>
      <c r="R28" s="38">
        <v>11</v>
      </c>
      <c r="S28" s="38">
        <v>2</v>
      </c>
      <c r="T28" s="49">
        <v>3</v>
      </c>
      <c r="U28" s="49">
        <v>3</v>
      </c>
      <c r="V28" s="85">
        <v>2</v>
      </c>
      <c r="W28" s="129"/>
      <c r="X28" s="85"/>
      <c r="Y28" s="85"/>
      <c r="Z28" s="49"/>
      <c r="AA28" s="94"/>
      <c r="AB28" s="95"/>
      <c r="AC28" s="85"/>
      <c r="AD28" s="85"/>
      <c r="AE28" s="85"/>
      <c r="AF28" s="85"/>
      <c r="AG28" s="85"/>
      <c r="AH28" s="49"/>
      <c r="AI28" s="92"/>
      <c r="AJ28" s="49"/>
      <c r="AK28" s="49"/>
      <c r="AL28" s="49"/>
    </row>
    <row r="29" spans="1:38" ht="12.75" x14ac:dyDescent="0.2">
      <c r="A29" s="87" t="s">
        <v>141</v>
      </c>
      <c r="B29" s="70">
        <f t="shared" ref="B29:H29" si="10">B28*B27</f>
        <v>0.55000000000000004</v>
      </c>
      <c r="C29" s="70">
        <f t="shared" si="10"/>
        <v>5.1000000000000005</v>
      </c>
      <c r="D29" s="70">
        <f t="shared" si="10"/>
        <v>6.4</v>
      </c>
      <c r="E29" s="70">
        <f t="shared" si="10"/>
        <v>5</v>
      </c>
      <c r="F29" s="70">
        <f t="shared" si="10"/>
        <v>10</v>
      </c>
      <c r="G29" s="70">
        <f t="shared" si="10"/>
        <v>8</v>
      </c>
      <c r="H29" s="70">
        <f t="shared" si="10"/>
        <v>5</v>
      </c>
      <c r="I29" s="70">
        <f>J28*I27</f>
        <v>0</v>
      </c>
      <c r="J29" s="70">
        <f>SUM(B29:I29)</f>
        <v>40.049999999999997</v>
      </c>
      <c r="K29" s="86"/>
      <c r="L29" s="87" t="s">
        <v>141</v>
      </c>
      <c r="M29" s="70">
        <f t="shared" ref="M29:V29" si="11">M28*M27</f>
        <v>1.25</v>
      </c>
      <c r="N29" s="70">
        <f t="shared" si="11"/>
        <v>6.1000000000000005</v>
      </c>
      <c r="O29" s="70">
        <f t="shared" si="11"/>
        <v>7.4</v>
      </c>
      <c r="P29" s="70">
        <f t="shared" si="11"/>
        <v>6.5</v>
      </c>
      <c r="Q29" s="70">
        <f t="shared" si="11"/>
        <v>23</v>
      </c>
      <c r="R29" s="70">
        <f t="shared" si="11"/>
        <v>22</v>
      </c>
      <c r="S29" s="70">
        <f t="shared" si="11"/>
        <v>10</v>
      </c>
      <c r="T29" s="70">
        <f t="shared" si="11"/>
        <v>30</v>
      </c>
      <c r="U29" s="70">
        <f t="shared" si="11"/>
        <v>60</v>
      </c>
      <c r="V29" s="70">
        <f t="shared" si="11"/>
        <v>100</v>
      </c>
      <c r="W29" s="130"/>
      <c r="X29" s="70">
        <f>SUM(M29:V29)</f>
        <v>266.25</v>
      </c>
      <c r="Y29" s="96">
        <f>X29-J29</f>
        <v>226.2</v>
      </c>
      <c r="Z29" s="94">
        <v>127.7</v>
      </c>
      <c r="AA29" s="94">
        <v>34</v>
      </c>
      <c r="AB29" s="97">
        <f>Y29+AA29</f>
        <v>260.2</v>
      </c>
      <c r="AC29" s="85">
        <v>50</v>
      </c>
      <c r="AD29" s="96">
        <f>Z29-AC29</f>
        <v>77.7</v>
      </c>
      <c r="AE29" s="96">
        <f>Y29-Z29</f>
        <v>98.499999999999986</v>
      </c>
      <c r="AF29" s="85"/>
      <c r="AG29" s="96">
        <f>AE29-AF29</f>
        <v>98.499999999999986</v>
      </c>
      <c r="AH29" s="49"/>
      <c r="AI29" s="98">
        <f>(SUM(Z29:AA29)/(1+10/100))*(10/100)</f>
        <v>14.699999999999998</v>
      </c>
      <c r="AJ29" s="49"/>
      <c r="AK29" s="49"/>
      <c r="AL29" s="49"/>
    </row>
    <row r="31" spans="1:38" ht="38.25" x14ac:dyDescent="0.2">
      <c r="A31" s="83" t="s">
        <v>135</v>
      </c>
      <c r="B31" s="84">
        <v>45908</v>
      </c>
      <c r="C31" s="85"/>
      <c r="D31" s="85"/>
      <c r="E31" s="85"/>
      <c r="F31" s="85"/>
      <c r="G31" s="85"/>
      <c r="H31" s="85"/>
      <c r="I31" s="85"/>
      <c r="J31" s="85"/>
      <c r="K31" s="86"/>
      <c r="L31" s="83" t="s">
        <v>136</v>
      </c>
      <c r="M31" s="84">
        <v>45908</v>
      </c>
      <c r="N31" s="85"/>
      <c r="O31" s="85"/>
      <c r="P31" s="85"/>
      <c r="Q31" s="85"/>
      <c r="R31" s="85"/>
      <c r="S31" s="85"/>
      <c r="T31" s="85"/>
      <c r="U31" s="85"/>
      <c r="V31" s="85"/>
      <c r="W31" s="88" t="s">
        <v>333</v>
      </c>
      <c r="X31" s="87" t="s">
        <v>141</v>
      </c>
      <c r="Y31" s="88" t="s">
        <v>192</v>
      </c>
      <c r="Z31" s="89" t="s">
        <v>142</v>
      </c>
      <c r="AA31" s="90" t="s">
        <v>193</v>
      </c>
      <c r="AB31" s="91" t="s">
        <v>194</v>
      </c>
      <c r="AC31" s="88" t="s">
        <v>312</v>
      </c>
      <c r="AD31" s="87" t="s">
        <v>195</v>
      </c>
      <c r="AE31" s="87" t="s">
        <v>196</v>
      </c>
      <c r="AF31" s="88" t="s">
        <v>313</v>
      </c>
      <c r="AG31" s="87" t="s">
        <v>198</v>
      </c>
      <c r="AH31" s="49"/>
      <c r="AI31" s="92"/>
      <c r="AJ31" s="49"/>
      <c r="AK31" s="49"/>
      <c r="AL31" s="49"/>
    </row>
    <row r="32" spans="1:38" ht="12.75" x14ac:dyDescent="0.2">
      <c r="A32" s="87" t="s">
        <v>199</v>
      </c>
      <c r="B32" s="93">
        <v>0.05</v>
      </c>
      <c r="C32" s="93">
        <v>0.1</v>
      </c>
      <c r="D32" s="93">
        <v>0.2</v>
      </c>
      <c r="E32" s="93">
        <v>0.5</v>
      </c>
      <c r="F32" s="93">
        <v>1</v>
      </c>
      <c r="G32" s="93">
        <v>2</v>
      </c>
      <c r="H32" s="93">
        <v>5</v>
      </c>
      <c r="I32" s="93">
        <v>10</v>
      </c>
      <c r="J32" s="49"/>
      <c r="K32" s="86"/>
      <c r="L32" s="87" t="s">
        <v>199</v>
      </c>
      <c r="M32" s="93">
        <v>0.05</v>
      </c>
      <c r="N32" s="93">
        <v>0.1</v>
      </c>
      <c r="O32" s="93">
        <v>0.2</v>
      </c>
      <c r="P32" s="93">
        <v>0.5</v>
      </c>
      <c r="Q32" s="93">
        <v>1</v>
      </c>
      <c r="R32" s="93">
        <v>2</v>
      </c>
      <c r="S32" s="93">
        <v>5</v>
      </c>
      <c r="T32" s="93">
        <v>10</v>
      </c>
      <c r="U32" s="93">
        <v>20</v>
      </c>
      <c r="V32" s="93">
        <v>50</v>
      </c>
      <c r="W32" s="129"/>
      <c r="X32" s="85"/>
      <c r="Y32" s="85"/>
      <c r="Z32" s="49"/>
      <c r="AA32" s="94"/>
      <c r="AB32" s="95"/>
      <c r="AC32" s="85"/>
      <c r="AD32" s="85"/>
      <c r="AE32" s="85"/>
      <c r="AF32" s="85"/>
      <c r="AG32" s="85"/>
      <c r="AH32" s="49"/>
      <c r="AI32" s="92"/>
      <c r="AJ32" s="49"/>
      <c r="AK32" s="49"/>
      <c r="AL32" s="49"/>
    </row>
    <row r="33" spans="1:38" ht="12.75" x14ac:dyDescent="0.2">
      <c r="A33" s="87" t="s">
        <v>200</v>
      </c>
      <c r="B33" s="38">
        <v>25</v>
      </c>
      <c r="C33" s="38">
        <v>61</v>
      </c>
      <c r="D33" s="38">
        <v>37</v>
      </c>
      <c r="E33" s="38">
        <v>9</v>
      </c>
      <c r="F33" s="38">
        <v>10</v>
      </c>
      <c r="G33" s="49">
        <v>5</v>
      </c>
      <c r="H33" s="85">
        <v>1</v>
      </c>
      <c r="I33" s="85"/>
      <c r="J33" s="85"/>
      <c r="K33" s="86"/>
      <c r="L33" s="87" t="s">
        <v>200</v>
      </c>
      <c r="M33" s="38">
        <v>25</v>
      </c>
      <c r="N33" s="38">
        <v>61</v>
      </c>
      <c r="O33" s="38">
        <v>41</v>
      </c>
      <c r="P33" s="38">
        <v>11</v>
      </c>
      <c r="Q33" s="38">
        <v>14</v>
      </c>
      <c r="R33" s="38">
        <v>8</v>
      </c>
      <c r="S33" s="38">
        <v>8</v>
      </c>
      <c r="T33" s="49">
        <v>2</v>
      </c>
      <c r="U33" s="49">
        <v>5</v>
      </c>
      <c r="V33" s="85">
        <v>1</v>
      </c>
      <c r="W33" s="129"/>
      <c r="X33" s="85"/>
      <c r="Y33" s="85"/>
      <c r="Z33" s="49"/>
      <c r="AA33" s="94"/>
      <c r="AB33" s="95"/>
      <c r="AC33" s="85"/>
      <c r="AD33" s="85"/>
      <c r="AE33" s="85"/>
      <c r="AF33" s="85"/>
      <c r="AG33" s="85"/>
      <c r="AH33" s="49"/>
      <c r="AI33" s="92"/>
      <c r="AJ33" s="49"/>
      <c r="AK33" s="49"/>
      <c r="AL33" s="49"/>
    </row>
    <row r="34" spans="1:38" ht="12.75" x14ac:dyDescent="0.2">
      <c r="A34" s="87" t="s">
        <v>141</v>
      </c>
      <c r="B34" s="70">
        <f t="shared" ref="B34:H34" si="12">B33*B32</f>
        <v>1.25</v>
      </c>
      <c r="C34" s="70">
        <f t="shared" si="12"/>
        <v>6.1000000000000005</v>
      </c>
      <c r="D34" s="70">
        <f t="shared" si="12"/>
        <v>7.4</v>
      </c>
      <c r="E34" s="70">
        <f t="shared" si="12"/>
        <v>4.5</v>
      </c>
      <c r="F34" s="70">
        <f t="shared" si="12"/>
        <v>10</v>
      </c>
      <c r="G34" s="70">
        <f t="shared" si="12"/>
        <v>10</v>
      </c>
      <c r="H34" s="70">
        <f t="shared" si="12"/>
        <v>5</v>
      </c>
      <c r="I34" s="70">
        <f>J33*I32</f>
        <v>0</v>
      </c>
      <c r="J34" s="70">
        <f>SUM(B34:I34)</f>
        <v>44.25</v>
      </c>
      <c r="K34" s="86"/>
      <c r="L34" s="87" t="s">
        <v>141</v>
      </c>
      <c r="M34" s="70">
        <f t="shared" ref="M34:V34" si="13">M33*M32</f>
        <v>1.25</v>
      </c>
      <c r="N34" s="70">
        <f t="shared" si="13"/>
        <v>6.1000000000000005</v>
      </c>
      <c r="O34" s="70">
        <f t="shared" si="13"/>
        <v>8.2000000000000011</v>
      </c>
      <c r="P34" s="70">
        <f t="shared" si="13"/>
        <v>5.5</v>
      </c>
      <c r="Q34" s="70">
        <f t="shared" si="13"/>
        <v>14</v>
      </c>
      <c r="R34" s="70">
        <f t="shared" si="13"/>
        <v>16</v>
      </c>
      <c r="S34" s="70">
        <f t="shared" si="13"/>
        <v>40</v>
      </c>
      <c r="T34" s="70">
        <f t="shared" si="13"/>
        <v>20</v>
      </c>
      <c r="U34" s="70">
        <f t="shared" si="13"/>
        <v>100</v>
      </c>
      <c r="V34" s="70">
        <f t="shared" si="13"/>
        <v>50</v>
      </c>
      <c r="W34" s="130"/>
      <c r="X34" s="70">
        <f>SUM(M34:V34)</f>
        <v>261.05</v>
      </c>
      <c r="Y34" s="96">
        <f>X34-J34</f>
        <v>216.8</v>
      </c>
      <c r="Z34" s="94">
        <v>110.3</v>
      </c>
      <c r="AA34" s="94">
        <v>37.700000000000003</v>
      </c>
      <c r="AB34" s="97">
        <f>Y34+AA34</f>
        <v>254.5</v>
      </c>
      <c r="AC34" s="85">
        <v>80</v>
      </c>
      <c r="AD34" s="96">
        <f>Z34-AC34</f>
        <v>30.299999999999997</v>
      </c>
      <c r="AE34" s="96">
        <f>Y34-Z34</f>
        <v>106.50000000000001</v>
      </c>
      <c r="AF34" s="85"/>
      <c r="AG34" s="96">
        <f>AE34-AF34</f>
        <v>106.50000000000001</v>
      </c>
      <c r="AH34" s="49"/>
      <c r="AI34" s="98">
        <f>(SUM(Z34:AA34)/(1+10/100))*(10/100)</f>
        <v>13.454545454545453</v>
      </c>
      <c r="AJ34" s="49"/>
      <c r="AK34" s="49"/>
      <c r="AL34" s="49"/>
    </row>
    <row r="36" spans="1:38" ht="38.25" x14ac:dyDescent="0.2">
      <c r="A36" s="83" t="s">
        <v>135</v>
      </c>
      <c r="B36" s="84">
        <v>45909</v>
      </c>
      <c r="C36" s="85"/>
      <c r="D36" s="85"/>
      <c r="E36" s="85"/>
      <c r="F36" s="85"/>
      <c r="G36" s="85"/>
      <c r="H36" s="85"/>
      <c r="I36" s="85"/>
      <c r="J36" s="85"/>
      <c r="K36" s="86"/>
      <c r="L36" s="83" t="s">
        <v>136</v>
      </c>
      <c r="M36" s="84">
        <v>45909</v>
      </c>
      <c r="N36" s="85"/>
      <c r="O36" s="85"/>
      <c r="P36" s="85"/>
      <c r="Q36" s="85"/>
      <c r="R36" s="85"/>
      <c r="S36" s="85"/>
      <c r="T36" s="85"/>
      <c r="U36" s="85"/>
      <c r="V36" s="85"/>
      <c r="W36" s="88" t="s">
        <v>333</v>
      </c>
      <c r="X36" s="87" t="s">
        <v>141</v>
      </c>
      <c r="Y36" s="88" t="s">
        <v>192</v>
      </c>
      <c r="Z36" s="89" t="s">
        <v>142</v>
      </c>
      <c r="AA36" s="90" t="s">
        <v>193</v>
      </c>
      <c r="AB36" s="91" t="s">
        <v>194</v>
      </c>
      <c r="AC36" s="88" t="s">
        <v>312</v>
      </c>
      <c r="AD36" s="87" t="s">
        <v>195</v>
      </c>
      <c r="AE36" s="87" t="s">
        <v>196</v>
      </c>
      <c r="AF36" s="88" t="s">
        <v>313</v>
      </c>
      <c r="AG36" s="87" t="s">
        <v>198</v>
      </c>
      <c r="AH36" s="49"/>
      <c r="AI36" s="92"/>
      <c r="AJ36" s="49"/>
      <c r="AK36" s="49"/>
      <c r="AL36" s="49"/>
    </row>
    <row r="37" spans="1:38" ht="12.75" x14ac:dyDescent="0.2">
      <c r="A37" s="87" t="s">
        <v>199</v>
      </c>
      <c r="B37" s="93">
        <v>0.05</v>
      </c>
      <c r="C37" s="93">
        <v>0.1</v>
      </c>
      <c r="D37" s="93">
        <v>0.2</v>
      </c>
      <c r="E37" s="93">
        <v>0.5</v>
      </c>
      <c r="F37" s="93">
        <v>1</v>
      </c>
      <c r="G37" s="93">
        <v>2</v>
      </c>
      <c r="H37" s="93">
        <v>5</v>
      </c>
      <c r="I37" s="93">
        <v>10</v>
      </c>
      <c r="J37" s="49"/>
      <c r="K37" s="86"/>
      <c r="L37" s="87" t="s">
        <v>199</v>
      </c>
      <c r="M37" s="93">
        <v>0.05</v>
      </c>
      <c r="N37" s="93">
        <v>0.1</v>
      </c>
      <c r="O37" s="93">
        <v>0.2</v>
      </c>
      <c r="P37" s="93">
        <v>0.5</v>
      </c>
      <c r="Q37" s="93">
        <v>1</v>
      </c>
      <c r="R37" s="93">
        <v>2</v>
      </c>
      <c r="S37" s="93">
        <v>5</v>
      </c>
      <c r="T37" s="93">
        <v>10</v>
      </c>
      <c r="U37" s="93">
        <v>20</v>
      </c>
      <c r="V37" s="93">
        <v>50</v>
      </c>
      <c r="W37" s="129"/>
      <c r="X37" s="85"/>
      <c r="Y37" s="85"/>
      <c r="Z37" s="49"/>
      <c r="AA37" s="94"/>
      <c r="AB37" s="95"/>
      <c r="AC37" s="85"/>
      <c r="AD37" s="85"/>
      <c r="AE37" s="85"/>
      <c r="AF37" s="85"/>
      <c r="AG37" s="85"/>
      <c r="AH37" s="49"/>
      <c r="AI37" s="92"/>
      <c r="AJ37" s="49"/>
      <c r="AK37" s="49"/>
      <c r="AL37" s="49"/>
    </row>
    <row r="38" spans="1:38" ht="12.75" x14ac:dyDescent="0.2">
      <c r="A38" s="87" t="s">
        <v>200</v>
      </c>
      <c r="B38" s="38">
        <v>25</v>
      </c>
      <c r="C38" s="38">
        <v>51</v>
      </c>
      <c r="D38" s="38">
        <v>21</v>
      </c>
      <c r="E38" s="38">
        <v>11</v>
      </c>
      <c r="F38" s="38">
        <v>10</v>
      </c>
      <c r="G38" s="38">
        <v>4</v>
      </c>
      <c r="H38" s="38">
        <v>2</v>
      </c>
      <c r="I38" s="85"/>
      <c r="J38" s="85"/>
      <c r="K38" s="86"/>
      <c r="L38" s="87" t="s">
        <v>200</v>
      </c>
      <c r="M38" s="38">
        <v>25</v>
      </c>
      <c r="N38" s="38">
        <v>52</v>
      </c>
      <c r="O38" s="38">
        <v>22</v>
      </c>
      <c r="P38" s="38">
        <v>23</v>
      </c>
      <c r="Q38" s="38">
        <v>15</v>
      </c>
      <c r="R38" s="38">
        <v>9</v>
      </c>
      <c r="S38" s="38">
        <v>8</v>
      </c>
      <c r="T38" s="49">
        <v>10</v>
      </c>
      <c r="U38" s="49">
        <v>5</v>
      </c>
      <c r="V38" s="85">
        <v>1</v>
      </c>
      <c r="W38" s="129"/>
      <c r="X38" s="85"/>
      <c r="Y38" s="85"/>
      <c r="Z38" s="49"/>
      <c r="AA38" s="94"/>
      <c r="AB38" s="95"/>
      <c r="AC38" s="85"/>
      <c r="AD38" s="85"/>
      <c r="AE38" s="85"/>
      <c r="AF38" s="85"/>
      <c r="AG38" s="85"/>
      <c r="AH38" s="49"/>
      <c r="AI38" s="92"/>
      <c r="AJ38" s="49"/>
      <c r="AK38" s="49"/>
      <c r="AL38" s="49"/>
    </row>
    <row r="39" spans="1:38" ht="12.75" x14ac:dyDescent="0.2">
      <c r="A39" s="87" t="s">
        <v>141</v>
      </c>
      <c r="B39" s="70">
        <f t="shared" ref="B39:H39" si="14">B38*B37</f>
        <v>1.25</v>
      </c>
      <c r="C39" s="70">
        <f t="shared" si="14"/>
        <v>5.1000000000000005</v>
      </c>
      <c r="D39" s="70">
        <f t="shared" si="14"/>
        <v>4.2</v>
      </c>
      <c r="E39" s="70">
        <f t="shared" si="14"/>
        <v>5.5</v>
      </c>
      <c r="F39" s="70">
        <f t="shared" si="14"/>
        <v>10</v>
      </c>
      <c r="G39" s="70">
        <f t="shared" si="14"/>
        <v>8</v>
      </c>
      <c r="H39" s="70">
        <f t="shared" si="14"/>
        <v>10</v>
      </c>
      <c r="I39" s="70">
        <f>J38*I37</f>
        <v>0</v>
      </c>
      <c r="J39" s="70">
        <f>SUM(B39:I39)</f>
        <v>44.05</v>
      </c>
      <c r="K39" s="86"/>
      <c r="L39" s="87" t="s">
        <v>141</v>
      </c>
      <c r="M39" s="70">
        <f t="shared" ref="M39:V39" si="15">M38*M37</f>
        <v>1.25</v>
      </c>
      <c r="N39" s="70">
        <f t="shared" si="15"/>
        <v>5.2</v>
      </c>
      <c r="O39" s="70">
        <f t="shared" si="15"/>
        <v>4.4000000000000004</v>
      </c>
      <c r="P39" s="70">
        <f t="shared" si="15"/>
        <v>11.5</v>
      </c>
      <c r="Q39" s="70">
        <f t="shared" si="15"/>
        <v>15</v>
      </c>
      <c r="R39" s="70">
        <f t="shared" si="15"/>
        <v>18</v>
      </c>
      <c r="S39" s="70">
        <f t="shared" si="15"/>
        <v>40</v>
      </c>
      <c r="T39" s="70">
        <f t="shared" si="15"/>
        <v>100</v>
      </c>
      <c r="U39" s="70">
        <f t="shared" si="15"/>
        <v>100</v>
      </c>
      <c r="V39" s="70">
        <f t="shared" si="15"/>
        <v>50</v>
      </c>
      <c r="W39" s="130"/>
      <c r="X39" s="70">
        <f>SUM(M39:V39)</f>
        <v>345.35</v>
      </c>
      <c r="Y39" s="96">
        <f>X39-J39</f>
        <v>301.3</v>
      </c>
      <c r="Z39" s="94">
        <v>124.6</v>
      </c>
      <c r="AA39" s="94">
        <v>45.3</v>
      </c>
      <c r="AB39" s="97">
        <f>Y39+AA39</f>
        <v>346.6</v>
      </c>
      <c r="AC39" s="85">
        <v>50</v>
      </c>
      <c r="AD39" s="96">
        <f>Z39-AC39</f>
        <v>74.599999999999994</v>
      </c>
      <c r="AE39" s="96">
        <f>Y39-Z39</f>
        <v>176.70000000000002</v>
      </c>
      <c r="AF39" s="85"/>
      <c r="AG39" s="96">
        <f>AE39-AF39</f>
        <v>176.70000000000002</v>
      </c>
      <c r="AH39" s="49"/>
      <c r="AI39" s="98">
        <f>(SUM(Z39:AA39)/(1+10/100))*(10/100)</f>
        <v>15.445454545454542</v>
      </c>
      <c r="AJ39" s="49"/>
      <c r="AK39" s="49"/>
      <c r="AL39" s="49"/>
    </row>
    <row r="41" spans="1:38" ht="38.25" x14ac:dyDescent="0.2">
      <c r="A41" s="83" t="s">
        <v>135</v>
      </c>
      <c r="B41" s="84">
        <v>45910</v>
      </c>
      <c r="C41" s="85"/>
      <c r="D41" s="85"/>
      <c r="E41" s="85"/>
      <c r="F41" s="85"/>
      <c r="G41" s="85"/>
      <c r="H41" s="85"/>
      <c r="I41" s="85"/>
      <c r="J41" s="85"/>
      <c r="K41" s="86"/>
      <c r="L41" s="83" t="s">
        <v>136</v>
      </c>
      <c r="M41" s="84">
        <v>45910</v>
      </c>
      <c r="N41" s="85"/>
      <c r="O41" s="85"/>
      <c r="P41" s="85"/>
      <c r="Q41" s="85"/>
      <c r="R41" s="85"/>
      <c r="S41" s="85"/>
      <c r="T41" s="85"/>
      <c r="U41" s="85"/>
      <c r="V41" s="85"/>
      <c r="W41" s="88" t="s">
        <v>333</v>
      </c>
      <c r="X41" s="87" t="s">
        <v>141</v>
      </c>
      <c r="Y41" s="88" t="s">
        <v>192</v>
      </c>
      <c r="Z41" s="89" t="s">
        <v>142</v>
      </c>
      <c r="AA41" s="90" t="s">
        <v>193</v>
      </c>
      <c r="AB41" s="91" t="s">
        <v>194</v>
      </c>
      <c r="AC41" s="88" t="s">
        <v>312</v>
      </c>
      <c r="AD41" s="87" t="s">
        <v>195</v>
      </c>
      <c r="AE41" s="87" t="s">
        <v>196</v>
      </c>
      <c r="AF41" s="88" t="s">
        <v>313</v>
      </c>
      <c r="AG41" s="87" t="s">
        <v>198</v>
      </c>
      <c r="AH41" s="49"/>
      <c r="AI41" s="92"/>
      <c r="AJ41" s="49"/>
      <c r="AK41" s="49"/>
      <c r="AL41" s="49"/>
    </row>
    <row r="42" spans="1:38" ht="12.75" x14ac:dyDescent="0.2">
      <c r="A42" s="87" t="s">
        <v>199</v>
      </c>
      <c r="B42" s="93">
        <v>0.05</v>
      </c>
      <c r="C42" s="93">
        <v>0.1</v>
      </c>
      <c r="D42" s="93">
        <v>0.2</v>
      </c>
      <c r="E42" s="93">
        <v>0.5</v>
      </c>
      <c r="F42" s="93">
        <v>1</v>
      </c>
      <c r="G42" s="93">
        <v>2</v>
      </c>
      <c r="H42" s="93">
        <v>5</v>
      </c>
      <c r="I42" s="93">
        <v>10</v>
      </c>
      <c r="J42" s="49"/>
      <c r="K42" s="86"/>
      <c r="L42" s="87" t="s">
        <v>199</v>
      </c>
      <c r="M42" s="93">
        <v>0.05</v>
      </c>
      <c r="N42" s="93">
        <v>0.1</v>
      </c>
      <c r="O42" s="93">
        <v>0.2</v>
      </c>
      <c r="P42" s="93">
        <v>0.5</v>
      </c>
      <c r="Q42" s="93">
        <v>1</v>
      </c>
      <c r="R42" s="93">
        <v>2</v>
      </c>
      <c r="S42" s="93">
        <v>5</v>
      </c>
      <c r="T42" s="93">
        <v>10</v>
      </c>
      <c r="U42" s="93">
        <v>20</v>
      </c>
      <c r="V42" s="93">
        <v>50</v>
      </c>
      <c r="W42" s="129"/>
      <c r="X42" s="85"/>
      <c r="Y42" s="85"/>
      <c r="Z42" s="49"/>
      <c r="AA42" s="94"/>
      <c r="AB42" s="95"/>
      <c r="AC42" s="85"/>
      <c r="AD42" s="85"/>
      <c r="AE42" s="85"/>
      <c r="AF42" s="85"/>
      <c r="AG42" s="85"/>
      <c r="AH42" s="49"/>
      <c r="AI42" s="92"/>
      <c r="AJ42" s="49"/>
      <c r="AK42" s="49"/>
      <c r="AL42" s="49"/>
    </row>
    <row r="43" spans="1:38" ht="12.75" x14ac:dyDescent="0.2">
      <c r="A43" s="87" t="s">
        <v>200</v>
      </c>
      <c r="B43" s="38">
        <v>25</v>
      </c>
      <c r="C43" s="38">
        <v>52</v>
      </c>
      <c r="D43" s="38">
        <v>22</v>
      </c>
      <c r="E43" s="38">
        <v>10</v>
      </c>
      <c r="F43" s="38">
        <v>5</v>
      </c>
      <c r="G43" s="49">
        <v>5</v>
      </c>
      <c r="H43" s="85">
        <v>2</v>
      </c>
      <c r="I43" s="85"/>
      <c r="J43" s="85"/>
      <c r="K43" s="86"/>
      <c r="L43" s="87" t="s">
        <v>200</v>
      </c>
      <c r="M43" s="38">
        <v>44</v>
      </c>
      <c r="N43" s="38">
        <v>57</v>
      </c>
      <c r="O43" s="38">
        <v>22</v>
      </c>
      <c r="P43" s="38">
        <v>9</v>
      </c>
      <c r="Q43" s="38">
        <v>6</v>
      </c>
      <c r="R43" s="38">
        <v>11</v>
      </c>
      <c r="S43" s="38">
        <v>15</v>
      </c>
      <c r="T43" s="49">
        <v>4</v>
      </c>
      <c r="U43" s="49">
        <v>6</v>
      </c>
      <c r="V43" s="85">
        <v>0</v>
      </c>
      <c r="W43" s="129"/>
      <c r="X43" s="85"/>
      <c r="Y43" s="85"/>
      <c r="Z43" s="49"/>
      <c r="AA43" s="94"/>
      <c r="AB43" s="95"/>
      <c r="AC43" s="85"/>
      <c r="AD43" s="85"/>
      <c r="AE43" s="85"/>
      <c r="AF43" s="85"/>
      <c r="AG43" s="85"/>
      <c r="AH43" s="49"/>
      <c r="AI43" s="92"/>
      <c r="AJ43" s="49"/>
      <c r="AK43" s="49"/>
      <c r="AL43" s="49"/>
    </row>
    <row r="44" spans="1:38" ht="12.75" x14ac:dyDescent="0.2">
      <c r="A44" s="87" t="s">
        <v>141</v>
      </c>
      <c r="B44" s="70">
        <f t="shared" ref="B44:H44" si="16">B43*B42</f>
        <v>1.25</v>
      </c>
      <c r="C44" s="70">
        <f t="shared" si="16"/>
        <v>5.2</v>
      </c>
      <c r="D44" s="70">
        <f t="shared" si="16"/>
        <v>4.4000000000000004</v>
      </c>
      <c r="E44" s="70">
        <f t="shared" si="16"/>
        <v>5</v>
      </c>
      <c r="F44" s="70">
        <f t="shared" si="16"/>
        <v>5</v>
      </c>
      <c r="G44" s="70">
        <f t="shared" si="16"/>
        <v>10</v>
      </c>
      <c r="H44" s="70">
        <f t="shared" si="16"/>
        <v>10</v>
      </c>
      <c r="I44" s="70">
        <f>J43*I42</f>
        <v>0</v>
      </c>
      <c r="J44" s="70">
        <f>SUM(B44:I44)</f>
        <v>40.85</v>
      </c>
      <c r="K44" s="86"/>
      <c r="L44" s="87" t="s">
        <v>141</v>
      </c>
      <c r="M44" s="70">
        <f t="shared" ref="M44:U44" si="17">M43*M42</f>
        <v>2.2000000000000002</v>
      </c>
      <c r="N44" s="70">
        <f t="shared" si="17"/>
        <v>5.7</v>
      </c>
      <c r="O44" s="70">
        <f t="shared" si="17"/>
        <v>4.4000000000000004</v>
      </c>
      <c r="P44" s="70">
        <f t="shared" si="17"/>
        <v>4.5</v>
      </c>
      <c r="Q44" s="70">
        <f t="shared" si="17"/>
        <v>6</v>
      </c>
      <c r="R44" s="70">
        <f t="shared" si="17"/>
        <v>22</v>
      </c>
      <c r="S44" s="70">
        <f t="shared" si="17"/>
        <v>75</v>
      </c>
      <c r="T44" s="70">
        <f t="shared" si="17"/>
        <v>40</v>
      </c>
      <c r="U44" s="70">
        <f t="shared" si="17"/>
        <v>120</v>
      </c>
      <c r="V44" s="70">
        <v>0</v>
      </c>
      <c r="W44" s="130"/>
      <c r="X44" s="70">
        <f>SUM(M44:V44)</f>
        <v>279.8</v>
      </c>
      <c r="Y44" s="96">
        <f>X44-J44</f>
        <v>238.95000000000002</v>
      </c>
      <c r="Z44" s="94">
        <v>89</v>
      </c>
      <c r="AA44" s="94">
        <v>21.9</v>
      </c>
      <c r="AB44" s="97">
        <f>Y44+AA44</f>
        <v>260.85000000000002</v>
      </c>
      <c r="AC44" s="85">
        <v>40</v>
      </c>
      <c r="AD44" s="96">
        <f>Z44-AC44</f>
        <v>49</v>
      </c>
      <c r="AE44" s="96">
        <f>Y44-Z44</f>
        <v>149.95000000000002</v>
      </c>
      <c r="AF44" s="85">
        <v>20</v>
      </c>
      <c r="AG44" s="96">
        <f>AE44-AF44</f>
        <v>129.95000000000002</v>
      </c>
      <c r="AH44" s="49"/>
      <c r="AI44" s="98">
        <f>(SUM(Z44:AA44)/(1+10/100))*(10/100)</f>
        <v>10.081818181818182</v>
      </c>
      <c r="AJ44" s="49"/>
      <c r="AK44" s="49"/>
      <c r="AL44" s="49"/>
    </row>
    <row r="46" spans="1:38" ht="38.25" x14ac:dyDescent="0.2">
      <c r="A46" s="83" t="s">
        <v>135</v>
      </c>
      <c r="B46" s="84">
        <v>45911</v>
      </c>
      <c r="C46" s="85"/>
      <c r="D46" s="85"/>
      <c r="E46" s="85"/>
      <c r="F46" s="85"/>
      <c r="G46" s="85"/>
      <c r="H46" s="85"/>
      <c r="I46" s="85"/>
      <c r="J46" s="85"/>
      <c r="K46" s="86"/>
      <c r="L46" s="83" t="s">
        <v>136</v>
      </c>
      <c r="M46" s="84">
        <v>45911</v>
      </c>
      <c r="N46" s="85"/>
      <c r="O46" s="85"/>
      <c r="P46" s="85"/>
      <c r="Q46" s="85"/>
      <c r="R46" s="85"/>
      <c r="S46" s="85"/>
      <c r="T46" s="85"/>
      <c r="U46" s="85"/>
      <c r="V46" s="85"/>
      <c r="W46" s="88" t="s">
        <v>333</v>
      </c>
      <c r="X46" s="87" t="s">
        <v>141</v>
      </c>
      <c r="Y46" s="88" t="s">
        <v>192</v>
      </c>
      <c r="Z46" s="89" t="s">
        <v>142</v>
      </c>
      <c r="AA46" s="90" t="s">
        <v>193</v>
      </c>
      <c r="AB46" s="91" t="s">
        <v>194</v>
      </c>
      <c r="AC46" s="88" t="s">
        <v>312</v>
      </c>
      <c r="AD46" s="87" t="s">
        <v>195</v>
      </c>
      <c r="AE46" s="87" t="s">
        <v>196</v>
      </c>
      <c r="AF46" s="88" t="s">
        <v>313</v>
      </c>
      <c r="AG46" s="87" t="s">
        <v>198</v>
      </c>
      <c r="AH46" s="49"/>
      <c r="AI46" s="92"/>
      <c r="AJ46" s="49"/>
      <c r="AK46" s="49"/>
      <c r="AL46" s="49"/>
    </row>
    <row r="47" spans="1:38" ht="12.75" x14ac:dyDescent="0.2">
      <c r="A47" s="87" t="s">
        <v>199</v>
      </c>
      <c r="B47" s="93">
        <v>0.05</v>
      </c>
      <c r="C47" s="93">
        <v>0.1</v>
      </c>
      <c r="D47" s="93">
        <v>0.2</v>
      </c>
      <c r="E47" s="93">
        <v>0.5</v>
      </c>
      <c r="F47" s="93">
        <v>1</v>
      </c>
      <c r="G47" s="93">
        <v>2</v>
      </c>
      <c r="H47" s="93">
        <v>5</v>
      </c>
      <c r="I47" s="93">
        <v>10</v>
      </c>
      <c r="J47" s="49"/>
      <c r="K47" s="86"/>
      <c r="L47" s="87" t="s">
        <v>199</v>
      </c>
      <c r="M47" s="93">
        <v>0.05</v>
      </c>
      <c r="N47" s="93">
        <v>0.1</v>
      </c>
      <c r="O47" s="93">
        <v>0.2</v>
      </c>
      <c r="P47" s="93">
        <v>0.5</v>
      </c>
      <c r="Q47" s="93">
        <v>1</v>
      </c>
      <c r="R47" s="93">
        <v>2</v>
      </c>
      <c r="S47" s="93">
        <v>5</v>
      </c>
      <c r="T47" s="93">
        <v>10</v>
      </c>
      <c r="U47" s="93">
        <v>20</v>
      </c>
      <c r="V47" s="93">
        <v>50</v>
      </c>
      <c r="W47" s="129"/>
      <c r="X47" s="85"/>
      <c r="Y47" s="85"/>
      <c r="Z47" s="49"/>
      <c r="AA47" s="94"/>
      <c r="AB47" s="95"/>
      <c r="AC47" s="85"/>
      <c r="AD47" s="85"/>
      <c r="AE47" s="85"/>
      <c r="AF47" s="85"/>
      <c r="AG47" s="85"/>
      <c r="AH47" s="49"/>
      <c r="AI47" s="92"/>
      <c r="AJ47" s="49"/>
      <c r="AK47" s="49"/>
      <c r="AL47" s="49"/>
    </row>
    <row r="48" spans="1:38" ht="12.75" x14ac:dyDescent="0.2">
      <c r="A48" s="87" t="s">
        <v>200</v>
      </c>
      <c r="B48" s="38">
        <v>44</v>
      </c>
      <c r="C48" s="38">
        <v>57</v>
      </c>
      <c r="D48" s="38">
        <v>22</v>
      </c>
      <c r="E48" s="38">
        <v>9</v>
      </c>
      <c r="F48" s="38">
        <v>6</v>
      </c>
      <c r="G48" s="49">
        <v>5</v>
      </c>
      <c r="H48" s="85">
        <v>2</v>
      </c>
      <c r="I48" s="85"/>
      <c r="J48" s="85"/>
      <c r="K48" s="86"/>
      <c r="L48" s="87" t="s">
        <v>200</v>
      </c>
      <c r="M48" s="38">
        <v>55</v>
      </c>
      <c r="N48" s="38">
        <v>67</v>
      </c>
      <c r="O48" s="38">
        <v>32</v>
      </c>
      <c r="P48" s="38">
        <v>6</v>
      </c>
      <c r="Q48" s="38">
        <v>20</v>
      </c>
      <c r="R48" s="38">
        <v>10</v>
      </c>
      <c r="S48" s="38">
        <v>6</v>
      </c>
      <c r="T48" s="49">
        <v>11</v>
      </c>
      <c r="U48" s="49">
        <v>3</v>
      </c>
      <c r="V48" s="85">
        <v>1</v>
      </c>
      <c r="W48" s="129"/>
      <c r="X48" s="85"/>
      <c r="Y48" s="85"/>
      <c r="Z48" s="49"/>
      <c r="AA48" s="94"/>
      <c r="AB48" s="95"/>
      <c r="AC48" s="85"/>
      <c r="AD48" s="85"/>
      <c r="AE48" s="85"/>
      <c r="AF48" s="85"/>
      <c r="AG48" s="85"/>
      <c r="AH48" s="49"/>
      <c r="AI48" s="92"/>
      <c r="AJ48" s="49"/>
      <c r="AK48" s="49"/>
      <c r="AL48" s="49"/>
    </row>
    <row r="49" spans="1:38" ht="12.75" x14ac:dyDescent="0.2">
      <c r="A49" s="87" t="s">
        <v>141</v>
      </c>
      <c r="B49" s="70">
        <f t="shared" ref="B49:H49" si="18">B48*B47</f>
        <v>2.2000000000000002</v>
      </c>
      <c r="C49" s="70">
        <f t="shared" si="18"/>
        <v>5.7</v>
      </c>
      <c r="D49" s="70">
        <f t="shared" si="18"/>
        <v>4.4000000000000004</v>
      </c>
      <c r="E49" s="70">
        <f t="shared" si="18"/>
        <v>4.5</v>
      </c>
      <c r="F49" s="70">
        <f t="shared" si="18"/>
        <v>6</v>
      </c>
      <c r="G49" s="70">
        <f t="shared" si="18"/>
        <v>10</v>
      </c>
      <c r="H49" s="70">
        <f t="shared" si="18"/>
        <v>10</v>
      </c>
      <c r="I49" s="70">
        <f>J48*I47</f>
        <v>0</v>
      </c>
      <c r="J49" s="70">
        <f>SUM(B49:I49)</f>
        <v>42.8</v>
      </c>
      <c r="K49" s="86"/>
      <c r="L49" s="87" t="s">
        <v>141</v>
      </c>
      <c r="M49" s="70">
        <f t="shared" ref="M49:V49" si="19">M48*M47</f>
        <v>2.75</v>
      </c>
      <c r="N49" s="70">
        <f t="shared" si="19"/>
        <v>6.7</v>
      </c>
      <c r="O49" s="70">
        <f t="shared" si="19"/>
        <v>6.4</v>
      </c>
      <c r="P49" s="70">
        <f t="shared" si="19"/>
        <v>3</v>
      </c>
      <c r="Q49" s="70">
        <f t="shared" si="19"/>
        <v>20</v>
      </c>
      <c r="R49" s="70">
        <f t="shared" si="19"/>
        <v>20</v>
      </c>
      <c r="S49" s="70">
        <f t="shared" si="19"/>
        <v>30</v>
      </c>
      <c r="T49" s="70">
        <f t="shared" si="19"/>
        <v>110</v>
      </c>
      <c r="U49" s="70">
        <f t="shared" si="19"/>
        <v>60</v>
      </c>
      <c r="V49" s="70">
        <f t="shared" si="19"/>
        <v>50</v>
      </c>
      <c r="W49" s="130"/>
      <c r="X49" s="70">
        <f>SUM(M49:V49)</f>
        <v>308.85000000000002</v>
      </c>
      <c r="Y49" s="96">
        <f>X49-J49</f>
        <v>266.05</v>
      </c>
      <c r="Z49" s="94">
        <v>117.9</v>
      </c>
      <c r="AA49" s="94">
        <v>59.2</v>
      </c>
      <c r="AB49" s="97">
        <f>Y49+AA49</f>
        <v>325.25</v>
      </c>
      <c r="AC49" s="85">
        <v>70</v>
      </c>
      <c r="AD49" s="96">
        <f>Z49-AC49</f>
        <v>47.900000000000006</v>
      </c>
      <c r="AE49" s="96">
        <f>Y49-Z49</f>
        <v>148.15</v>
      </c>
      <c r="AF49" s="85"/>
      <c r="AG49" s="96">
        <f>AE49-AF49</f>
        <v>148.15</v>
      </c>
      <c r="AH49" s="49"/>
      <c r="AI49" s="98">
        <f>(SUM(Z49:AA49)/(1+10/100))*(10/100)</f>
        <v>16.100000000000001</v>
      </c>
      <c r="AJ49" s="49"/>
      <c r="AK49" s="49"/>
      <c r="AL49" s="49"/>
    </row>
    <row r="50" spans="1:38" ht="12.75" x14ac:dyDescent="0.2">
      <c r="AG50" s="38"/>
    </row>
    <row r="51" spans="1:38" ht="38.25" x14ac:dyDescent="0.2">
      <c r="A51" s="83" t="s">
        <v>135</v>
      </c>
      <c r="B51" s="84">
        <v>45912</v>
      </c>
      <c r="C51" s="85"/>
      <c r="D51" s="85"/>
      <c r="E51" s="85"/>
      <c r="F51" s="85"/>
      <c r="G51" s="85"/>
      <c r="H51" s="85"/>
      <c r="I51" s="85"/>
      <c r="J51" s="85"/>
      <c r="K51" s="86"/>
      <c r="L51" s="83" t="s">
        <v>136</v>
      </c>
      <c r="M51" s="84">
        <v>45912</v>
      </c>
      <c r="N51" s="85"/>
      <c r="O51" s="85"/>
      <c r="P51" s="85"/>
      <c r="Q51" s="85"/>
      <c r="R51" s="85"/>
      <c r="S51" s="85"/>
      <c r="T51" s="85"/>
      <c r="U51" s="85"/>
      <c r="V51" s="85"/>
      <c r="W51" s="88" t="s">
        <v>333</v>
      </c>
      <c r="X51" s="87" t="s">
        <v>141</v>
      </c>
      <c r="Y51" s="88" t="s">
        <v>192</v>
      </c>
      <c r="Z51" s="89" t="s">
        <v>142</v>
      </c>
      <c r="AA51" s="90" t="s">
        <v>193</v>
      </c>
      <c r="AB51" s="91" t="s">
        <v>194</v>
      </c>
      <c r="AC51" s="88" t="s">
        <v>312</v>
      </c>
      <c r="AD51" s="87" t="s">
        <v>195</v>
      </c>
      <c r="AE51" s="87" t="s">
        <v>196</v>
      </c>
      <c r="AF51" s="88" t="s">
        <v>313</v>
      </c>
      <c r="AG51" s="87" t="s">
        <v>198</v>
      </c>
      <c r="AH51" s="49"/>
      <c r="AI51" s="92"/>
      <c r="AJ51" s="49"/>
      <c r="AK51" s="49"/>
      <c r="AL51" s="49"/>
    </row>
    <row r="52" spans="1:38" ht="12.75" x14ac:dyDescent="0.2">
      <c r="A52" s="87" t="s">
        <v>199</v>
      </c>
      <c r="B52" s="93">
        <v>0.05</v>
      </c>
      <c r="C52" s="93">
        <v>0.1</v>
      </c>
      <c r="D52" s="93">
        <v>0.2</v>
      </c>
      <c r="E52" s="93">
        <v>0.5</v>
      </c>
      <c r="F52" s="93">
        <v>1</v>
      </c>
      <c r="G52" s="93">
        <v>2</v>
      </c>
      <c r="H52" s="93">
        <v>5</v>
      </c>
      <c r="I52" s="93">
        <v>10</v>
      </c>
      <c r="J52" s="49"/>
      <c r="K52" s="86"/>
      <c r="L52" s="87" t="s">
        <v>199</v>
      </c>
      <c r="M52" s="93">
        <v>0.05</v>
      </c>
      <c r="N52" s="93">
        <v>0.1</v>
      </c>
      <c r="O52" s="93">
        <v>0.2</v>
      </c>
      <c r="P52" s="93">
        <v>0.5</v>
      </c>
      <c r="Q52" s="93">
        <v>1</v>
      </c>
      <c r="R52" s="93">
        <v>2</v>
      </c>
      <c r="S52" s="93">
        <v>5</v>
      </c>
      <c r="T52" s="93">
        <v>10</v>
      </c>
      <c r="U52" s="93">
        <v>20</v>
      </c>
      <c r="V52" s="93">
        <v>50</v>
      </c>
      <c r="W52" s="129"/>
      <c r="X52" s="85"/>
      <c r="Y52" s="85"/>
      <c r="Z52" s="49"/>
      <c r="AA52" s="94"/>
      <c r="AB52" s="95"/>
      <c r="AC52" s="85"/>
      <c r="AD52" s="85"/>
      <c r="AE52" s="85"/>
      <c r="AF52" s="85"/>
      <c r="AG52" s="85"/>
      <c r="AH52" s="49"/>
      <c r="AI52" s="92"/>
      <c r="AJ52" s="49"/>
      <c r="AK52" s="49"/>
      <c r="AL52" s="49"/>
    </row>
    <row r="53" spans="1:38" ht="12.75" x14ac:dyDescent="0.2">
      <c r="A53" s="87" t="s">
        <v>200</v>
      </c>
      <c r="B53" s="38">
        <v>55</v>
      </c>
      <c r="C53" s="38">
        <v>67</v>
      </c>
      <c r="D53" s="38">
        <v>32</v>
      </c>
      <c r="E53" s="38">
        <v>6</v>
      </c>
      <c r="F53" s="38">
        <v>6</v>
      </c>
      <c r="G53" s="38">
        <v>5</v>
      </c>
      <c r="H53" s="38">
        <v>2</v>
      </c>
      <c r="I53" s="85"/>
      <c r="J53" s="85"/>
      <c r="K53" s="86"/>
      <c r="L53" s="87" t="s">
        <v>200</v>
      </c>
      <c r="M53" s="38">
        <v>59</v>
      </c>
      <c r="N53" s="38">
        <v>63</v>
      </c>
      <c r="O53" s="38">
        <v>30</v>
      </c>
      <c r="P53" s="38">
        <v>5</v>
      </c>
      <c r="Q53" s="38">
        <v>4</v>
      </c>
      <c r="R53" s="38">
        <v>2</v>
      </c>
      <c r="S53" s="38">
        <v>3</v>
      </c>
      <c r="T53" s="49">
        <v>8</v>
      </c>
      <c r="U53" s="49">
        <v>5</v>
      </c>
      <c r="V53" s="85">
        <v>3</v>
      </c>
      <c r="W53" s="129"/>
      <c r="X53" s="85"/>
      <c r="Y53" s="85"/>
      <c r="Z53" s="49"/>
      <c r="AA53" s="94"/>
      <c r="AB53" s="95"/>
      <c r="AC53" s="85"/>
      <c r="AD53" s="85"/>
      <c r="AE53" s="85"/>
      <c r="AF53" s="85"/>
      <c r="AG53" s="85"/>
      <c r="AH53" s="49"/>
      <c r="AI53" s="92"/>
      <c r="AJ53" s="49"/>
      <c r="AK53" s="49"/>
      <c r="AL53" s="49"/>
    </row>
    <row r="54" spans="1:38" ht="12.75" x14ac:dyDescent="0.2">
      <c r="A54" s="87" t="s">
        <v>141</v>
      </c>
      <c r="B54" s="70">
        <f t="shared" ref="B54:H54" si="20">B53*B52</f>
        <v>2.75</v>
      </c>
      <c r="C54" s="70">
        <f t="shared" si="20"/>
        <v>6.7</v>
      </c>
      <c r="D54" s="70">
        <f t="shared" si="20"/>
        <v>6.4</v>
      </c>
      <c r="E54" s="70">
        <f t="shared" si="20"/>
        <v>3</v>
      </c>
      <c r="F54" s="70">
        <f t="shared" si="20"/>
        <v>6</v>
      </c>
      <c r="G54" s="70">
        <f t="shared" si="20"/>
        <v>10</v>
      </c>
      <c r="H54" s="70">
        <f t="shared" si="20"/>
        <v>10</v>
      </c>
      <c r="I54" s="70">
        <f>J53*I52</f>
        <v>0</v>
      </c>
      <c r="J54" s="70">
        <f>SUM(B54:I54)</f>
        <v>44.85</v>
      </c>
      <c r="K54" s="86"/>
      <c r="L54" s="87" t="s">
        <v>141</v>
      </c>
      <c r="M54" s="70">
        <v>2.95</v>
      </c>
      <c r="N54" s="70">
        <f t="shared" ref="N54:S54" si="21">C59*N52</f>
        <v>0.63000000000000012</v>
      </c>
      <c r="O54" s="70">
        <f t="shared" si="21"/>
        <v>1.2000000000000002</v>
      </c>
      <c r="P54" s="70">
        <f t="shared" si="21"/>
        <v>1.25</v>
      </c>
      <c r="Q54" s="70">
        <f t="shared" si="21"/>
        <v>4</v>
      </c>
      <c r="R54" s="70">
        <f t="shared" si="21"/>
        <v>8</v>
      </c>
      <c r="S54" s="70">
        <f t="shared" si="21"/>
        <v>50</v>
      </c>
      <c r="T54" s="70">
        <f t="shared" ref="T54:V54" si="22">T53*T52</f>
        <v>80</v>
      </c>
      <c r="U54" s="70">
        <f t="shared" si="22"/>
        <v>100</v>
      </c>
      <c r="V54" s="70">
        <f t="shared" si="22"/>
        <v>150</v>
      </c>
      <c r="W54" s="130"/>
      <c r="X54" s="70">
        <f>SUM(M54:V54)</f>
        <v>398.03</v>
      </c>
      <c r="Y54" s="96">
        <f>X54-J54</f>
        <v>353.17999999999995</v>
      </c>
      <c r="Z54" s="94">
        <v>175.2</v>
      </c>
      <c r="AA54" s="94">
        <v>67.900000000000006</v>
      </c>
      <c r="AB54" s="97">
        <f>Y54+AA54</f>
        <v>421.07999999999993</v>
      </c>
      <c r="AC54" s="85">
        <v>50</v>
      </c>
      <c r="AD54" s="96">
        <f>Z54-AC54</f>
        <v>125.19999999999999</v>
      </c>
      <c r="AE54" s="96">
        <f>Y54-Z54</f>
        <v>177.97999999999996</v>
      </c>
      <c r="AF54" s="85">
        <v>30</v>
      </c>
      <c r="AG54" s="96">
        <f>AE54-AF54</f>
        <v>147.97999999999996</v>
      </c>
      <c r="AH54" s="49"/>
      <c r="AI54" s="98">
        <f>(SUM(Z54:AA54)/(1+10/100))*(10/100)</f>
        <v>22.099999999999998</v>
      </c>
      <c r="AJ54" s="49"/>
      <c r="AK54" s="49"/>
      <c r="AL54" s="49"/>
    </row>
    <row r="56" spans="1:38" ht="38.25" x14ac:dyDescent="0.2">
      <c r="A56" s="83" t="s">
        <v>135</v>
      </c>
      <c r="B56" s="84">
        <v>45913</v>
      </c>
      <c r="C56" s="85"/>
      <c r="D56" s="85"/>
      <c r="E56" s="85"/>
      <c r="F56" s="85"/>
      <c r="G56" s="85"/>
      <c r="H56" s="85"/>
      <c r="I56" s="85"/>
      <c r="J56" s="85"/>
      <c r="K56" s="86"/>
      <c r="L56" s="83" t="s">
        <v>136</v>
      </c>
      <c r="M56" s="84">
        <v>45913</v>
      </c>
      <c r="N56" s="85"/>
      <c r="O56" s="85"/>
      <c r="P56" s="85"/>
      <c r="Q56" s="85"/>
      <c r="R56" s="85"/>
      <c r="S56" s="85"/>
      <c r="T56" s="85"/>
      <c r="U56" s="85"/>
      <c r="V56" s="85"/>
      <c r="W56" s="88" t="s">
        <v>333</v>
      </c>
      <c r="X56" s="87" t="s">
        <v>141</v>
      </c>
      <c r="Y56" s="88" t="s">
        <v>192</v>
      </c>
      <c r="Z56" s="89" t="s">
        <v>142</v>
      </c>
      <c r="AA56" s="90" t="s">
        <v>193</v>
      </c>
      <c r="AB56" s="91" t="s">
        <v>194</v>
      </c>
      <c r="AC56" s="88" t="s">
        <v>312</v>
      </c>
      <c r="AD56" s="87" t="s">
        <v>195</v>
      </c>
      <c r="AE56" s="87" t="s">
        <v>196</v>
      </c>
      <c r="AF56" s="88" t="s">
        <v>313</v>
      </c>
      <c r="AG56" s="87" t="s">
        <v>198</v>
      </c>
      <c r="AH56" s="49"/>
      <c r="AI56" s="92"/>
      <c r="AJ56" s="49"/>
      <c r="AK56" s="49"/>
      <c r="AL56" s="49"/>
    </row>
    <row r="57" spans="1:38" ht="12.75" x14ac:dyDescent="0.2">
      <c r="A57" s="87" t="s">
        <v>199</v>
      </c>
      <c r="B57" s="93">
        <v>0.05</v>
      </c>
      <c r="C57" s="93">
        <v>0.1</v>
      </c>
      <c r="D57" s="93">
        <v>0.2</v>
      </c>
      <c r="E57" s="93">
        <v>0.5</v>
      </c>
      <c r="F57" s="93">
        <v>1</v>
      </c>
      <c r="G57" s="93">
        <v>2</v>
      </c>
      <c r="H57" s="93">
        <v>5</v>
      </c>
      <c r="I57" s="93">
        <v>10</v>
      </c>
      <c r="J57" s="49"/>
      <c r="K57" s="86"/>
      <c r="L57" s="87" t="s">
        <v>199</v>
      </c>
      <c r="M57" s="93">
        <v>0.05</v>
      </c>
      <c r="N57" s="93">
        <v>0.1</v>
      </c>
      <c r="O57" s="93">
        <v>0.2</v>
      </c>
      <c r="P57" s="93">
        <v>0.5</v>
      </c>
      <c r="Q57" s="93">
        <v>1</v>
      </c>
      <c r="R57" s="93">
        <v>2</v>
      </c>
      <c r="S57" s="93">
        <v>5</v>
      </c>
      <c r="T57" s="93">
        <v>10</v>
      </c>
      <c r="U57" s="93">
        <v>20</v>
      </c>
      <c r="V57" s="93">
        <v>50</v>
      </c>
      <c r="W57" s="129"/>
      <c r="X57" s="85"/>
      <c r="Y57" s="85"/>
      <c r="Z57" s="49"/>
      <c r="AA57" s="94"/>
      <c r="AB57" s="95"/>
      <c r="AC57" s="85"/>
      <c r="AD57" s="85"/>
      <c r="AE57" s="85"/>
      <c r="AF57" s="85"/>
      <c r="AG57" s="85"/>
      <c r="AH57" s="49"/>
      <c r="AI57" s="92"/>
      <c r="AJ57" s="49"/>
      <c r="AK57" s="49"/>
      <c r="AL57" s="49"/>
    </row>
    <row r="58" spans="1:38" ht="12.75" x14ac:dyDescent="0.2">
      <c r="A58" s="87" t="s">
        <v>200</v>
      </c>
      <c r="B58" s="38">
        <v>59</v>
      </c>
      <c r="C58" s="38">
        <v>63</v>
      </c>
      <c r="D58" s="38">
        <v>30</v>
      </c>
      <c r="E58" s="38">
        <v>5</v>
      </c>
      <c r="F58" s="38">
        <v>4</v>
      </c>
      <c r="G58" s="38">
        <v>2</v>
      </c>
      <c r="H58" s="38">
        <v>2</v>
      </c>
      <c r="I58" s="85"/>
      <c r="J58" s="85"/>
      <c r="K58" s="86"/>
      <c r="L58" s="87" t="s">
        <v>200</v>
      </c>
      <c r="M58" s="38">
        <v>65</v>
      </c>
      <c r="N58" s="38">
        <v>71</v>
      </c>
      <c r="O58" s="38">
        <v>21</v>
      </c>
      <c r="P58" s="38">
        <v>2</v>
      </c>
      <c r="Q58" s="38">
        <v>10</v>
      </c>
      <c r="R58" s="38">
        <v>4</v>
      </c>
      <c r="T58" s="49">
        <v>4</v>
      </c>
      <c r="U58" s="49">
        <v>7</v>
      </c>
      <c r="V58" s="85"/>
      <c r="W58" s="129"/>
      <c r="X58" s="85"/>
      <c r="Y58" s="85"/>
      <c r="Z58" s="49"/>
      <c r="AA58" s="94"/>
      <c r="AB58" s="95"/>
      <c r="AC58" s="85"/>
      <c r="AD58" s="85"/>
      <c r="AE58" s="85"/>
      <c r="AF58" s="85"/>
      <c r="AG58" s="85"/>
      <c r="AH58" s="49"/>
      <c r="AI58" s="92"/>
      <c r="AJ58" s="49"/>
      <c r="AK58" s="49"/>
      <c r="AL58" s="49"/>
    </row>
    <row r="59" spans="1:38" ht="12.75" x14ac:dyDescent="0.2">
      <c r="A59" s="87" t="s">
        <v>141</v>
      </c>
      <c r="B59" s="70">
        <f t="shared" ref="B59:H59" si="23">B58*B57</f>
        <v>2.95</v>
      </c>
      <c r="C59" s="70">
        <f t="shared" si="23"/>
        <v>6.3000000000000007</v>
      </c>
      <c r="D59" s="70">
        <f t="shared" si="23"/>
        <v>6</v>
      </c>
      <c r="E59" s="70">
        <f t="shared" si="23"/>
        <v>2.5</v>
      </c>
      <c r="F59" s="70">
        <f t="shared" si="23"/>
        <v>4</v>
      </c>
      <c r="G59" s="70">
        <f t="shared" si="23"/>
        <v>4</v>
      </c>
      <c r="H59" s="70">
        <f t="shared" si="23"/>
        <v>10</v>
      </c>
      <c r="I59" s="70">
        <f>J58*I57</f>
        <v>0</v>
      </c>
      <c r="J59" s="70">
        <f>SUM(B59:I59)</f>
        <v>35.75</v>
      </c>
      <c r="K59" s="86"/>
      <c r="L59" s="87" t="s">
        <v>141</v>
      </c>
      <c r="M59" s="70">
        <f t="shared" ref="M59:V59" si="24">M58*M57</f>
        <v>3.25</v>
      </c>
      <c r="N59" s="70">
        <f t="shared" si="24"/>
        <v>7.1000000000000005</v>
      </c>
      <c r="O59" s="70">
        <f t="shared" si="24"/>
        <v>4.2</v>
      </c>
      <c r="P59" s="70">
        <f t="shared" si="24"/>
        <v>1</v>
      </c>
      <c r="Q59" s="70">
        <f t="shared" si="24"/>
        <v>10</v>
      </c>
      <c r="R59" s="70">
        <f t="shared" si="24"/>
        <v>8</v>
      </c>
      <c r="S59" s="70">
        <f t="shared" si="24"/>
        <v>0</v>
      </c>
      <c r="T59" s="70">
        <f t="shared" si="24"/>
        <v>40</v>
      </c>
      <c r="U59" s="70">
        <f t="shared" si="24"/>
        <v>140</v>
      </c>
      <c r="V59" s="70">
        <f t="shared" si="24"/>
        <v>0</v>
      </c>
      <c r="W59" s="130"/>
      <c r="X59" s="70">
        <f>SUM(M59:V59)</f>
        <v>213.55</v>
      </c>
      <c r="Y59" s="96">
        <f>X59-J59</f>
        <v>177.8</v>
      </c>
      <c r="Z59" s="94">
        <v>104.6</v>
      </c>
      <c r="AA59" s="94">
        <v>33.299999999999997</v>
      </c>
      <c r="AB59" s="97">
        <f>Y59+AA59</f>
        <v>211.10000000000002</v>
      </c>
      <c r="AC59" s="85">
        <v>104</v>
      </c>
      <c r="AD59" s="96">
        <f>Z59-AC59</f>
        <v>0.59999999999999432</v>
      </c>
      <c r="AE59" s="96">
        <f>Y59-Z59</f>
        <v>73.200000000000017</v>
      </c>
      <c r="AF59" s="85">
        <v>20</v>
      </c>
      <c r="AG59" s="96">
        <f>AE59-AF59</f>
        <v>53.200000000000017</v>
      </c>
      <c r="AH59" s="49"/>
      <c r="AI59" s="98">
        <f>(SUM(Z59:AA59)/(1+10/100))*(10/100)</f>
        <v>12.536363636363633</v>
      </c>
      <c r="AJ59" s="49"/>
      <c r="AK59" s="49"/>
      <c r="AL59" s="49"/>
    </row>
    <row r="60" spans="1:38" ht="12.75" x14ac:dyDescent="0.2">
      <c r="AF60" s="38"/>
    </row>
    <row r="61" spans="1:38" ht="38.25" x14ac:dyDescent="0.2">
      <c r="A61" s="83" t="s">
        <v>135</v>
      </c>
      <c r="B61" s="84">
        <v>45915</v>
      </c>
      <c r="C61" s="85"/>
      <c r="D61" s="85"/>
      <c r="E61" s="85"/>
      <c r="F61" s="85"/>
      <c r="G61" s="85"/>
      <c r="H61" s="85"/>
      <c r="I61" s="85"/>
      <c r="J61" s="85"/>
      <c r="K61" s="86"/>
      <c r="L61" s="83" t="s">
        <v>136</v>
      </c>
      <c r="M61" s="84">
        <v>45915</v>
      </c>
      <c r="N61" s="85"/>
      <c r="O61" s="85"/>
      <c r="P61" s="85"/>
      <c r="Q61" s="85"/>
      <c r="R61" s="85"/>
      <c r="S61" s="85"/>
      <c r="T61" s="85"/>
      <c r="U61" s="85"/>
      <c r="V61" s="85"/>
      <c r="W61" s="88" t="s">
        <v>333</v>
      </c>
      <c r="X61" s="87" t="s">
        <v>141</v>
      </c>
      <c r="Y61" s="88" t="s">
        <v>192</v>
      </c>
      <c r="Z61" s="89" t="s">
        <v>142</v>
      </c>
      <c r="AA61" s="90" t="s">
        <v>193</v>
      </c>
      <c r="AB61" s="91" t="s">
        <v>194</v>
      </c>
      <c r="AC61" s="88" t="s">
        <v>312</v>
      </c>
      <c r="AD61" s="87" t="s">
        <v>195</v>
      </c>
      <c r="AE61" s="87" t="s">
        <v>196</v>
      </c>
      <c r="AF61" s="88" t="s">
        <v>313</v>
      </c>
      <c r="AG61" s="87" t="s">
        <v>198</v>
      </c>
      <c r="AH61" s="49"/>
      <c r="AI61" s="92"/>
      <c r="AJ61" s="49"/>
      <c r="AK61" s="49"/>
      <c r="AL61" s="49"/>
    </row>
    <row r="62" spans="1:38" ht="12.75" x14ac:dyDescent="0.2">
      <c r="A62" s="87" t="s">
        <v>199</v>
      </c>
      <c r="B62" s="93">
        <v>0.05</v>
      </c>
      <c r="C62" s="93">
        <v>0.1</v>
      </c>
      <c r="D62" s="93">
        <v>0.2</v>
      </c>
      <c r="E62" s="93">
        <v>0.5</v>
      </c>
      <c r="F62" s="93">
        <v>1</v>
      </c>
      <c r="G62" s="93">
        <v>2</v>
      </c>
      <c r="H62" s="93">
        <v>5</v>
      </c>
      <c r="I62" s="93">
        <v>10</v>
      </c>
      <c r="J62" s="49"/>
      <c r="K62" s="86"/>
      <c r="L62" s="87" t="s">
        <v>199</v>
      </c>
      <c r="M62" s="93">
        <v>0.05</v>
      </c>
      <c r="N62" s="93">
        <v>0.1</v>
      </c>
      <c r="O62" s="93">
        <v>0.2</v>
      </c>
      <c r="P62" s="93">
        <v>0.5</v>
      </c>
      <c r="Q62" s="93">
        <v>1</v>
      </c>
      <c r="R62" s="93">
        <v>2</v>
      </c>
      <c r="S62" s="93">
        <v>5</v>
      </c>
      <c r="T62" s="93">
        <v>10</v>
      </c>
      <c r="U62" s="93">
        <v>20</v>
      </c>
      <c r="V62" s="93">
        <v>50</v>
      </c>
      <c r="W62" s="129"/>
      <c r="X62" s="85"/>
      <c r="Y62" s="85"/>
      <c r="Z62" s="49"/>
      <c r="AA62" s="94"/>
      <c r="AB62" s="95"/>
      <c r="AC62" s="85"/>
      <c r="AD62" s="85"/>
      <c r="AE62" s="85"/>
      <c r="AF62" s="85"/>
      <c r="AG62" s="85"/>
      <c r="AH62" s="49"/>
      <c r="AI62" s="92"/>
      <c r="AJ62" s="49"/>
      <c r="AK62" s="49"/>
      <c r="AL62" s="49"/>
    </row>
    <row r="63" spans="1:38" ht="12.75" x14ac:dyDescent="0.2">
      <c r="A63" s="87" t="s">
        <v>200</v>
      </c>
      <c r="B63" s="38">
        <v>65</v>
      </c>
      <c r="C63" s="38">
        <v>71</v>
      </c>
      <c r="D63" s="38">
        <v>21</v>
      </c>
      <c r="E63" s="38">
        <v>2</v>
      </c>
      <c r="F63" s="38">
        <v>10</v>
      </c>
      <c r="G63" s="38">
        <v>4</v>
      </c>
      <c r="H63" s="85"/>
      <c r="I63" s="85"/>
      <c r="J63" s="85"/>
      <c r="K63" s="86"/>
      <c r="L63" s="87" t="s">
        <v>200</v>
      </c>
      <c r="M63" s="38">
        <v>67</v>
      </c>
      <c r="N63" s="38">
        <v>83</v>
      </c>
      <c r="O63" s="38">
        <v>14</v>
      </c>
      <c r="P63" s="38">
        <v>3</v>
      </c>
      <c r="Q63" s="38">
        <v>22</v>
      </c>
      <c r="R63" s="38">
        <v>8</v>
      </c>
      <c r="S63" s="38">
        <v>11</v>
      </c>
      <c r="T63" s="49">
        <v>0</v>
      </c>
      <c r="U63" s="49">
        <v>8</v>
      </c>
      <c r="V63" s="85">
        <v>0</v>
      </c>
      <c r="W63" s="129"/>
      <c r="X63" s="85"/>
      <c r="Y63" s="85"/>
      <c r="Z63" s="49"/>
      <c r="AA63" s="94"/>
      <c r="AB63" s="95"/>
      <c r="AC63" s="85"/>
      <c r="AD63" s="85"/>
      <c r="AE63" s="85"/>
      <c r="AF63" s="85"/>
      <c r="AG63" s="85"/>
      <c r="AH63" s="49"/>
      <c r="AI63" s="92"/>
      <c r="AJ63" s="49"/>
      <c r="AK63" s="49"/>
      <c r="AL63" s="49"/>
    </row>
    <row r="64" spans="1:38" ht="12.75" x14ac:dyDescent="0.2">
      <c r="A64" s="87" t="s">
        <v>141</v>
      </c>
      <c r="B64" s="70">
        <f t="shared" ref="B64:H64" si="25">B63*B62</f>
        <v>3.25</v>
      </c>
      <c r="C64" s="70">
        <f t="shared" si="25"/>
        <v>7.1000000000000005</v>
      </c>
      <c r="D64" s="70">
        <f t="shared" si="25"/>
        <v>4.2</v>
      </c>
      <c r="E64" s="70">
        <f t="shared" si="25"/>
        <v>1</v>
      </c>
      <c r="F64" s="70">
        <f t="shared" si="25"/>
        <v>10</v>
      </c>
      <c r="G64" s="70">
        <f t="shared" si="25"/>
        <v>8</v>
      </c>
      <c r="H64" s="70">
        <f t="shared" si="25"/>
        <v>0</v>
      </c>
      <c r="I64" s="70">
        <f>J63*I62</f>
        <v>0</v>
      </c>
      <c r="J64" s="70">
        <f>SUM(B64:I64)</f>
        <v>33.549999999999997</v>
      </c>
      <c r="K64" s="86"/>
      <c r="L64" s="87" t="s">
        <v>141</v>
      </c>
      <c r="M64" s="70">
        <f t="shared" ref="M64:V64" si="26">M63*M62</f>
        <v>3.35</v>
      </c>
      <c r="N64" s="70">
        <f t="shared" si="26"/>
        <v>8.3000000000000007</v>
      </c>
      <c r="O64" s="70">
        <f t="shared" si="26"/>
        <v>2.8000000000000003</v>
      </c>
      <c r="P64" s="70">
        <f t="shared" si="26"/>
        <v>1.5</v>
      </c>
      <c r="Q64" s="70">
        <f t="shared" si="26"/>
        <v>22</v>
      </c>
      <c r="R64" s="70">
        <f t="shared" si="26"/>
        <v>16</v>
      </c>
      <c r="S64" s="70">
        <f t="shared" si="26"/>
        <v>55</v>
      </c>
      <c r="T64" s="70">
        <f t="shared" si="26"/>
        <v>0</v>
      </c>
      <c r="U64" s="70">
        <f t="shared" si="26"/>
        <v>160</v>
      </c>
      <c r="V64" s="70">
        <f t="shared" si="26"/>
        <v>0</v>
      </c>
      <c r="W64" s="130"/>
      <c r="X64" s="70">
        <f>SUM(M64:V64)</f>
        <v>268.95</v>
      </c>
      <c r="Y64" s="96">
        <f>X64-J64</f>
        <v>235.39999999999998</v>
      </c>
      <c r="Z64" s="94">
        <v>152.6</v>
      </c>
      <c r="AA64" s="94">
        <v>99.5</v>
      </c>
      <c r="AB64" s="97">
        <f>Y64+AA64</f>
        <v>334.9</v>
      </c>
      <c r="AC64" s="85">
        <v>102</v>
      </c>
      <c r="AD64" s="96">
        <f>Z64-AC64</f>
        <v>50.599999999999994</v>
      </c>
      <c r="AE64" s="96">
        <f>Y64-Z64</f>
        <v>82.799999999999983</v>
      </c>
      <c r="AF64" s="85">
        <v>38</v>
      </c>
      <c r="AG64" s="96">
        <f>AE64-AF64</f>
        <v>44.799999999999983</v>
      </c>
      <c r="AH64" s="49"/>
      <c r="AI64" s="98">
        <f>(SUM(Z64:AA64)/(1+10/100))*(10/100)</f>
        <v>22.918181818181818</v>
      </c>
      <c r="AJ64" s="49"/>
      <c r="AK64" s="49"/>
      <c r="AL64" s="49"/>
    </row>
    <row r="66" spans="1:38" ht="38.25" x14ac:dyDescent="0.2">
      <c r="A66" s="83" t="s">
        <v>135</v>
      </c>
      <c r="B66" s="84">
        <v>45916</v>
      </c>
      <c r="C66" s="85"/>
      <c r="D66" s="85"/>
      <c r="E66" s="85"/>
      <c r="F66" s="85"/>
      <c r="G66" s="85"/>
      <c r="H66" s="85"/>
      <c r="I66" s="85"/>
      <c r="J66" s="85"/>
      <c r="K66" s="86"/>
      <c r="L66" s="83" t="s">
        <v>136</v>
      </c>
      <c r="M66" s="84">
        <v>45916</v>
      </c>
      <c r="N66" s="85"/>
      <c r="O66" s="85"/>
      <c r="P66" s="85"/>
      <c r="Q66" s="85"/>
      <c r="R66" s="85"/>
      <c r="S66" s="85"/>
      <c r="T66" s="85"/>
      <c r="U66" s="85"/>
      <c r="V66" s="85"/>
      <c r="W66" s="88" t="s">
        <v>333</v>
      </c>
      <c r="X66" s="87" t="s">
        <v>141</v>
      </c>
      <c r="Y66" s="88" t="s">
        <v>192</v>
      </c>
      <c r="Z66" s="89" t="s">
        <v>142</v>
      </c>
      <c r="AA66" s="90" t="s">
        <v>193</v>
      </c>
      <c r="AB66" s="91" t="s">
        <v>194</v>
      </c>
      <c r="AC66" s="88" t="s">
        <v>312</v>
      </c>
      <c r="AD66" s="87" t="s">
        <v>195</v>
      </c>
      <c r="AE66" s="87" t="s">
        <v>196</v>
      </c>
      <c r="AF66" s="88" t="s">
        <v>313</v>
      </c>
      <c r="AG66" s="87" t="s">
        <v>198</v>
      </c>
      <c r="AH66" s="49"/>
      <c r="AI66" s="92"/>
      <c r="AJ66" s="49"/>
      <c r="AK66" s="49"/>
      <c r="AL66" s="49"/>
    </row>
    <row r="67" spans="1:38" ht="12.75" x14ac:dyDescent="0.2">
      <c r="A67" s="87" t="s">
        <v>199</v>
      </c>
      <c r="B67" s="93">
        <v>0.05</v>
      </c>
      <c r="C67" s="93">
        <v>0.1</v>
      </c>
      <c r="D67" s="93">
        <v>0.2</v>
      </c>
      <c r="E67" s="93">
        <v>0.5</v>
      </c>
      <c r="F67" s="93">
        <v>1</v>
      </c>
      <c r="G67" s="93">
        <v>2</v>
      </c>
      <c r="H67" s="93">
        <v>5</v>
      </c>
      <c r="I67" s="93">
        <v>10</v>
      </c>
      <c r="J67" s="49"/>
      <c r="K67" s="86"/>
      <c r="L67" s="87" t="s">
        <v>199</v>
      </c>
      <c r="M67" s="93">
        <v>0.05</v>
      </c>
      <c r="N67" s="93">
        <v>0.1</v>
      </c>
      <c r="O67" s="93">
        <v>0.2</v>
      </c>
      <c r="P67" s="93">
        <v>0.5</v>
      </c>
      <c r="Q67" s="93">
        <v>1</v>
      </c>
      <c r="R67" s="93">
        <v>2</v>
      </c>
      <c r="S67" s="93">
        <v>5</v>
      </c>
      <c r="T67" s="93">
        <v>10</v>
      </c>
      <c r="U67" s="93">
        <v>20</v>
      </c>
      <c r="V67" s="93">
        <v>50</v>
      </c>
      <c r="W67" s="129"/>
      <c r="X67" s="85"/>
      <c r="Y67" s="85"/>
      <c r="Z67" s="49"/>
      <c r="AA67" s="94"/>
      <c r="AB67" s="95"/>
      <c r="AC67" s="85"/>
      <c r="AD67" s="85"/>
      <c r="AE67" s="85"/>
      <c r="AF67" s="85"/>
      <c r="AG67" s="85"/>
      <c r="AH67" s="49"/>
      <c r="AI67" s="92"/>
      <c r="AJ67" s="49"/>
      <c r="AK67" s="49"/>
      <c r="AL67" s="49"/>
    </row>
    <row r="68" spans="1:38" ht="12.75" x14ac:dyDescent="0.2">
      <c r="A68" s="87" t="s">
        <v>200</v>
      </c>
      <c r="B68" s="38">
        <v>67</v>
      </c>
      <c r="C68" s="38">
        <v>83</v>
      </c>
      <c r="D68" s="38">
        <v>14</v>
      </c>
      <c r="E68" s="38">
        <v>3</v>
      </c>
      <c r="F68" s="38">
        <v>6</v>
      </c>
      <c r="G68" s="38">
        <v>6</v>
      </c>
      <c r="H68" s="85">
        <v>2</v>
      </c>
      <c r="I68" s="85"/>
      <c r="J68" s="85"/>
      <c r="K68" s="86"/>
      <c r="L68" s="87" t="s">
        <v>200</v>
      </c>
      <c r="M68" s="38">
        <v>68</v>
      </c>
      <c r="N68" s="38">
        <v>83</v>
      </c>
      <c r="O68" s="38">
        <v>14</v>
      </c>
      <c r="P68" s="38">
        <v>2</v>
      </c>
      <c r="Q68" s="38">
        <v>18</v>
      </c>
      <c r="R68" s="38">
        <v>2</v>
      </c>
      <c r="S68" s="38">
        <v>1</v>
      </c>
      <c r="T68" s="49">
        <v>1</v>
      </c>
      <c r="U68" s="49">
        <v>8</v>
      </c>
      <c r="V68" s="85">
        <v>1</v>
      </c>
      <c r="W68" s="129"/>
      <c r="X68" s="85"/>
      <c r="Y68" s="85"/>
      <c r="Z68" s="49"/>
      <c r="AA68" s="94"/>
      <c r="AB68" s="95"/>
      <c r="AC68" s="85"/>
      <c r="AD68" s="85"/>
      <c r="AE68" s="85"/>
      <c r="AF68" s="85"/>
      <c r="AG68" s="85"/>
      <c r="AH68" s="49"/>
      <c r="AI68" s="92"/>
      <c r="AJ68" s="49"/>
      <c r="AK68" s="49"/>
      <c r="AL68" s="49"/>
    </row>
    <row r="69" spans="1:38" ht="12.75" x14ac:dyDescent="0.2">
      <c r="A69" s="87" t="s">
        <v>141</v>
      </c>
      <c r="B69" s="70">
        <f t="shared" ref="B69:H69" si="27">B68*B67</f>
        <v>3.35</v>
      </c>
      <c r="C69" s="70">
        <f t="shared" si="27"/>
        <v>8.3000000000000007</v>
      </c>
      <c r="D69" s="70">
        <f t="shared" si="27"/>
        <v>2.8000000000000003</v>
      </c>
      <c r="E69" s="70">
        <f t="shared" si="27"/>
        <v>1.5</v>
      </c>
      <c r="F69" s="70">
        <f t="shared" si="27"/>
        <v>6</v>
      </c>
      <c r="G69" s="70">
        <f t="shared" si="27"/>
        <v>12</v>
      </c>
      <c r="H69" s="70">
        <f t="shared" si="27"/>
        <v>10</v>
      </c>
      <c r="I69" s="70">
        <f>J68*I67</f>
        <v>0</v>
      </c>
      <c r="J69" s="70">
        <f>SUM(B69:I69)</f>
        <v>43.95</v>
      </c>
      <c r="K69" s="86"/>
      <c r="L69" s="87" t="s">
        <v>141</v>
      </c>
      <c r="M69" s="70">
        <f t="shared" ref="M69:V69" si="28">M68*M67</f>
        <v>3.4000000000000004</v>
      </c>
      <c r="N69" s="70">
        <f t="shared" si="28"/>
        <v>8.3000000000000007</v>
      </c>
      <c r="O69" s="70">
        <f t="shared" si="28"/>
        <v>2.8000000000000003</v>
      </c>
      <c r="P69" s="70">
        <f t="shared" si="28"/>
        <v>1</v>
      </c>
      <c r="Q69" s="70">
        <f t="shared" si="28"/>
        <v>18</v>
      </c>
      <c r="R69" s="70">
        <f t="shared" si="28"/>
        <v>4</v>
      </c>
      <c r="S69" s="70">
        <f t="shared" si="28"/>
        <v>5</v>
      </c>
      <c r="T69" s="70">
        <f t="shared" si="28"/>
        <v>10</v>
      </c>
      <c r="U69" s="70">
        <f t="shared" si="28"/>
        <v>160</v>
      </c>
      <c r="V69" s="70">
        <f t="shared" si="28"/>
        <v>50</v>
      </c>
      <c r="W69" s="130"/>
      <c r="X69" s="70">
        <f>SUM(M69:V69)</f>
        <v>262.5</v>
      </c>
      <c r="Y69" s="96">
        <f>X69-J69</f>
        <v>218.55</v>
      </c>
      <c r="Z69" s="94">
        <v>97.3</v>
      </c>
      <c r="AA69" s="94">
        <v>57.9</v>
      </c>
      <c r="AB69" s="97">
        <f>Y69+AA69</f>
        <v>276.45</v>
      </c>
      <c r="AC69" s="85">
        <v>97.3</v>
      </c>
      <c r="AD69" s="96">
        <f>Z69-AC69</f>
        <v>0</v>
      </c>
      <c r="AE69" s="96">
        <f>Y69-Z69</f>
        <v>121.25000000000001</v>
      </c>
      <c r="AF69" s="85">
        <v>35</v>
      </c>
      <c r="AG69" s="96">
        <f>AE69-AF69</f>
        <v>86.250000000000014</v>
      </c>
      <c r="AH69" s="49"/>
      <c r="AI69" s="98">
        <f>(SUM(Z69:AA69)/(1+10/100))*(10/100)</f>
        <v>14.109090909090908</v>
      </c>
      <c r="AJ69" s="49"/>
      <c r="AK69" s="49"/>
      <c r="AL69" s="49"/>
    </row>
    <row r="71" spans="1:38" ht="38.25" x14ac:dyDescent="0.2">
      <c r="A71" s="83" t="s">
        <v>135</v>
      </c>
      <c r="B71" s="84">
        <v>45917</v>
      </c>
      <c r="C71" s="85"/>
      <c r="D71" s="85"/>
      <c r="E71" s="85"/>
      <c r="F71" s="85"/>
      <c r="G71" s="85"/>
      <c r="H71" s="85"/>
      <c r="I71" s="85"/>
      <c r="J71" s="85"/>
      <c r="K71" s="86"/>
      <c r="L71" s="83" t="s">
        <v>136</v>
      </c>
      <c r="M71" s="84">
        <v>45917</v>
      </c>
      <c r="N71" s="85"/>
      <c r="O71" s="85"/>
      <c r="P71" s="85"/>
      <c r="Q71" s="85"/>
      <c r="R71" s="85"/>
      <c r="S71" s="85"/>
      <c r="T71" s="85"/>
      <c r="U71" s="85"/>
      <c r="V71" s="85"/>
      <c r="W71" s="88" t="s">
        <v>333</v>
      </c>
      <c r="X71" s="87" t="s">
        <v>141</v>
      </c>
      <c r="Y71" s="88" t="s">
        <v>192</v>
      </c>
      <c r="Z71" s="89" t="s">
        <v>142</v>
      </c>
      <c r="AA71" s="90" t="s">
        <v>193</v>
      </c>
      <c r="AB71" s="91" t="s">
        <v>194</v>
      </c>
      <c r="AC71" s="88" t="s">
        <v>312</v>
      </c>
      <c r="AD71" s="87" t="s">
        <v>195</v>
      </c>
      <c r="AE71" s="87" t="s">
        <v>196</v>
      </c>
      <c r="AF71" s="88" t="s">
        <v>313</v>
      </c>
      <c r="AG71" s="87" t="s">
        <v>198</v>
      </c>
      <c r="AH71" s="49"/>
      <c r="AI71" s="92"/>
      <c r="AJ71" s="49"/>
      <c r="AK71" s="49"/>
      <c r="AL71" s="49"/>
    </row>
    <row r="72" spans="1:38" ht="12.75" x14ac:dyDescent="0.2">
      <c r="A72" s="87" t="s">
        <v>199</v>
      </c>
      <c r="B72" s="93">
        <v>0.05</v>
      </c>
      <c r="C72" s="93">
        <v>0.1</v>
      </c>
      <c r="D72" s="93">
        <v>0.2</v>
      </c>
      <c r="E72" s="93">
        <v>0.5</v>
      </c>
      <c r="F72" s="93">
        <v>1</v>
      </c>
      <c r="G72" s="93">
        <v>2</v>
      </c>
      <c r="H72" s="93">
        <v>5</v>
      </c>
      <c r="I72" s="93">
        <v>10</v>
      </c>
      <c r="J72" s="49"/>
      <c r="K72" s="86"/>
      <c r="L72" s="87" t="s">
        <v>199</v>
      </c>
      <c r="M72" s="93">
        <v>0.05</v>
      </c>
      <c r="N72" s="93">
        <v>0.1</v>
      </c>
      <c r="O72" s="93">
        <v>0.2</v>
      </c>
      <c r="P72" s="93">
        <v>0.5</v>
      </c>
      <c r="Q72" s="93">
        <v>1</v>
      </c>
      <c r="R72" s="93">
        <v>2</v>
      </c>
      <c r="S72" s="93">
        <v>5</v>
      </c>
      <c r="T72" s="93">
        <v>10</v>
      </c>
      <c r="U72" s="93">
        <v>20</v>
      </c>
      <c r="V72" s="93">
        <v>50</v>
      </c>
      <c r="W72" s="129"/>
      <c r="X72" s="85"/>
      <c r="Y72" s="85"/>
      <c r="Z72" s="49"/>
      <c r="AA72" s="94"/>
      <c r="AB72" s="95"/>
      <c r="AC72" s="85"/>
      <c r="AD72" s="85"/>
      <c r="AE72" s="85"/>
      <c r="AF72" s="85"/>
      <c r="AG72" s="85"/>
      <c r="AH72" s="49"/>
      <c r="AI72" s="92"/>
      <c r="AJ72" s="49"/>
      <c r="AK72" s="49"/>
      <c r="AL72" s="49"/>
    </row>
    <row r="73" spans="1:38" ht="12.75" x14ac:dyDescent="0.2">
      <c r="A73" s="87" t="s">
        <v>200</v>
      </c>
      <c r="B73" s="38">
        <v>68</v>
      </c>
      <c r="C73" s="38">
        <v>83</v>
      </c>
      <c r="D73" s="38">
        <v>14</v>
      </c>
      <c r="E73" s="38">
        <v>2</v>
      </c>
      <c r="F73" s="38">
        <v>18</v>
      </c>
      <c r="G73" s="38">
        <v>2</v>
      </c>
      <c r="H73" s="38">
        <v>1</v>
      </c>
      <c r="I73" s="85"/>
      <c r="J73" s="85"/>
      <c r="K73" s="86"/>
      <c r="L73" s="87" t="s">
        <v>200</v>
      </c>
      <c r="M73" s="38">
        <v>71</v>
      </c>
      <c r="N73" s="38">
        <v>86</v>
      </c>
      <c r="O73" s="38">
        <v>22</v>
      </c>
      <c r="P73" s="38">
        <v>12</v>
      </c>
      <c r="Q73" s="38">
        <v>16</v>
      </c>
      <c r="R73" s="38">
        <v>9</v>
      </c>
      <c r="S73" s="38">
        <v>9</v>
      </c>
      <c r="T73" s="49">
        <v>9</v>
      </c>
      <c r="U73" s="49">
        <v>5</v>
      </c>
      <c r="V73" s="85">
        <v>1</v>
      </c>
      <c r="W73" s="129"/>
      <c r="X73" s="85"/>
      <c r="Y73" s="85"/>
      <c r="Z73" s="49"/>
      <c r="AA73" s="94"/>
      <c r="AB73" s="95"/>
      <c r="AC73" s="85"/>
      <c r="AD73" s="85"/>
      <c r="AE73" s="85"/>
      <c r="AF73" s="85"/>
      <c r="AG73" s="85"/>
      <c r="AH73" s="49"/>
      <c r="AI73" s="92"/>
      <c r="AJ73" s="49"/>
      <c r="AK73" s="49"/>
      <c r="AL73" s="49"/>
    </row>
    <row r="74" spans="1:38" ht="12.75" x14ac:dyDescent="0.2">
      <c r="A74" s="87" t="s">
        <v>141</v>
      </c>
      <c r="B74" s="70">
        <f t="shared" ref="B74:H74" si="29">B73*B72</f>
        <v>3.4000000000000004</v>
      </c>
      <c r="C74" s="70">
        <f t="shared" si="29"/>
        <v>8.3000000000000007</v>
      </c>
      <c r="D74" s="70">
        <f t="shared" si="29"/>
        <v>2.8000000000000003</v>
      </c>
      <c r="E74" s="70">
        <f t="shared" si="29"/>
        <v>1</v>
      </c>
      <c r="F74" s="70">
        <f t="shared" si="29"/>
        <v>18</v>
      </c>
      <c r="G74" s="70">
        <f t="shared" si="29"/>
        <v>4</v>
      </c>
      <c r="H74" s="70">
        <f t="shared" si="29"/>
        <v>5</v>
      </c>
      <c r="I74" s="70">
        <f>J73*I72</f>
        <v>0</v>
      </c>
      <c r="J74" s="70">
        <f>SUM(B74:I74)</f>
        <v>42.5</v>
      </c>
      <c r="K74" s="86"/>
      <c r="L74" s="87" t="s">
        <v>141</v>
      </c>
      <c r="M74" s="70">
        <f t="shared" ref="M74:V74" si="30">M73*M72</f>
        <v>3.5500000000000003</v>
      </c>
      <c r="N74" s="70">
        <f t="shared" si="30"/>
        <v>8.6</v>
      </c>
      <c r="O74" s="70">
        <f t="shared" si="30"/>
        <v>4.4000000000000004</v>
      </c>
      <c r="P74" s="70">
        <f t="shared" si="30"/>
        <v>6</v>
      </c>
      <c r="Q74" s="70">
        <f t="shared" si="30"/>
        <v>16</v>
      </c>
      <c r="R74" s="70">
        <f t="shared" si="30"/>
        <v>18</v>
      </c>
      <c r="S74" s="70">
        <f t="shared" si="30"/>
        <v>45</v>
      </c>
      <c r="T74" s="70">
        <f t="shared" si="30"/>
        <v>90</v>
      </c>
      <c r="U74" s="70">
        <f t="shared" si="30"/>
        <v>100</v>
      </c>
      <c r="V74" s="70">
        <f t="shared" si="30"/>
        <v>50</v>
      </c>
      <c r="W74" s="130"/>
      <c r="X74" s="70">
        <f>SUM(M74:V74)</f>
        <v>341.55</v>
      </c>
      <c r="Y74" s="96">
        <f>X74-J74</f>
        <v>299.05</v>
      </c>
      <c r="Z74" s="94">
        <v>150.9</v>
      </c>
      <c r="AA74" s="94">
        <v>89.3</v>
      </c>
      <c r="AB74" s="97">
        <f>Y74+AA74</f>
        <v>388.35</v>
      </c>
      <c r="AC74" s="85">
        <v>53</v>
      </c>
      <c r="AD74" s="96">
        <f>Z74-AC74</f>
        <v>97.9</v>
      </c>
      <c r="AE74" s="96">
        <f>Y74-Z74</f>
        <v>148.15</v>
      </c>
      <c r="AF74" s="85">
        <v>20</v>
      </c>
      <c r="AG74" s="96">
        <f>AE74-AF74</f>
        <v>128.15</v>
      </c>
      <c r="AH74" s="49"/>
      <c r="AI74" s="98">
        <f>(SUM(Z74:AA74)/(1+10/100))*(10/100)</f>
        <v>21.836363636363636</v>
      </c>
      <c r="AJ74" s="49"/>
      <c r="AK74" s="49"/>
      <c r="AL74" s="49"/>
    </row>
    <row r="76" spans="1:38" ht="38.25" x14ac:dyDescent="0.2">
      <c r="A76" s="83" t="s">
        <v>135</v>
      </c>
      <c r="B76" s="84">
        <v>45918</v>
      </c>
      <c r="C76" s="85"/>
      <c r="D76" s="85"/>
      <c r="E76" s="85"/>
      <c r="F76" s="85"/>
      <c r="G76" s="85"/>
      <c r="H76" s="85"/>
      <c r="I76" s="85"/>
      <c r="J76" s="85"/>
      <c r="K76" s="86"/>
      <c r="L76" s="83" t="s">
        <v>136</v>
      </c>
      <c r="M76" s="84">
        <v>45918</v>
      </c>
      <c r="N76" s="85"/>
      <c r="O76" s="85"/>
      <c r="P76" s="85"/>
      <c r="Q76" s="85"/>
      <c r="R76" s="85"/>
      <c r="S76" s="85"/>
      <c r="T76" s="85"/>
      <c r="U76" s="85"/>
      <c r="V76" s="85"/>
      <c r="W76" s="88" t="s">
        <v>333</v>
      </c>
      <c r="X76" s="87" t="s">
        <v>141</v>
      </c>
      <c r="Y76" s="88" t="s">
        <v>192</v>
      </c>
      <c r="Z76" s="89" t="s">
        <v>142</v>
      </c>
      <c r="AA76" s="90" t="s">
        <v>193</v>
      </c>
      <c r="AB76" s="91" t="s">
        <v>194</v>
      </c>
      <c r="AC76" s="88" t="s">
        <v>312</v>
      </c>
      <c r="AD76" s="87" t="s">
        <v>195</v>
      </c>
      <c r="AE76" s="87" t="s">
        <v>196</v>
      </c>
      <c r="AF76" s="88" t="s">
        <v>313</v>
      </c>
      <c r="AG76" s="87" t="s">
        <v>198</v>
      </c>
      <c r="AH76" s="49"/>
      <c r="AI76" s="92"/>
      <c r="AJ76" s="49"/>
      <c r="AK76" s="49"/>
      <c r="AL76" s="49"/>
    </row>
    <row r="77" spans="1:38" ht="12.75" x14ac:dyDescent="0.2">
      <c r="A77" s="87" t="s">
        <v>199</v>
      </c>
      <c r="B77" s="93">
        <v>0.05</v>
      </c>
      <c r="C77" s="93">
        <v>0.1</v>
      </c>
      <c r="D77" s="93">
        <v>0.2</v>
      </c>
      <c r="E77" s="93">
        <v>0.5</v>
      </c>
      <c r="F77" s="93">
        <v>1</v>
      </c>
      <c r="G77" s="93">
        <v>2</v>
      </c>
      <c r="H77" s="93">
        <v>5</v>
      </c>
      <c r="I77" s="93">
        <v>10</v>
      </c>
      <c r="J77" s="49"/>
      <c r="K77" s="86"/>
      <c r="L77" s="87" t="s">
        <v>199</v>
      </c>
      <c r="M77" s="93">
        <v>0.05</v>
      </c>
      <c r="N77" s="93">
        <v>0.1</v>
      </c>
      <c r="O77" s="93">
        <v>0.2</v>
      </c>
      <c r="P77" s="93">
        <v>0.5</v>
      </c>
      <c r="Q77" s="93">
        <v>1</v>
      </c>
      <c r="R77" s="93">
        <v>2</v>
      </c>
      <c r="S77" s="93">
        <v>5</v>
      </c>
      <c r="T77" s="93">
        <v>10</v>
      </c>
      <c r="U77" s="93">
        <v>20</v>
      </c>
      <c r="V77" s="93">
        <v>50</v>
      </c>
      <c r="W77" s="129"/>
      <c r="X77" s="85"/>
      <c r="Y77" s="85"/>
      <c r="Z77" s="49"/>
      <c r="AA77" s="94"/>
      <c r="AB77" s="95"/>
      <c r="AC77" s="85"/>
      <c r="AD77" s="85"/>
      <c r="AE77" s="85"/>
      <c r="AF77" s="85"/>
      <c r="AG77" s="85"/>
      <c r="AH77" s="49"/>
      <c r="AI77" s="92"/>
      <c r="AJ77" s="49"/>
      <c r="AK77" s="49"/>
      <c r="AL77" s="49"/>
    </row>
    <row r="78" spans="1:38" ht="12.75" x14ac:dyDescent="0.2">
      <c r="A78" s="87" t="s">
        <v>200</v>
      </c>
      <c r="B78" s="38">
        <v>71</v>
      </c>
      <c r="C78" s="38">
        <v>46</v>
      </c>
      <c r="D78" s="38">
        <v>17</v>
      </c>
      <c r="E78" s="38">
        <v>8</v>
      </c>
      <c r="F78" s="38">
        <v>10</v>
      </c>
      <c r="G78" s="38">
        <v>5</v>
      </c>
      <c r="H78" s="38">
        <v>1</v>
      </c>
      <c r="I78" s="85"/>
      <c r="J78" s="85"/>
      <c r="K78" s="86"/>
      <c r="L78" s="87" t="s">
        <v>200</v>
      </c>
      <c r="M78" s="38">
        <v>77</v>
      </c>
      <c r="N78" s="38">
        <v>46</v>
      </c>
      <c r="O78" s="38">
        <v>13</v>
      </c>
      <c r="P78" s="38">
        <v>10</v>
      </c>
      <c r="Q78" s="38">
        <v>5</v>
      </c>
      <c r="R78" s="38">
        <v>6</v>
      </c>
      <c r="S78" s="38">
        <v>7</v>
      </c>
      <c r="T78" s="49">
        <v>7</v>
      </c>
      <c r="U78" s="49">
        <v>2</v>
      </c>
      <c r="V78" s="85">
        <v>2</v>
      </c>
      <c r="W78" s="129"/>
      <c r="X78" s="85"/>
      <c r="Y78" s="85"/>
      <c r="Z78" s="49"/>
      <c r="AA78" s="94"/>
      <c r="AB78" s="95"/>
      <c r="AC78" s="85"/>
      <c r="AD78" s="85"/>
      <c r="AE78" s="85"/>
      <c r="AF78" s="85"/>
      <c r="AG78" s="85"/>
      <c r="AH78" s="49"/>
      <c r="AI78" s="92"/>
      <c r="AJ78" s="49"/>
      <c r="AK78" s="49"/>
      <c r="AL78" s="49"/>
    </row>
    <row r="79" spans="1:38" ht="12.75" x14ac:dyDescent="0.2">
      <c r="A79" s="87" t="s">
        <v>141</v>
      </c>
      <c r="B79" s="70">
        <f t="shared" ref="B79:H79" si="31">B78*B77</f>
        <v>3.5500000000000003</v>
      </c>
      <c r="C79" s="70">
        <f t="shared" si="31"/>
        <v>4.6000000000000005</v>
      </c>
      <c r="D79" s="70">
        <f t="shared" si="31"/>
        <v>3.4000000000000004</v>
      </c>
      <c r="E79" s="70">
        <f t="shared" si="31"/>
        <v>4</v>
      </c>
      <c r="F79" s="70">
        <f t="shared" si="31"/>
        <v>10</v>
      </c>
      <c r="G79" s="70">
        <f t="shared" si="31"/>
        <v>10</v>
      </c>
      <c r="H79" s="70">
        <f t="shared" si="31"/>
        <v>5</v>
      </c>
      <c r="I79" s="70">
        <f>J78*I77</f>
        <v>0</v>
      </c>
      <c r="J79" s="70">
        <f>SUM(B79:I79)</f>
        <v>40.549999999999997</v>
      </c>
      <c r="K79" s="86"/>
      <c r="L79" s="87" t="s">
        <v>141</v>
      </c>
      <c r="M79" s="70">
        <f t="shared" ref="M79:V79" si="32">M78*M77</f>
        <v>3.85</v>
      </c>
      <c r="N79" s="70">
        <f t="shared" si="32"/>
        <v>4.6000000000000005</v>
      </c>
      <c r="O79" s="70">
        <f t="shared" si="32"/>
        <v>2.6</v>
      </c>
      <c r="P79" s="70">
        <f t="shared" si="32"/>
        <v>5</v>
      </c>
      <c r="Q79" s="70">
        <f t="shared" si="32"/>
        <v>5</v>
      </c>
      <c r="R79" s="70">
        <f t="shared" si="32"/>
        <v>12</v>
      </c>
      <c r="S79" s="70">
        <f t="shared" si="32"/>
        <v>35</v>
      </c>
      <c r="T79" s="70">
        <f t="shared" si="32"/>
        <v>70</v>
      </c>
      <c r="U79" s="70">
        <f t="shared" si="32"/>
        <v>40</v>
      </c>
      <c r="V79" s="70">
        <f t="shared" si="32"/>
        <v>100</v>
      </c>
      <c r="W79" s="130"/>
      <c r="X79" s="70">
        <f>SUM(M79:V79)</f>
        <v>278.05</v>
      </c>
      <c r="Y79" s="96">
        <f>X79-J79</f>
        <v>237.5</v>
      </c>
      <c r="Z79" s="94">
        <v>102.2</v>
      </c>
      <c r="AA79" s="94">
        <v>19.8</v>
      </c>
      <c r="AB79" s="97">
        <f>Y79+AA79</f>
        <v>257.3</v>
      </c>
      <c r="AC79" s="85">
        <v>60</v>
      </c>
      <c r="AD79" s="96">
        <f>Z79-AC79</f>
        <v>42.2</v>
      </c>
      <c r="AE79" s="96">
        <f>Y79-Z79</f>
        <v>135.30000000000001</v>
      </c>
      <c r="AF79" s="85"/>
      <c r="AG79" s="96">
        <f>AE79-AF79</f>
        <v>135.30000000000001</v>
      </c>
      <c r="AH79" s="49"/>
      <c r="AI79" s="98">
        <f>(SUM(Z79:AA79)/(1+10/100))*(10/100)</f>
        <v>11.090909090909092</v>
      </c>
      <c r="AJ79" s="49"/>
      <c r="AK79" s="49"/>
      <c r="AL79" s="49"/>
    </row>
    <row r="81" spans="1:38" ht="38.25" x14ac:dyDescent="0.2">
      <c r="A81" s="83" t="s">
        <v>135</v>
      </c>
      <c r="B81" s="84">
        <v>45919</v>
      </c>
      <c r="C81" s="85"/>
      <c r="D81" s="85"/>
      <c r="E81" s="85"/>
      <c r="F81" s="85"/>
      <c r="G81" s="85"/>
      <c r="H81" s="85"/>
      <c r="I81" s="85"/>
      <c r="J81" s="85"/>
      <c r="K81" s="86"/>
      <c r="L81" s="83" t="s">
        <v>136</v>
      </c>
      <c r="M81" s="84">
        <v>45919</v>
      </c>
      <c r="N81" s="85"/>
      <c r="O81" s="85"/>
      <c r="P81" s="85"/>
      <c r="Q81" s="85"/>
      <c r="R81" s="85"/>
      <c r="S81" s="85"/>
      <c r="T81" s="85"/>
      <c r="U81" s="85"/>
      <c r="V81" s="85"/>
      <c r="W81" s="88" t="s">
        <v>333</v>
      </c>
      <c r="X81" s="87" t="s">
        <v>141</v>
      </c>
      <c r="Y81" s="88" t="s">
        <v>192</v>
      </c>
      <c r="Z81" s="89" t="s">
        <v>142</v>
      </c>
      <c r="AA81" s="90" t="s">
        <v>193</v>
      </c>
      <c r="AB81" s="91" t="s">
        <v>194</v>
      </c>
      <c r="AC81" s="88" t="s">
        <v>312</v>
      </c>
      <c r="AD81" s="87" t="s">
        <v>195</v>
      </c>
      <c r="AE81" s="87" t="s">
        <v>196</v>
      </c>
      <c r="AF81" s="88" t="s">
        <v>313</v>
      </c>
      <c r="AG81" s="87" t="s">
        <v>198</v>
      </c>
      <c r="AH81" s="49"/>
      <c r="AI81" s="92"/>
      <c r="AJ81" s="49"/>
      <c r="AK81" s="49"/>
      <c r="AL81" s="49"/>
    </row>
    <row r="82" spans="1:38" ht="12.75" x14ac:dyDescent="0.2">
      <c r="A82" s="87" t="s">
        <v>199</v>
      </c>
      <c r="B82" s="93">
        <v>0.05</v>
      </c>
      <c r="C82" s="93">
        <v>0.1</v>
      </c>
      <c r="D82" s="93">
        <v>0.2</v>
      </c>
      <c r="E82" s="93">
        <v>0.5</v>
      </c>
      <c r="F82" s="93">
        <v>1</v>
      </c>
      <c r="G82" s="93">
        <v>2</v>
      </c>
      <c r="H82" s="93">
        <v>5</v>
      </c>
      <c r="I82" s="93">
        <v>10</v>
      </c>
      <c r="J82" s="49"/>
      <c r="K82" s="86"/>
      <c r="L82" s="87" t="s">
        <v>199</v>
      </c>
      <c r="M82" s="93">
        <v>0.05</v>
      </c>
      <c r="N82" s="93">
        <v>0.1</v>
      </c>
      <c r="O82" s="93">
        <v>0.2</v>
      </c>
      <c r="P82" s="93">
        <v>0.5</v>
      </c>
      <c r="Q82" s="93">
        <v>1</v>
      </c>
      <c r="R82" s="93">
        <v>2</v>
      </c>
      <c r="S82" s="93">
        <v>5</v>
      </c>
      <c r="T82" s="93">
        <v>10</v>
      </c>
      <c r="U82" s="93">
        <v>20</v>
      </c>
      <c r="V82" s="93">
        <v>50</v>
      </c>
      <c r="W82" s="129"/>
      <c r="X82" s="85"/>
      <c r="Y82" s="85"/>
      <c r="Z82" s="49"/>
      <c r="AA82" s="94"/>
      <c r="AB82" s="95"/>
      <c r="AC82" s="85"/>
      <c r="AD82" s="85"/>
      <c r="AE82" s="85"/>
      <c r="AF82" s="85"/>
      <c r="AG82" s="85"/>
      <c r="AH82" s="49"/>
      <c r="AI82" s="92"/>
      <c r="AJ82" s="49"/>
      <c r="AK82" s="49"/>
      <c r="AL82" s="49"/>
    </row>
    <row r="83" spans="1:38" ht="12.75" x14ac:dyDescent="0.2">
      <c r="A83" s="87" t="s">
        <v>200</v>
      </c>
      <c r="B83" s="38">
        <v>77</v>
      </c>
      <c r="C83" s="38">
        <v>46</v>
      </c>
      <c r="D83" s="38">
        <v>13</v>
      </c>
      <c r="E83" s="38">
        <v>10</v>
      </c>
      <c r="F83" s="38">
        <v>5</v>
      </c>
      <c r="G83" s="49">
        <v>6</v>
      </c>
      <c r="H83" s="85">
        <v>2</v>
      </c>
      <c r="I83" s="85"/>
      <c r="J83" s="85"/>
      <c r="K83" s="86"/>
      <c r="L83" s="87" t="s">
        <v>200</v>
      </c>
      <c r="M83" s="38">
        <v>82</v>
      </c>
      <c r="N83" s="38">
        <v>45</v>
      </c>
      <c r="O83" s="38">
        <v>14</v>
      </c>
      <c r="P83" s="38">
        <v>10</v>
      </c>
      <c r="Q83" s="38">
        <v>11</v>
      </c>
      <c r="R83" s="38">
        <v>5</v>
      </c>
      <c r="S83" s="38">
        <v>3</v>
      </c>
      <c r="T83" s="49"/>
      <c r="U83" s="49">
        <v>7</v>
      </c>
      <c r="V83" s="85">
        <v>2</v>
      </c>
      <c r="W83" s="129"/>
      <c r="X83" s="85"/>
      <c r="Y83" s="85"/>
      <c r="Z83" s="49"/>
      <c r="AA83" s="94"/>
      <c r="AB83" s="95"/>
      <c r="AC83" s="85"/>
      <c r="AD83" s="85"/>
      <c r="AE83" s="85"/>
      <c r="AF83" s="85"/>
      <c r="AG83" s="85"/>
      <c r="AH83" s="49"/>
      <c r="AI83" s="92"/>
      <c r="AJ83" s="49"/>
      <c r="AK83" s="49"/>
      <c r="AL83" s="49"/>
    </row>
    <row r="84" spans="1:38" ht="12.75" x14ac:dyDescent="0.2">
      <c r="A84" s="87" t="s">
        <v>141</v>
      </c>
      <c r="B84" s="70">
        <f t="shared" ref="B84:H84" si="33">B83*B82</f>
        <v>3.85</v>
      </c>
      <c r="C84" s="70">
        <f t="shared" si="33"/>
        <v>4.6000000000000005</v>
      </c>
      <c r="D84" s="70">
        <f t="shared" si="33"/>
        <v>2.6</v>
      </c>
      <c r="E84" s="70">
        <f t="shared" si="33"/>
        <v>5</v>
      </c>
      <c r="F84" s="70">
        <f t="shared" si="33"/>
        <v>5</v>
      </c>
      <c r="G84" s="70">
        <f t="shared" si="33"/>
        <v>12</v>
      </c>
      <c r="H84" s="70">
        <f t="shared" si="33"/>
        <v>10</v>
      </c>
      <c r="I84" s="70">
        <f>J83*I82</f>
        <v>0</v>
      </c>
      <c r="J84" s="70">
        <f>SUM(B84:I84)</f>
        <v>43.05</v>
      </c>
      <c r="K84" s="86"/>
      <c r="L84" s="87" t="s">
        <v>141</v>
      </c>
      <c r="M84" s="70">
        <f t="shared" ref="M84:V84" si="34">M83*M82</f>
        <v>4.1000000000000005</v>
      </c>
      <c r="N84" s="70">
        <f t="shared" si="34"/>
        <v>4.5</v>
      </c>
      <c r="O84" s="70">
        <f t="shared" si="34"/>
        <v>2.8000000000000003</v>
      </c>
      <c r="P84" s="70">
        <f t="shared" si="34"/>
        <v>5</v>
      </c>
      <c r="Q84" s="70">
        <f t="shared" si="34"/>
        <v>11</v>
      </c>
      <c r="R84" s="70">
        <f t="shared" si="34"/>
        <v>10</v>
      </c>
      <c r="S84" s="70">
        <f t="shared" si="34"/>
        <v>15</v>
      </c>
      <c r="T84" s="70">
        <f t="shared" si="34"/>
        <v>0</v>
      </c>
      <c r="U84" s="70">
        <f t="shared" si="34"/>
        <v>140</v>
      </c>
      <c r="V84" s="70">
        <f t="shared" si="34"/>
        <v>100</v>
      </c>
      <c r="W84" s="130"/>
      <c r="X84" s="70">
        <f>SUM(M84:V84)</f>
        <v>292.39999999999998</v>
      </c>
      <c r="Y84" s="96">
        <f>X84-J84</f>
        <v>249.34999999999997</v>
      </c>
      <c r="Z84" s="94">
        <v>194.6</v>
      </c>
      <c r="AA84" s="94">
        <v>116.2</v>
      </c>
      <c r="AB84" s="97">
        <f>Y84+AA84</f>
        <v>365.54999999999995</v>
      </c>
      <c r="AC84" s="85">
        <v>50</v>
      </c>
      <c r="AD84" s="96">
        <f>Z84-AC84</f>
        <v>144.6</v>
      </c>
      <c r="AE84" s="96">
        <f>Y84-Z84</f>
        <v>54.749999999999972</v>
      </c>
      <c r="AF84" s="85"/>
      <c r="AG84" s="96">
        <f>AE84-AF84</f>
        <v>54.749999999999972</v>
      </c>
      <c r="AH84" s="49"/>
      <c r="AI84" s="98">
        <f>(SUM(Z84:AA84)/(1+10/100))*(10/100)</f>
        <v>28.254545454545458</v>
      </c>
      <c r="AJ84" s="49"/>
      <c r="AK84" s="49"/>
      <c r="AL84" s="49"/>
    </row>
    <row r="86" spans="1:38" ht="38.25" x14ac:dyDescent="0.2">
      <c r="A86" s="83" t="s">
        <v>135</v>
      </c>
      <c r="B86" s="84">
        <v>45920</v>
      </c>
      <c r="C86" s="85"/>
      <c r="D86" s="85"/>
      <c r="E86" s="85"/>
      <c r="F86" s="85"/>
      <c r="G86" s="85"/>
      <c r="H86" s="85"/>
      <c r="I86" s="85"/>
      <c r="J86" s="85"/>
      <c r="K86" s="86"/>
      <c r="L86" s="83" t="s">
        <v>136</v>
      </c>
      <c r="M86" s="84">
        <v>45920</v>
      </c>
      <c r="N86" s="85"/>
      <c r="O86" s="85"/>
      <c r="P86" s="85"/>
      <c r="Q86" s="85"/>
      <c r="R86" s="85"/>
      <c r="S86" s="85"/>
      <c r="T86" s="85"/>
      <c r="U86" s="85"/>
      <c r="V86" s="85"/>
      <c r="W86" s="88" t="s">
        <v>333</v>
      </c>
      <c r="X86" s="87" t="s">
        <v>141</v>
      </c>
      <c r="Y86" s="88" t="s">
        <v>192</v>
      </c>
      <c r="Z86" s="89" t="s">
        <v>142</v>
      </c>
      <c r="AA86" s="90" t="s">
        <v>193</v>
      </c>
      <c r="AB86" s="91" t="s">
        <v>194</v>
      </c>
      <c r="AC86" s="88" t="s">
        <v>312</v>
      </c>
      <c r="AD86" s="87" t="s">
        <v>195</v>
      </c>
      <c r="AE86" s="87" t="s">
        <v>196</v>
      </c>
      <c r="AF86" s="88" t="s">
        <v>313</v>
      </c>
      <c r="AG86" s="87" t="s">
        <v>198</v>
      </c>
      <c r="AH86" s="49"/>
      <c r="AI86" s="92"/>
      <c r="AJ86" s="49"/>
      <c r="AK86" s="49"/>
      <c r="AL86" s="49"/>
    </row>
    <row r="87" spans="1:38" ht="12.75" x14ac:dyDescent="0.2">
      <c r="A87" s="87" t="s">
        <v>199</v>
      </c>
      <c r="B87" s="93">
        <v>0.05</v>
      </c>
      <c r="C87" s="93">
        <v>0.1</v>
      </c>
      <c r="D87" s="93">
        <v>0.2</v>
      </c>
      <c r="E87" s="93">
        <v>0.5</v>
      </c>
      <c r="F87" s="93">
        <v>1</v>
      </c>
      <c r="G87" s="93">
        <v>2</v>
      </c>
      <c r="H87" s="93">
        <v>5</v>
      </c>
      <c r="I87" s="93">
        <v>10</v>
      </c>
      <c r="J87" s="49"/>
      <c r="K87" s="86"/>
      <c r="L87" s="87" t="s">
        <v>199</v>
      </c>
      <c r="M87" s="93">
        <v>0.05</v>
      </c>
      <c r="N87" s="93">
        <v>0.1</v>
      </c>
      <c r="O87" s="93">
        <v>0.2</v>
      </c>
      <c r="P87" s="93">
        <v>0.5</v>
      </c>
      <c r="Q87" s="93">
        <v>1</v>
      </c>
      <c r="R87" s="93">
        <v>2</v>
      </c>
      <c r="S87" s="93">
        <v>5</v>
      </c>
      <c r="T87" s="93">
        <v>10</v>
      </c>
      <c r="U87" s="93">
        <v>20</v>
      </c>
      <c r="V87" s="93">
        <v>50</v>
      </c>
      <c r="W87" s="129"/>
      <c r="X87" s="85"/>
      <c r="Y87" s="85"/>
      <c r="Z87" s="49"/>
      <c r="AA87" s="94"/>
      <c r="AB87" s="95"/>
      <c r="AC87" s="85"/>
      <c r="AD87" s="85"/>
      <c r="AE87" s="85"/>
      <c r="AF87" s="85"/>
      <c r="AG87" s="85"/>
      <c r="AH87" s="49"/>
      <c r="AI87" s="92"/>
      <c r="AJ87" s="49"/>
      <c r="AK87" s="49"/>
      <c r="AL87" s="49"/>
    </row>
    <row r="88" spans="1:38" ht="12.75" x14ac:dyDescent="0.2">
      <c r="A88" s="87" t="s">
        <v>200</v>
      </c>
      <c r="B88" s="38">
        <v>82</v>
      </c>
      <c r="C88" s="38">
        <v>45</v>
      </c>
      <c r="D88" s="38">
        <v>14</v>
      </c>
      <c r="E88" s="38">
        <v>10</v>
      </c>
      <c r="F88" s="38">
        <v>6</v>
      </c>
      <c r="G88" s="38">
        <v>5</v>
      </c>
      <c r="H88" s="38"/>
      <c r="I88" s="85"/>
      <c r="J88" s="85"/>
      <c r="K88" s="86"/>
      <c r="L88" s="87" t="s">
        <v>200</v>
      </c>
      <c r="M88" s="38">
        <v>82</v>
      </c>
      <c r="N88" s="38">
        <v>44</v>
      </c>
      <c r="O88" s="38">
        <v>16</v>
      </c>
      <c r="P88" s="38">
        <v>8</v>
      </c>
      <c r="Q88" s="38">
        <v>9</v>
      </c>
      <c r="R88" s="38">
        <v>9</v>
      </c>
      <c r="S88" s="38">
        <v>5</v>
      </c>
      <c r="T88" s="49">
        <v>6</v>
      </c>
      <c r="U88" s="49">
        <v>5</v>
      </c>
      <c r="V88" s="85"/>
      <c r="W88" s="129"/>
      <c r="X88" s="85"/>
      <c r="Y88" s="85"/>
      <c r="Z88" s="49"/>
      <c r="AA88" s="94"/>
      <c r="AB88" s="95"/>
      <c r="AC88" s="85"/>
      <c r="AD88" s="85"/>
      <c r="AE88" s="85"/>
      <c r="AF88" s="85"/>
      <c r="AG88" s="85"/>
      <c r="AH88" s="49"/>
      <c r="AI88" s="92"/>
      <c r="AJ88" s="49"/>
      <c r="AK88" s="49"/>
      <c r="AL88" s="49"/>
    </row>
    <row r="89" spans="1:38" ht="12.75" x14ac:dyDescent="0.2">
      <c r="A89" s="87" t="s">
        <v>141</v>
      </c>
      <c r="B89" s="70">
        <f t="shared" ref="B89:H89" si="35">B88*B87</f>
        <v>4.1000000000000005</v>
      </c>
      <c r="C89" s="70">
        <f t="shared" si="35"/>
        <v>4.5</v>
      </c>
      <c r="D89" s="70">
        <f t="shared" si="35"/>
        <v>2.8000000000000003</v>
      </c>
      <c r="E89" s="70">
        <f t="shared" si="35"/>
        <v>5</v>
      </c>
      <c r="F89" s="70">
        <f t="shared" si="35"/>
        <v>6</v>
      </c>
      <c r="G89" s="70">
        <f t="shared" si="35"/>
        <v>10</v>
      </c>
      <c r="H89" s="70">
        <f t="shared" si="35"/>
        <v>0</v>
      </c>
      <c r="I89" s="70">
        <f>J88*I87</f>
        <v>0</v>
      </c>
      <c r="J89" s="70">
        <f>SUM(B89:I89)</f>
        <v>32.400000000000006</v>
      </c>
      <c r="K89" s="86"/>
      <c r="L89" s="87" t="s">
        <v>141</v>
      </c>
      <c r="M89" s="70">
        <f t="shared" ref="M89:V89" si="36">M88*M87</f>
        <v>4.1000000000000005</v>
      </c>
      <c r="N89" s="70">
        <f t="shared" si="36"/>
        <v>4.4000000000000004</v>
      </c>
      <c r="O89" s="70">
        <f t="shared" si="36"/>
        <v>3.2</v>
      </c>
      <c r="P89" s="70">
        <f t="shared" si="36"/>
        <v>4</v>
      </c>
      <c r="Q89" s="70">
        <f t="shared" si="36"/>
        <v>9</v>
      </c>
      <c r="R89" s="70">
        <f t="shared" si="36"/>
        <v>18</v>
      </c>
      <c r="S89" s="70">
        <f t="shared" si="36"/>
        <v>25</v>
      </c>
      <c r="T89" s="70">
        <f t="shared" si="36"/>
        <v>60</v>
      </c>
      <c r="U89" s="70">
        <f t="shared" si="36"/>
        <v>100</v>
      </c>
      <c r="V89" s="70">
        <f t="shared" si="36"/>
        <v>0</v>
      </c>
      <c r="W89" s="130"/>
      <c r="X89" s="70">
        <f>SUM(M89:V89)</f>
        <v>227.7</v>
      </c>
      <c r="Y89" s="96">
        <f>X89-J89</f>
        <v>195.29999999999998</v>
      </c>
      <c r="Z89" s="94">
        <v>144.5</v>
      </c>
      <c r="AA89" s="94">
        <v>30.7</v>
      </c>
      <c r="AB89" s="97">
        <f>Y89+AA89</f>
        <v>225.99999999999997</v>
      </c>
      <c r="AC89" s="85">
        <v>144.5</v>
      </c>
      <c r="AD89" s="96">
        <f>Z89-AC89</f>
        <v>0</v>
      </c>
      <c r="AE89" s="96">
        <f>Y89-Z89</f>
        <v>50.799999999999983</v>
      </c>
      <c r="AF89" s="85"/>
      <c r="AG89" s="96">
        <f>AE89-AF89</f>
        <v>50.799999999999983</v>
      </c>
      <c r="AH89" s="49"/>
      <c r="AI89" s="98">
        <f>(SUM(Z89:AA89)/(1+10/100))*(10/100)</f>
        <v>15.927272727272726</v>
      </c>
      <c r="AJ89" s="49"/>
      <c r="AK89" s="49"/>
      <c r="AL89" s="49"/>
    </row>
    <row r="91" spans="1:38" ht="38.25" x14ac:dyDescent="0.2">
      <c r="A91" s="83" t="s">
        <v>135</v>
      </c>
      <c r="B91" s="84">
        <v>45922</v>
      </c>
      <c r="C91" s="85"/>
      <c r="D91" s="85"/>
      <c r="E91" s="85"/>
      <c r="F91" s="85"/>
      <c r="G91" s="85"/>
      <c r="H91" s="85"/>
      <c r="I91" s="85"/>
      <c r="J91" s="85"/>
      <c r="K91" s="86"/>
      <c r="L91" s="83" t="s">
        <v>136</v>
      </c>
      <c r="M91" s="84">
        <v>45922</v>
      </c>
      <c r="N91" s="85"/>
      <c r="O91" s="85"/>
      <c r="P91" s="85"/>
      <c r="Q91" s="85"/>
      <c r="R91" s="85"/>
      <c r="S91" s="85"/>
      <c r="T91" s="85"/>
      <c r="U91" s="85"/>
      <c r="V91" s="85"/>
      <c r="W91" s="88" t="s">
        <v>333</v>
      </c>
      <c r="X91" s="87" t="s">
        <v>141</v>
      </c>
      <c r="Y91" s="88" t="s">
        <v>192</v>
      </c>
      <c r="Z91" s="89" t="s">
        <v>142</v>
      </c>
      <c r="AA91" s="90" t="s">
        <v>193</v>
      </c>
      <c r="AB91" s="91" t="s">
        <v>194</v>
      </c>
      <c r="AC91" s="88" t="s">
        <v>312</v>
      </c>
      <c r="AD91" s="87" t="s">
        <v>195</v>
      </c>
      <c r="AE91" s="87" t="s">
        <v>196</v>
      </c>
      <c r="AF91" s="88" t="s">
        <v>313</v>
      </c>
      <c r="AG91" s="87" t="s">
        <v>198</v>
      </c>
      <c r="AH91" s="49"/>
      <c r="AI91" s="92"/>
      <c r="AJ91" s="49"/>
      <c r="AK91" s="49"/>
      <c r="AL91" s="49"/>
    </row>
    <row r="92" spans="1:38" ht="12.75" x14ac:dyDescent="0.2">
      <c r="A92" s="87" t="s">
        <v>199</v>
      </c>
      <c r="B92" s="93">
        <v>0.05</v>
      </c>
      <c r="C92" s="93">
        <v>0.1</v>
      </c>
      <c r="D92" s="93">
        <v>0.2</v>
      </c>
      <c r="E92" s="93">
        <v>0.5</v>
      </c>
      <c r="F92" s="93">
        <v>1</v>
      </c>
      <c r="G92" s="93">
        <v>2</v>
      </c>
      <c r="H92" s="93">
        <v>5</v>
      </c>
      <c r="I92" s="93">
        <v>10</v>
      </c>
      <c r="J92" s="49"/>
      <c r="K92" s="86"/>
      <c r="L92" s="87" t="s">
        <v>199</v>
      </c>
      <c r="M92" s="93">
        <v>0.05</v>
      </c>
      <c r="N92" s="93">
        <v>0.1</v>
      </c>
      <c r="O92" s="93">
        <v>0.2</v>
      </c>
      <c r="P92" s="93">
        <v>0.5</v>
      </c>
      <c r="Q92" s="93">
        <v>1</v>
      </c>
      <c r="R92" s="93">
        <v>2</v>
      </c>
      <c r="S92" s="93">
        <v>5</v>
      </c>
      <c r="T92" s="93">
        <v>10</v>
      </c>
      <c r="U92" s="93">
        <v>20</v>
      </c>
      <c r="V92" s="93">
        <v>50</v>
      </c>
      <c r="W92" s="129"/>
      <c r="X92" s="85"/>
      <c r="Y92" s="85"/>
      <c r="Z92" s="49"/>
      <c r="AA92" s="94"/>
      <c r="AB92" s="95"/>
      <c r="AC92" s="85"/>
      <c r="AD92" s="85"/>
      <c r="AE92" s="85"/>
      <c r="AF92" s="85"/>
      <c r="AG92" s="85"/>
      <c r="AH92" s="49"/>
      <c r="AI92" s="92"/>
      <c r="AJ92" s="49"/>
      <c r="AK92" s="49"/>
      <c r="AL92" s="49"/>
    </row>
    <row r="93" spans="1:38" ht="12.75" x14ac:dyDescent="0.2">
      <c r="A93" s="87" t="s">
        <v>200</v>
      </c>
      <c r="B93" s="38">
        <v>82</v>
      </c>
      <c r="C93" s="38">
        <v>44</v>
      </c>
      <c r="D93" s="38">
        <v>16</v>
      </c>
      <c r="E93" s="38">
        <v>8</v>
      </c>
      <c r="F93" s="38">
        <v>9</v>
      </c>
      <c r="G93" s="38">
        <v>5</v>
      </c>
      <c r="H93" s="38">
        <v>1</v>
      </c>
      <c r="I93" s="85"/>
      <c r="J93" s="85"/>
      <c r="K93" s="86"/>
      <c r="L93" s="87" t="s">
        <v>200</v>
      </c>
      <c r="M93" s="38">
        <v>75</v>
      </c>
      <c r="N93" s="38">
        <v>49</v>
      </c>
      <c r="O93" s="38">
        <v>9</v>
      </c>
      <c r="P93" s="38">
        <v>12</v>
      </c>
      <c r="Q93" s="38">
        <v>5</v>
      </c>
      <c r="R93" s="38">
        <v>5</v>
      </c>
      <c r="S93" s="38">
        <v>4</v>
      </c>
      <c r="T93" s="49">
        <v>0</v>
      </c>
      <c r="U93" s="49">
        <v>8</v>
      </c>
      <c r="V93" s="85">
        <v>1</v>
      </c>
      <c r="W93" s="129"/>
      <c r="X93" s="85"/>
      <c r="Y93" s="85"/>
      <c r="Z93" s="49"/>
      <c r="AA93" s="94"/>
      <c r="AB93" s="95"/>
      <c r="AC93" s="85"/>
      <c r="AD93" s="85"/>
      <c r="AE93" s="85"/>
      <c r="AF93" s="85"/>
      <c r="AG93" s="85"/>
      <c r="AH93" s="49"/>
      <c r="AI93" s="92"/>
      <c r="AJ93" s="49"/>
      <c r="AK93" s="49"/>
      <c r="AL93" s="49"/>
    </row>
    <row r="94" spans="1:38" ht="12.75" x14ac:dyDescent="0.2">
      <c r="A94" s="87" t="s">
        <v>141</v>
      </c>
      <c r="B94" s="70">
        <f t="shared" ref="B94:H94" si="37">B93*B92</f>
        <v>4.1000000000000005</v>
      </c>
      <c r="C94" s="70">
        <f t="shared" si="37"/>
        <v>4.4000000000000004</v>
      </c>
      <c r="D94" s="70">
        <f t="shared" si="37"/>
        <v>3.2</v>
      </c>
      <c r="E94" s="70">
        <f t="shared" si="37"/>
        <v>4</v>
      </c>
      <c r="F94" s="70">
        <f t="shared" si="37"/>
        <v>9</v>
      </c>
      <c r="G94" s="70">
        <f t="shared" si="37"/>
        <v>10</v>
      </c>
      <c r="H94" s="70">
        <f t="shared" si="37"/>
        <v>5</v>
      </c>
      <c r="I94" s="70">
        <f>J93*I92</f>
        <v>0</v>
      </c>
      <c r="J94" s="70">
        <f>SUM(B94:I94)</f>
        <v>39.700000000000003</v>
      </c>
      <c r="K94" s="86"/>
      <c r="L94" s="87" t="s">
        <v>141</v>
      </c>
      <c r="M94" s="70">
        <f t="shared" ref="M94:V94" si="38">M93*M92</f>
        <v>3.75</v>
      </c>
      <c r="N94" s="70">
        <f t="shared" si="38"/>
        <v>4.9000000000000004</v>
      </c>
      <c r="O94" s="70">
        <f t="shared" si="38"/>
        <v>1.8</v>
      </c>
      <c r="P94" s="70">
        <f t="shared" si="38"/>
        <v>6</v>
      </c>
      <c r="Q94" s="70">
        <f t="shared" si="38"/>
        <v>5</v>
      </c>
      <c r="R94" s="70">
        <f t="shared" si="38"/>
        <v>10</v>
      </c>
      <c r="S94" s="70">
        <f t="shared" si="38"/>
        <v>20</v>
      </c>
      <c r="T94" s="70">
        <f t="shared" si="38"/>
        <v>0</v>
      </c>
      <c r="U94" s="70">
        <f t="shared" si="38"/>
        <v>160</v>
      </c>
      <c r="V94" s="70">
        <f t="shared" si="38"/>
        <v>50</v>
      </c>
      <c r="W94" s="130"/>
      <c r="X94" s="70">
        <f>SUM(M94:V94)</f>
        <v>261.45</v>
      </c>
      <c r="Y94" s="96">
        <f>X94-J94</f>
        <v>221.75</v>
      </c>
      <c r="Z94" s="94">
        <v>107.8</v>
      </c>
      <c r="AA94" s="94">
        <v>28.4</v>
      </c>
      <c r="AB94" s="97">
        <f>Y94+AA94</f>
        <v>250.15</v>
      </c>
      <c r="AC94" s="85">
        <v>107</v>
      </c>
      <c r="AD94" s="96">
        <f>Z94-AC94</f>
        <v>0.79999999999999716</v>
      </c>
      <c r="AE94" s="96">
        <f>Y94-Z94</f>
        <v>113.95</v>
      </c>
      <c r="AF94" s="85">
        <v>50</v>
      </c>
      <c r="AG94" s="96">
        <f>AE94-AF94</f>
        <v>63.95</v>
      </c>
      <c r="AH94" s="49"/>
      <c r="AI94" s="98">
        <f>(SUM(Z94:AA94)/(1+10/100))*(10/100)</f>
        <v>12.381818181818181</v>
      </c>
      <c r="AJ94" s="49"/>
      <c r="AK94" s="49"/>
      <c r="AL94" s="49"/>
    </row>
    <row r="96" spans="1:38" ht="38.25" x14ac:dyDescent="0.2">
      <c r="A96" s="83" t="s">
        <v>135</v>
      </c>
      <c r="B96" s="84">
        <v>45923</v>
      </c>
      <c r="C96" s="85"/>
      <c r="D96" s="85"/>
      <c r="E96" s="85"/>
      <c r="F96" s="85"/>
      <c r="G96" s="85"/>
      <c r="H96" s="85"/>
      <c r="I96" s="85"/>
      <c r="J96" s="85"/>
      <c r="K96" s="86"/>
      <c r="L96" s="83" t="s">
        <v>136</v>
      </c>
      <c r="M96" s="84">
        <v>45923</v>
      </c>
      <c r="N96" s="85"/>
      <c r="O96" s="85"/>
      <c r="P96" s="85"/>
      <c r="Q96" s="85"/>
      <c r="R96" s="85"/>
      <c r="S96" s="85"/>
      <c r="T96" s="85"/>
      <c r="U96" s="85"/>
      <c r="V96" s="85"/>
      <c r="W96" s="88" t="s">
        <v>333</v>
      </c>
      <c r="X96" s="87" t="s">
        <v>141</v>
      </c>
      <c r="Y96" s="88" t="s">
        <v>192</v>
      </c>
      <c r="Z96" s="89" t="s">
        <v>142</v>
      </c>
      <c r="AA96" s="90" t="s">
        <v>193</v>
      </c>
      <c r="AB96" s="91" t="s">
        <v>194</v>
      </c>
      <c r="AC96" s="88" t="s">
        <v>312</v>
      </c>
      <c r="AD96" s="87" t="s">
        <v>195</v>
      </c>
      <c r="AE96" s="87" t="s">
        <v>196</v>
      </c>
      <c r="AF96" s="88" t="s">
        <v>313</v>
      </c>
      <c r="AG96" s="87" t="s">
        <v>198</v>
      </c>
      <c r="AH96" s="49"/>
      <c r="AI96" s="92"/>
      <c r="AJ96" s="49"/>
      <c r="AK96" s="49"/>
      <c r="AL96" s="49"/>
    </row>
    <row r="97" spans="1:38" ht="12.75" x14ac:dyDescent="0.2">
      <c r="A97" s="87" t="s">
        <v>199</v>
      </c>
      <c r="B97" s="93">
        <v>0.05</v>
      </c>
      <c r="C97" s="93">
        <v>0.1</v>
      </c>
      <c r="D97" s="93">
        <v>0.2</v>
      </c>
      <c r="E97" s="93">
        <v>0.5</v>
      </c>
      <c r="F97" s="93">
        <v>1</v>
      </c>
      <c r="G97" s="93">
        <v>2</v>
      </c>
      <c r="H97" s="93">
        <v>5</v>
      </c>
      <c r="I97" s="93">
        <v>10</v>
      </c>
      <c r="J97" s="49"/>
      <c r="K97" s="86"/>
      <c r="L97" s="87" t="s">
        <v>199</v>
      </c>
      <c r="M97" s="93">
        <v>0.05</v>
      </c>
      <c r="N97" s="93">
        <v>0.1</v>
      </c>
      <c r="O97" s="93">
        <v>0.2</v>
      </c>
      <c r="P97" s="93">
        <v>0.5</v>
      </c>
      <c r="Q97" s="93">
        <v>1</v>
      </c>
      <c r="R97" s="93">
        <v>2</v>
      </c>
      <c r="S97" s="93">
        <v>5</v>
      </c>
      <c r="T97" s="93">
        <v>10</v>
      </c>
      <c r="U97" s="93">
        <v>20</v>
      </c>
      <c r="V97" s="93">
        <v>50</v>
      </c>
      <c r="W97" s="129"/>
      <c r="X97" s="85"/>
      <c r="Y97" s="85"/>
      <c r="Z97" s="49"/>
      <c r="AA97" s="94"/>
      <c r="AB97" s="95"/>
      <c r="AC97" s="85"/>
      <c r="AD97" s="85"/>
      <c r="AE97" s="85"/>
      <c r="AF97" s="85"/>
      <c r="AG97" s="85"/>
      <c r="AH97" s="49"/>
      <c r="AI97" s="92"/>
      <c r="AJ97" s="49"/>
      <c r="AK97" s="49"/>
      <c r="AL97" s="49"/>
    </row>
    <row r="98" spans="1:38" ht="12.75" x14ac:dyDescent="0.2">
      <c r="A98" s="87" t="s">
        <v>200</v>
      </c>
      <c r="B98" s="38">
        <v>75</v>
      </c>
      <c r="C98" s="38">
        <v>49</v>
      </c>
      <c r="D98" s="38">
        <v>9</v>
      </c>
      <c r="E98" s="38">
        <v>12</v>
      </c>
      <c r="F98" s="38">
        <v>5</v>
      </c>
      <c r="G98" s="38">
        <v>5</v>
      </c>
      <c r="H98" s="85">
        <v>2</v>
      </c>
      <c r="I98" s="85"/>
      <c r="J98" s="85"/>
      <c r="K98" s="86"/>
      <c r="L98" s="87" t="s">
        <v>200</v>
      </c>
      <c r="M98" s="38">
        <v>85</v>
      </c>
      <c r="N98" s="38">
        <v>48</v>
      </c>
      <c r="O98" s="38">
        <v>10</v>
      </c>
      <c r="P98" s="38">
        <v>13</v>
      </c>
      <c r="Q98" s="38">
        <v>11</v>
      </c>
      <c r="R98" s="38">
        <v>6</v>
      </c>
      <c r="S98" s="38">
        <v>15</v>
      </c>
      <c r="T98" s="49">
        <v>8</v>
      </c>
      <c r="U98" s="49">
        <v>0</v>
      </c>
      <c r="V98" s="85">
        <v>1</v>
      </c>
      <c r="W98" s="129"/>
      <c r="X98" s="85"/>
      <c r="Y98" s="85"/>
      <c r="Z98" s="49"/>
      <c r="AA98" s="94"/>
      <c r="AB98" s="95"/>
      <c r="AC98" s="85"/>
      <c r="AD98" s="85"/>
      <c r="AE98" s="85"/>
      <c r="AF98" s="85"/>
      <c r="AG98" s="85"/>
      <c r="AH98" s="49"/>
      <c r="AI98" s="92"/>
      <c r="AJ98" s="49"/>
      <c r="AK98" s="49"/>
      <c r="AL98" s="49"/>
    </row>
    <row r="99" spans="1:38" ht="12.75" x14ac:dyDescent="0.2">
      <c r="A99" s="87" t="s">
        <v>141</v>
      </c>
      <c r="B99" s="70">
        <f t="shared" ref="B99:H99" si="39">B98*B97</f>
        <v>3.75</v>
      </c>
      <c r="C99" s="70">
        <f t="shared" si="39"/>
        <v>4.9000000000000004</v>
      </c>
      <c r="D99" s="70">
        <f t="shared" si="39"/>
        <v>1.8</v>
      </c>
      <c r="E99" s="70">
        <f t="shared" si="39"/>
        <v>6</v>
      </c>
      <c r="F99" s="70">
        <f t="shared" si="39"/>
        <v>5</v>
      </c>
      <c r="G99" s="70">
        <f t="shared" si="39"/>
        <v>10</v>
      </c>
      <c r="H99" s="70">
        <f t="shared" si="39"/>
        <v>10</v>
      </c>
      <c r="I99" s="70">
        <f>J98*I97</f>
        <v>0</v>
      </c>
      <c r="J99" s="70">
        <f>SUM(B99:I99)</f>
        <v>41.45</v>
      </c>
      <c r="K99" s="86"/>
      <c r="L99" s="87" t="s">
        <v>141</v>
      </c>
      <c r="M99" s="70">
        <f t="shared" ref="M99:V99" si="40">M98*M97</f>
        <v>4.25</v>
      </c>
      <c r="N99" s="70">
        <f t="shared" si="40"/>
        <v>4.8000000000000007</v>
      </c>
      <c r="O99" s="70">
        <f t="shared" si="40"/>
        <v>2</v>
      </c>
      <c r="P99" s="70">
        <f t="shared" si="40"/>
        <v>6.5</v>
      </c>
      <c r="Q99" s="70">
        <f t="shared" si="40"/>
        <v>11</v>
      </c>
      <c r="R99" s="70">
        <f t="shared" si="40"/>
        <v>12</v>
      </c>
      <c r="S99" s="70">
        <f t="shared" si="40"/>
        <v>75</v>
      </c>
      <c r="T99" s="70">
        <f t="shared" si="40"/>
        <v>80</v>
      </c>
      <c r="U99" s="70">
        <f t="shared" si="40"/>
        <v>0</v>
      </c>
      <c r="V99" s="70">
        <f t="shared" si="40"/>
        <v>50</v>
      </c>
      <c r="W99" s="130"/>
      <c r="X99" s="70">
        <f>SUM(M99:V99)</f>
        <v>245.55</v>
      </c>
      <c r="Y99" s="96">
        <f>X99-J99</f>
        <v>204.10000000000002</v>
      </c>
      <c r="Z99" s="94">
        <v>80.400000000000006</v>
      </c>
      <c r="AA99" s="94">
        <v>4.7</v>
      </c>
      <c r="AB99" s="97">
        <f>Y99+AA99</f>
        <v>208.8</v>
      </c>
      <c r="AC99" s="85">
        <v>60</v>
      </c>
      <c r="AD99" s="96">
        <f>Z99-AC99</f>
        <v>20.400000000000006</v>
      </c>
      <c r="AE99" s="96">
        <f>Y99-Z99</f>
        <v>123.70000000000002</v>
      </c>
      <c r="AF99" s="85">
        <v>40</v>
      </c>
      <c r="AG99" s="96">
        <f>AE99-AF99</f>
        <v>83.700000000000017</v>
      </c>
      <c r="AH99" s="49"/>
      <c r="AI99" s="98">
        <f>(SUM(Z99:AA99)/(1+10/100))*(10/100)</f>
        <v>7.7363636363636363</v>
      </c>
      <c r="AJ99" s="49"/>
      <c r="AK99" s="49"/>
      <c r="AL99" s="49"/>
    </row>
    <row r="100" spans="1:38" ht="12.75" x14ac:dyDescent="0.2">
      <c r="AA100" s="38"/>
    </row>
    <row r="101" spans="1:38" ht="38.25" x14ac:dyDescent="0.2">
      <c r="A101" s="83" t="s">
        <v>135</v>
      </c>
      <c r="B101" s="84">
        <v>45924</v>
      </c>
      <c r="C101" s="85"/>
      <c r="D101" s="85"/>
      <c r="E101" s="85"/>
      <c r="F101" s="85"/>
      <c r="G101" s="85"/>
      <c r="H101" s="85"/>
      <c r="I101" s="85"/>
      <c r="J101" s="85"/>
      <c r="K101" s="86"/>
      <c r="L101" s="83" t="s">
        <v>136</v>
      </c>
      <c r="M101" s="84">
        <v>45924</v>
      </c>
      <c r="N101" s="85"/>
      <c r="O101" s="85"/>
      <c r="P101" s="85"/>
      <c r="Q101" s="85"/>
      <c r="R101" s="85"/>
      <c r="S101" s="85"/>
      <c r="T101" s="85"/>
      <c r="U101" s="85"/>
      <c r="V101" s="85"/>
      <c r="W101" s="88" t="s">
        <v>333</v>
      </c>
      <c r="X101" s="87" t="s">
        <v>141</v>
      </c>
      <c r="Y101" s="88" t="s">
        <v>192</v>
      </c>
      <c r="Z101" s="89" t="s">
        <v>142</v>
      </c>
      <c r="AA101" s="90" t="s">
        <v>193</v>
      </c>
      <c r="AB101" s="91" t="s">
        <v>194</v>
      </c>
      <c r="AC101" s="88" t="s">
        <v>312</v>
      </c>
      <c r="AD101" s="87" t="s">
        <v>195</v>
      </c>
      <c r="AE101" s="87" t="s">
        <v>196</v>
      </c>
      <c r="AF101" s="88" t="s">
        <v>313</v>
      </c>
      <c r="AG101" s="87" t="s">
        <v>198</v>
      </c>
      <c r="AH101" s="49"/>
      <c r="AI101" s="92"/>
      <c r="AJ101" s="49"/>
      <c r="AK101" s="49"/>
      <c r="AL101" s="49"/>
    </row>
    <row r="102" spans="1:38" ht="12.75" x14ac:dyDescent="0.2">
      <c r="A102" s="87" t="s">
        <v>199</v>
      </c>
      <c r="B102" s="93">
        <v>0.05</v>
      </c>
      <c r="C102" s="93">
        <v>0.1</v>
      </c>
      <c r="D102" s="93">
        <v>0.2</v>
      </c>
      <c r="E102" s="93">
        <v>0.5</v>
      </c>
      <c r="F102" s="93">
        <v>1</v>
      </c>
      <c r="G102" s="93">
        <v>2</v>
      </c>
      <c r="H102" s="93">
        <v>5</v>
      </c>
      <c r="I102" s="93">
        <v>10</v>
      </c>
      <c r="J102" s="49"/>
      <c r="K102" s="86"/>
      <c r="L102" s="87" t="s">
        <v>199</v>
      </c>
      <c r="M102" s="93">
        <v>0.05</v>
      </c>
      <c r="N102" s="93">
        <v>0.1</v>
      </c>
      <c r="O102" s="93">
        <v>0.2</v>
      </c>
      <c r="P102" s="93">
        <v>0.5</v>
      </c>
      <c r="Q102" s="93">
        <v>1</v>
      </c>
      <c r="R102" s="93">
        <v>2</v>
      </c>
      <c r="S102" s="93">
        <v>5</v>
      </c>
      <c r="T102" s="93">
        <v>10</v>
      </c>
      <c r="U102" s="93">
        <v>20</v>
      </c>
      <c r="V102" s="93">
        <v>50</v>
      </c>
      <c r="W102" s="129"/>
      <c r="X102" s="85"/>
      <c r="Y102" s="85"/>
      <c r="Z102" s="49"/>
      <c r="AA102" s="94"/>
      <c r="AB102" s="95"/>
      <c r="AC102" s="85"/>
      <c r="AD102" s="85"/>
      <c r="AE102" s="85"/>
      <c r="AF102" s="85"/>
      <c r="AG102" s="85"/>
      <c r="AH102" s="49"/>
      <c r="AI102" s="92"/>
      <c r="AJ102" s="49"/>
      <c r="AK102" s="49"/>
      <c r="AL102" s="49"/>
    </row>
    <row r="103" spans="1:38" ht="12.75" x14ac:dyDescent="0.2">
      <c r="A103" s="87" t="s">
        <v>200</v>
      </c>
      <c r="B103" s="38">
        <v>85</v>
      </c>
      <c r="C103" s="38">
        <v>48</v>
      </c>
      <c r="D103" s="38">
        <v>10</v>
      </c>
      <c r="E103" s="38">
        <v>8</v>
      </c>
      <c r="F103" s="38">
        <v>5</v>
      </c>
      <c r="G103" s="49">
        <v>5</v>
      </c>
      <c r="H103" s="85">
        <v>2</v>
      </c>
      <c r="I103" s="85"/>
      <c r="J103" s="85"/>
      <c r="K103" s="86"/>
      <c r="L103" s="87" t="s">
        <v>200</v>
      </c>
      <c r="M103" s="38">
        <v>78</v>
      </c>
      <c r="N103" s="38">
        <v>56</v>
      </c>
      <c r="O103" s="38">
        <v>21</v>
      </c>
      <c r="P103" s="38">
        <v>20</v>
      </c>
      <c r="Q103" s="38">
        <v>16</v>
      </c>
      <c r="R103" s="38">
        <v>16</v>
      </c>
      <c r="S103" s="38">
        <v>6</v>
      </c>
      <c r="T103" s="49"/>
      <c r="U103" s="49">
        <v>7</v>
      </c>
      <c r="V103" s="85">
        <v>2</v>
      </c>
      <c r="W103" s="129"/>
      <c r="X103" s="85"/>
      <c r="Y103" s="85"/>
      <c r="Z103" s="49"/>
      <c r="AA103" s="94"/>
      <c r="AB103" s="95"/>
      <c r="AC103" s="85"/>
      <c r="AD103" s="85"/>
      <c r="AE103" s="85"/>
      <c r="AF103" s="85"/>
      <c r="AG103" s="85"/>
      <c r="AH103" s="49"/>
      <c r="AI103" s="92"/>
      <c r="AJ103" s="49"/>
      <c r="AK103" s="49"/>
      <c r="AL103" s="49"/>
    </row>
    <row r="104" spans="1:38" ht="12.75" x14ac:dyDescent="0.2">
      <c r="A104" s="87" t="s">
        <v>141</v>
      </c>
      <c r="B104" s="70">
        <f t="shared" ref="B104:H104" si="41">B103*B102</f>
        <v>4.25</v>
      </c>
      <c r="C104" s="70">
        <f t="shared" si="41"/>
        <v>4.8000000000000007</v>
      </c>
      <c r="D104" s="70">
        <f t="shared" si="41"/>
        <v>2</v>
      </c>
      <c r="E104" s="70">
        <f t="shared" si="41"/>
        <v>4</v>
      </c>
      <c r="F104" s="70">
        <f t="shared" si="41"/>
        <v>5</v>
      </c>
      <c r="G104" s="70">
        <f t="shared" si="41"/>
        <v>10</v>
      </c>
      <c r="H104" s="70">
        <f t="shared" si="41"/>
        <v>10</v>
      </c>
      <c r="I104" s="70">
        <f>J103*I102</f>
        <v>0</v>
      </c>
      <c r="J104" s="70">
        <f>SUM(B104:I104)</f>
        <v>40.049999999999997</v>
      </c>
      <c r="K104" s="86"/>
      <c r="L104" s="87" t="s">
        <v>141</v>
      </c>
      <c r="M104" s="70">
        <f t="shared" ref="M104:V104" si="42">M103*M102</f>
        <v>3.9000000000000004</v>
      </c>
      <c r="N104" s="70">
        <f t="shared" si="42"/>
        <v>5.6000000000000005</v>
      </c>
      <c r="O104" s="70">
        <f t="shared" si="42"/>
        <v>4.2</v>
      </c>
      <c r="P104" s="70">
        <f t="shared" si="42"/>
        <v>10</v>
      </c>
      <c r="Q104" s="70">
        <f t="shared" si="42"/>
        <v>16</v>
      </c>
      <c r="R104" s="70">
        <f t="shared" si="42"/>
        <v>32</v>
      </c>
      <c r="S104" s="70">
        <f t="shared" si="42"/>
        <v>30</v>
      </c>
      <c r="T104" s="70">
        <f t="shared" si="42"/>
        <v>0</v>
      </c>
      <c r="U104" s="70">
        <f t="shared" si="42"/>
        <v>140</v>
      </c>
      <c r="V104" s="70">
        <f t="shared" si="42"/>
        <v>100</v>
      </c>
      <c r="W104" s="130"/>
      <c r="X104" s="70">
        <f>SUM(M104:V104)</f>
        <v>341.7</v>
      </c>
      <c r="Y104" s="96">
        <f>X104-J104</f>
        <v>301.64999999999998</v>
      </c>
      <c r="Z104" s="94">
        <v>120.3</v>
      </c>
      <c r="AA104" s="94">
        <v>85.5</v>
      </c>
      <c r="AB104" s="97">
        <f>Y104+AA104</f>
        <v>387.15</v>
      </c>
      <c r="AC104" s="85">
        <v>55</v>
      </c>
      <c r="AD104" s="96">
        <f>Z104-AC104</f>
        <v>65.3</v>
      </c>
      <c r="AE104" s="96">
        <f>Y104-Z104</f>
        <v>181.34999999999997</v>
      </c>
      <c r="AF104" s="85">
        <v>50</v>
      </c>
      <c r="AG104" s="96">
        <f>AE104-AF104</f>
        <v>131.34999999999997</v>
      </c>
      <c r="AH104" s="49"/>
      <c r="AI104" s="98">
        <f>(SUM(Z104:AA104)/(1+10/100))*(10/100)</f>
        <v>18.709090909090911</v>
      </c>
      <c r="AJ104" s="49"/>
      <c r="AK104" s="49"/>
      <c r="AL104" s="49"/>
    </row>
    <row r="106" spans="1:38" ht="38.25" x14ac:dyDescent="0.2">
      <c r="A106" s="83" t="s">
        <v>135</v>
      </c>
      <c r="B106" s="84">
        <v>45925</v>
      </c>
      <c r="C106" s="85"/>
      <c r="D106" s="85"/>
      <c r="E106" s="85"/>
      <c r="F106" s="85"/>
      <c r="G106" s="85"/>
      <c r="H106" s="85"/>
      <c r="I106" s="85"/>
      <c r="J106" s="85"/>
      <c r="K106" s="86"/>
      <c r="L106" s="83" t="s">
        <v>136</v>
      </c>
      <c r="M106" s="84">
        <v>45925</v>
      </c>
      <c r="N106" s="85"/>
      <c r="O106" s="85"/>
      <c r="P106" s="85"/>
      <c r="Q106" s="85"/>
      <c r="R106" s="85"/>
      <c r="S106" s="85"/>
      <c r="T106" s="85"/>
      <c r="U106" s="85"/>
      <c r="V106" s="85"/>
      <c r="W106" s="88" t="s">
        <v>333</v>
      </c>
      <c r="X106" s="87" t="s">
        <v>141</v>
      </c>
      <c r="Y106" s="88" t="s">
        <v>192</v>
      </c>
      <c r="Z106" s="89" t="s">
        <v>142</v>
      </c>
      <c r="AA106" s="90" t="s">
        <v>193</v>
      </c>
      <c r="AB106" s="91" t="s">
        <v>194</v>
      </c>
      <c r="AC106" s="88" t="s">
        <v>312</v>
      </c>
      <c r="AD106" s="87" t="s">
        <v>195</v>
      </c>
      <c r="AE106" s="87" t="s">
        <v>196</v>
      </c>
      <c r="AF106" s="88" t="s">
        <v>313</v>
      </c>
      <c r="AG106" s="87" t="s">
        <v>198</v>
      </c>
      <c r="AH106" s="49"/>
      <c r="AI106" s="92"/>
      <c r="AJ106" s="49"/>
      <c r="AK106" s="49"/>
      <c r="AL106" s="49"/>
    </row>
    <row r="107" spans="1:38" ht="12.75" x14ac:dyDescent="0.2">
      <c r="A107" s="87" t="s">
        <v>199</v>
      </c>
      <c r="B107" s="93">
        <v>0.05</v>
      </c>
      <c r="C107" s="93">
        <v>0.1</v>
      </c>
      <c r="D107" s="93">
        <v>0.2</v>
      </c>
      <c r="E107" s="93">
        <v>0.5</v>
      </c>
      <c r="F107" s="93">
        <v>1</v>
      </c>
      <c r="G107" s="93">
        <v>2</v>
      </c>
      <c r="H107" s="93">
        <v>5</v>
      </c>
      <c r="I107" s="93">
        <v>10</v>
      </c>
      <c r="J107" s="49"/>
      <c r="K107" s="86"/>
      <c r="L107" s="87" t="s">
        <v>199</v>
      </c>
      <c r="M107" s="93">
        <v>0.05</v>
      </c>
      <c r="N107" s="93">
        <v>0.1</v>
      </c>
      <c r="O107" s="93">
        <v>0.2</v>
      </c>
      <c r="P107" s="93">
        <v>0.5</v>
      </c>
      <c r="Q107" s="93">
        <v>1</v>
      </c>
      <c r="R107" s="93">
        <v>2</v>
      </c>
      <c r="S107" s="93">
        <v>5</v>
      </c>
      <c r="T107" s="93">
        <v>10</v>
      </c>
      <c r="U107" s="93">
        <v>20</v>
      </c>
      <c r="V107" s="93">
        <v>50</v>
      </c>
      <c r="W107" s="129"/>
      <c r="X107" s="85"/>
      <c r="Y107" s="85"/>
      <c r="Z107" s="49"/>
      <c r="AA107" s="94"/>
      <c r="AB107" s="95"/>
      <c r="AC107" s="85"/>
      <c r="AD107" s="85"/>
      <c r="AE107" s="85"/>
      <c r="AF107" s="85"/>
      <c r="AG107" s="85"/>
      <c r="AH107" s="49"/>
      <c r="AI107" s="92"/>
      <c r="AJ107" s="49"/>
      <c r="AK107" s="49"/>
      <c r="AL107" s="49"/>
    </row>
    <row r="108" spans="1:38" ht="12.75" x14ac:dyDescent="0.2">
      <c r="A108" s="87" t="s">
        <v>200</v>
      </c>
      <c r="B108" s="38">
        <v>78</v>
      </c>
      <c r="C108" s="38">
        <v>48</v>
      </c>
      <c r="D108" s="38">
        <v>10</v>
      </c>
      <c r="E108" s="38">
        <v>8</v>
      </c>
      <c r="F108" s="38">
        <v>5</v>
      </c>
      <c r="G108" s="38">
        <v>6</v>
      </c>
      <c r="H108" s="38">
        <v>2</v>
      </c>
      <c r="I108" s="85"/>
      <c r="J108" s="85"/>
      <c r="K108" s="86"/>
      <c r="L108" s="87" t="s">
        <v>200</v>
      </c>
      <c r="M108" s="38">
        <v>76</v>
      </c>
      <c r="N108" s="38">
        <v>61</v>
      </c>
      <c r="O108" s="38">
        <v>29</v>
      </c>
      <c r="P108" s="38">
        <v>3</v>
      </c>
      <c r="Q108" s="38">
        <v>14</v>
      </c>
      <c r="R108" s="38">
        <v>4</v>
      </c>
      <c r="S108" s="38">
        <v>3</v>
      </c>
      <c r="T108" s="49">
        <v>9</v>
      </c>
      <c r="U108" s="49">
        <v>1</v>
      </c>
      <c r="V108" s="85">
        <v>3</v>
      </c>
      <c r="W108" s="129"/>
      <c r="X108" s="85"/>
      <c r="Y108" s="85"/>
      <c r="Z108" s="49"/>
      <c r="AA108" s="94"/>
      <c r="AB108" s="95"/>
      <c r="AC108" s="85"/>
      <c r="AD108" s="85"/>
      <c r="AE108" s="85"/>
      <c r="AF108" s="85"/>
      <c r="AG108" s="85"/>
      <c r="AH108" s="49"/>
      <c r="AI108" s="92"/>
      <c r="AJ108" s="49"/>
      <c r="AK108" s="49"/>
      <c r="AL108" s="49"/>
    </row>
    <row r="109" spans="1:38" ht="12.75" x14ac:dyDescent="0.2">
      <c r="A109" s="87" t="s">
        <v>141</v>
      </c>
      <c r="B109" s="70">
        <f t="shared" ref="B109:H109" si="43">B108*B107</f>
        <v>3.9000000000000004</v>
      </c>
      <c r="C109" s="70">
        <f t="shared" si="43"/>
        <v>4.8000000000000007</v>
      </c>
      <c r="D109" s="70">
        <f t="shared" si="43"/>
        <v>2</v>
      </c>
      <c r="E109" s="70">
        <f t="shared" si="43"/>
        <v>4</v>
      </c>
      <c r="F109" s="70">
        <f t="shared" si="43"/>
        <v>5</v>
      </c>
      <c r="G109" s="70">
        <f t="shared" si="43"/>
        <v>12</v>
      </c>
      <c r="H109" s="70">
        <f t="shared" si="43"/>
        <v>10</v>
      </c>
      <c r="I109" s="70">
        <f>J108*I107</f>
        <v>0</v>
      </c>
      <c r="J109" s="70">
        <f>SUM(B109:I109)</f>
        <v>41.7</v>
      </c>
      <c r="K109" s="86"/>
      <c r="L109" s="87" t="s">
        <v>141</v>
      </c>
      <c r="M109" s="70">
        <f t="shared" ref="M109:V109" si="44">M108*M107</f>
        <v>3.8000000000000003</v>
      </c>
      <c r="N109" s="70">
        <f t="shared" si="44"/>
        <v>6.1000000000000005</v>
      </c>
      <c r="O109" s="70">
        <f t="shared" si="44"/>
        <v>5.8000000000000007</v>
      </c>
      <c r="P109" s="70">
        <f t="shared" si="44"/>
        <v>1.5</v>
      </c>
      <c r="Q109" s="70">
        <f t="shared" si="44"/>
        <v>14</v>
      </c>
      <c r="R109" s="70">
        <f t="shared" si="44"/>
        <v>8</v>
      </c>
      <c r="S109" s="70">
        <f t="shared" si="44"/>
        <v>15</v>
      </c>
      <c r="T109" s="70">
        <f t="shared" si="44"/>
        <v>90</v>
      </c>
      <c r="U109" s="70">
        <f t="shared" si="44"/>
        <v>20</v>
      </c>
      <c r="V109" s="70">
        <f t="shared" si="44"/>
        <v>150</v>
      </c>
      <c r="W109" s="130"/>
      <c r="X109" s="70">
        <f>SUM(M109:V109)</f>
        <v>314.2</v>
      </c>
      <c r="Y109" s="96">
        <f>X109-J109</f>
        <v>272.5</v>
      </c>
      <c r="Z109" s="94">
        <v>139.69999999999999</v>
      </c>
      <c r="AA109" s="94">
        <v>33.700000000000003</v>
      </c>
      <c r="AB109" s="97">
        <f>Y109+AA109</f>
        <v>306.2</v>
      </c>
      <c r="AC109" s="85">
        <v>90</v>
      </c>
      <c r="AD109" s="96">
        <f>Z109-AC109</f>
        <v>49.699999999999989</v>
      </c>
      <c r="AE109" s="96">
        <f>Y109-Z109</f>
        <v>132.80000000000001</v>
      </c>
      <c r="AF109" s="85">
        <v>30</v>
      </c>
      <c r="AG109" s="96">
        <f>AE109-AF109</f>
        <v>102.80000000000001</v>
      </c>
      <c r="AH109" s="49"/>
      <c r="AI109" s="98">
        <f>(SUM(Z109:AA109)/(1+10/100))*(10/100)</f>
        <v>15.76363636363636</v>
      </c>
      <c r="AJ109" s="49"/>
      <c r="AK109" s="49"/>
      <c r="AL109" s="49"/>
    </row>
    <row r="110" spans="1:38" ht="12.75" x14ac:dyDescent="0.2">
      <c r="AC110" s="38">
        <v>-2</v>
      </c>
    </row>
    <row r="111" spans="1:38" ht="38.25" x14ac:dyDescent="0.2">
      <c r="A111" s="83" t="s">
        <v>135</v>
      </c>
      <c r="B111" s="84">
        <v>47022</v>
      </c>
      <c r="C111" s="85"/>
      <c r="D111" s="85"/>
      <c r="E111" s="85"/>
      <c r="F111" s="85"/>
      <c r="G111" s="85"/>
      <c r="H111" s="85"/>
      <c r="I111" s="85"/>
      <c r="J111" s="85"/>
      <c r="K111" s="86"/>
      <c r="L111" s="83" t="s">
        <v>136</v>
      </c>
      <c r="M111" s="84">
        <v>45926</v>
      </c>
      <c r="N111" s="85"/>
      <c r="O111" s="85"/>
      <c r="P111" s="85"/>
      <c r="Q111" s="85"/>
      <c r="R111" s="85"/>
      <c r="S111" s="85"/>
      <c r="T111" s="85"/>
      <c r="U111" s="85"/>
      <c r="V111" s="85"/>
      <c r="W111" s="88" t="s">
        <v>333</v>
      </c>
      <c r="X111" s="87" t="s">
        <v>141</v>
      </c>
      <c r="Y111" s="88" t="s">
        <v>192</v>
      </c>
      <c r="Z111" s="89" t="s">
        <v>142</v>
      </c>
      <c r="AA111" s="90" t="s">
        <v>193</v>
      </c>
      <c r="AB111" s="91" t="s">
        <v>194</v>
      </c>
      <c r="AC111" s="88" t="s">
        <v>312</v>
      </c>
      <c r="AD111" s="87" t="s">
        <v>195</v>
      </c>
      <c r="AE111" s="87" t="s">
        <v>196</v>
      </c>
      <c r="AF111" s="88" t="s">
        <v>313</v>
      </c>
      <c r="AG111" s="87" t="s">
        <v>198</v>
      </c>
      <c r="AH111" s="49"/>
      <c r="AI111" s="92"/>
      <c r="AJ111" s="49"/>
      <c r="AK111" s="49"/>
      <c r="AL111" s="49"/>
    </row>
    <row r="112" spans="1:38" ht="12.75" x14ac:dyDescent="0.2">
      <c r="A112" s="87" t="s">
        <v>199</v>
      </c>
      <c r="B112" s="93">
        <v>0.05</v>
      </c>
      <c r="C112" s="93">
        <v>0.1</v>
      </c>
      <c r="D112" s="93">
        <v>0.2</v>
      </c>
      <c r="E112" s="93">
        <v>0.5</v>
      </c>
      <c r="F112" s="93">
        <v>1</v>
      </c>
      <c r="G112" s="93">
        <v>2</v>
      </c>
      <c r="H112" s="93">
        <v>5</v>
      </c>
      <c r="I112" s="93">
        <v>10</v>
      </c>
      <c r="J112" s="49"/>
      <c r="K112" s="86"/>
      <c r="L112" s="87" t="s">
        <v>199</v>
      </c>
      <c r="M112" s="93">
        <v>0.05</v>
      </c>
      <c r="N112" s="93">
        <v>0.1</v>
      </c>
      <c r="O112" s="93">
        <v>0.2</v>
      </c>
      <c r="P112" s="93">
        <v>0.5</v>
      </c>
      <c r="Q112" s="93">
        <v>1</v>
      </c>
      <c r="R112" s="93">
        <v>2</v>
      </c>
      <c r="S112" s="93">
        <v>5</v>
      </c>
      <c r="T112" s="93">
        <v>10</v>
      </c>
      <c r="U112" s="93">
        <v>20</v>
      </c>
      <c r="V112" s="93">
        <v>50</v>
      </c>
      <c r="W112" s="129"/>
      <c r="X112" s="85"/>
      <c r="Y112" s="85"/>
      <c r="Z112" s="49"/>
      <c r="AA112" s="94"/>
      <c r="AB112" s="95"/>
      <c r="AC112" s="85"/>
      <c r="AD112" s="85"/>
      <c r="AE112" s="85"/>
      <c r="AF112" s="85"/>
      <c r="AG112" s="85"/>
      <c r="AH112" s="49"/>
      <c r="AI112" s="92"/>
      <c r="AJ112" s="49"/>
      <c r="AK112" s="49"/>
      <c r="AL112" s="49"/>
    </row>
    <row r="113" spans="1:38" ht="12.75" x14ac:dyDescent="0.2">
      <c r="A113" s="87" t="s">
        <v>200</v>
      </c>
      <c r="B113" s="38">
        <v>76</v>
      </c>
      <c r="C113" s="38">
        <v>61</v>
      </c>
      <c r="D113" s="38">
        <v>29</v>
      </c>
      <c r="E113" s="38">
        <v>3</v>
      </c>
      <c r="F113" s="38">
        <v>6</v>
      </c>
      <c r="G113" s="38">
        <v>4</v>
      </c>
      <c r="H113" s="38">
        <v>2</v>
      </c>
      <c r="I113" s="85"/>
      <c r="J113" s="85"/>
      <c r="K113" s="86"/>
      <c r="L113" s="87" t="s">
        <v>200</v>
      </c>
      <c r="M113" s="38">
        <v>70</v>
      </c>
      <c r="N113" s="38">
        <v>81</v>
      </c>
      <c r="O113" s="38">
        <v>33</v>
      </c>
      <c r="P113" s="38">
        <v>21</v>
      </c>
      <c r="Q113" s="38">
        <v>11</v>
      </c>
      <c r="R113" s="38">
        <v>8</v>
      </c>
      <c r="S113" s="38"/>
      <c r="T113" s="49">
        <v>4</v>
      </c>
      <c r="U113" s="49">
        <v>8</v>
      </c>
      <c r="V113" s="85">
        <v>1</v>
      </c>
      <c r="W113" s="129"/>
      <c r="X113" s="85"/>
      <c r="Y113" s="85"/>
      <c r="Z113" s="49"/>
      <c r="AA113" s="94"/>
      <c r="AB113" s="95"/>
      <c r="AC113" s="85"/>
      <c r="AD113" s="85"/>
      <c r="AE113" s="85"/>
      <c r="AF113" s="85"/>
      <c r="AG113" s="85"/>
      <c r="AH113" s="49"/>
      <c r="AI113" s="92"/>
      <c r="AJ113" s="49"/>
      <c r="AK113" s="49"/>
      <c r="AL113" s="49"/>
    </row>
    <row r="114" spans="1:38" ht="12.75" x14ac:dyDescent="0.2">
      <c r="A114" s="87" t="s">
        <v>141</v>
      </c>
      <c r="B114" s="70">
        <f t="shared" ref="B114:H114" si="45">B113*B112</f>
        <v>3.8000000000000003</v>
      </c>
      <c r="C114" s="70">
        <f t="shared" si="45"/>
        <v>6.1000000000000005</v>
      </c>
      <c r="D114" s="70">
        <f t="shared" si="45"/>
        <v>5.8000000000000007</v>
      </c>
      <c r="E114" s="70">
        <f t="shared" si="45"/>
        <v>1.5</v>
      </c>
      <c r="F114" s="70">
        <f t="shared" si="45"/>
        <v>6</v>
      </c>
      <c r="G114" s="70">
        <f t="shared" si="45"/>
        <v>8</v>
      </c>
      <c r="H114" s="70">
        <f t="shared" si="45"/>
        <v>10</v>
      </c>
      <c r="I114" s="70">
        <f>J113*I112</f>
        <v>0</v>
      </c>
      <c r="J114" s="70">
        <f>SUM(B114:I114)</f>
        <v>41.2</v>
      </c>
      <c r="K114" s="86"/>
      <c r="L114" s="87" t="s">
        <v>141</v>
      </c>
      <c r="M114" s="70">
        <f t="shared" ref="M114:V114" si="46">M113*M112</f>
        <v>3.5</v>
      </c>
      <c r="N114" s="70">
        <f t="shared" si="46"/>
        <v>8.1</v>
      </c>
      <c r="O114" s="70">
        <f t="shared" si="46"/>
        <v>6.6000000000000005</v>
      </c>
      <c r="P114" s="70">
        <f t="shared" si="46"/>
        <v>10.5</v>
      </c>
      <c r="Q114" s="70">
        <f t="shared" si="46"/>
        <v>11</v>
      </c>
      <c r="R114" s="70">
        <f t="shared" si="46"/>
        <v>16</v>
      </c>
      <c r="S114" s="70">
        <f t="shared" si="46"/>
        <v>0</v>
      </c>
      <c r="T114" s="70">
        <f t="shared" si="46"/>
        <v>40</v>
      </c>
      <c r="U114" s="70">
        <f t="shared" si="46"/>
        <v>160</v>
      </c>
      <c r="V114" s="70">
        <f t="shared" si="46"/>
        <v>50</v>
      </c>
      <c r="W114" s="130"/>
      <c r="X114" s="70">
        <f>SUM(M114:V114)</f>
        <v>305.7</v>
      </c>
      <c r="Y114" s="96">
        <f>X114-J114</f>
        <v>264.5</v>
      </c>
      <c r="Z114" s="94">
        <v>141.69999999999999</v>
      </c>
      <c r="AA114" s="94">
        <v>52.7</v>
      </c>
      <c r="AB114" s="97">
        <f>Y114+AA114</f>
        <v>317.2</v>
      </c>
      <c r="AC114" s="85">
        <v>75</v>
      </c>
      <c r="AD114" s="96">
        <f>Z114-AC114</f>
        <v>66.699999999999989</v>
      </c>
      <c r="AE114" s="96">
        <f>Y114-Z114</f>
        <v>122.80000000000001</v>
      </c>
      <c r="AF114" s="85">
        <v>20</v>
      </c>
      <c r="AG114" s="96">
        <f>AE114-AF114</f>
        <v>102.80000000000001</v>
      </c>
      <c r="AH114" s="49"/>
      <c r="AI114" s="98">
        <f>(SUM(Z114:AA114)/(1+10/100))*(10/100)</f>
        <v>17.672727272727268</v>
      </c>
      <c r="AJ114" s="49"/>
      <c r="AK114" s="49"/>
      <c r="AL114" s="49"/>
    </row>
    <row r="116" spans="1:38" ht="38.25" x14ac:dyDescent="0.2">
      <c r="A116" s="83" t="s">
        <v>135</v>
      </c>
      <c r="B116" s="84">
        <v>45927</v>
      </c>
      <c r="C116" s="85"/>
      <c r="D116" s="85"/>
      <c r="E116" s="85"/>
      <c r="F116" s="85"/>
      <c r="G116" s="85"/>
      <c r="H116" s="85"/>
      <c r="I116" s="85"/>
      <c r="J116" s="85"/>
      <c r="K116" s="86"/>
      <c r="L116" s="83" t="s">
        <v>136</v>
      </c>
      <c r="M116" s="84">
        <v>45927</v>
      </c>
      <c r="N116" s="85"/>
      <c r="O116" s="85"/>
      <c r="P116" s="85"/>
      <c r="Q116" s="85"/>
      <c r="R116" s="85"/>
      <c r="S116" s="85"/>
      <c r="T116" s="85"/>
      <c r="U116" s="85"/>
      <c r="V116" s="85"/>
      <c r="W116" s="88" t="s">
        <v>333</v>
      </c>
      <c r="X116" s="87" t="s">
        <v>141</v>
      </c>
      <c r="Y116" s="88" t="s">
        <v>192</v>
      </c>
      <c r="Z116" s="89" t="s">
        <v>142</v>
      </c>
      <c r="AA116" s="90" t="s">
        <v>193</v>
      </c>
      <c r="AB116" s="91" t="s">
        <v>194</v>
      </c>
      <c r="AC116" s="88" t="s">
        <v>312</v>
      </c>
      <c r="AD116" s="87" t="s">
        <v>195</v>
      </c>
      <c r="AE116" s="87" t="s">
        <v>196</v>
      </c>
      <c r="AF116" s="88" t="s">
        <v>313</v>
      </c>
      <c r="AG116" s="87" t="s">
        <v>198</v>
      </c>
      <c r="AH116" s="49"/>
      <c r="AI116" s="92"/>
      <c r="AJ116" s="49"/>
      <c r="AK116" s="49"/>
      <c r="AL116" s="49"/>
    </row>
    <row r="117" spans="1:38" ht="12.75" x14ac:dyDescent="0.2">
      <c r="A117" s="87" t="s">
        <v>199</v>
      </c>
      <c r="B117" s="93">
        <v>0.05</v>
      </c>
      <c r="C117" s="93">
        <v>0.1</v>
      </c>
      <c r="D117" s="93">
        <v>0.2</v>
      </c>
      <c r="E117" s="93">
        <v>0.5</v>
      </c>
      <c r="F117" s="93">
        <v>1</v>
      </c>
      <c r="G117" s="93">
        <v>2</v>
      </c>
      <c r="H117" s="93">
        <v>5</v>
      </c>
      <c r="I117" s="93">
        <v>10</v>
      </c>
      <c r="J117" s="49"/>
      <c r="K117" s="86"/>
      <c r="L117" s="87" t="s">
        <v>199</v>
      </c>
      <c r="M117" s="93">
        <v>0.05</v>
      </c>
      <c r="N117" s="93">
        <v>0.1</v>
      </c>
      <c r="O117" s="93">
        <v>0.2</v>
      </c>
      <c r="P117" s="93">
        <v>0.5</v>
      </c>
      <c r="Q117" s="93">
        <v>1</v>
      </c>
      <c r="R117" s="93">
        <v>2</v>
      </c>
      <c r="S117" s="93">
        <v>5</v>
      </c>
      <c r="T117" s="93">
        <v>10</v>
      </c>
      <c r="U117" s="93">
        <v>20</v>
      </c>
      <c r="V117" s="93">
        <v>50</v>
      </c>
      <c r="W117" s="129"/>
      <c r="X117" s="85"/>
      <c r="Y117" s="85"/>
      <c r="Z117" s="49"/>
      <c r="AA117" s="94"/>
      <c r="AB117" s="95"/>
      <c r="AC117" s="85"/>
      <c r="AD117" s="85"/>
      <c r="AE117" s="85"/>
      <c r="AF117" s="85"/>
      <c r="AG117" s="85"/>
      <c r="AH117" s="49"/>
      <c r="AI117" s="92"/>
      <c r="AJ117" s="49"/>
      <c r="AK117" s="49"/>
      <c r="AL117" s="49"/>
    </row>
    <row r="118" spans="1:38" ht="12.75" x14ac:dyDescent="0.2">
      <c r="A118" s="87" t="s">
        <v>200</v>
      </c>
      <c r="B118" s="38">
        <v>70</v>
      </c>
      <c r="C118" s="38">
        <v>61</v>
      </c>
      <c r="D118" s="38">
        <v>33</v>
      </c>
      <c r="E118" s="38">
        <v>5</v>
      </c>
      <c r="F118" s="38">
        <v>5</v>
      </c>
      <c r="G118" s="38">
        <v>5</v>
      </c>
      <c r="H118" s="85">
        <v>2</v>
      </c>
      <c r="I118" s="85"/>
      <c r="J118" s="85"/>
      <c r="K118" s="86"/>
      <c r="L118" s="87" t="s">
        <v>200</v>
      </c>
      <c r="M118" s="38">
        <v>79</v>
      </c>
      <c r="N118" s="38">
        <v>55</v>
      </c>
      <c r="O118" s="38">
        <v>12</v>
      </c>
      <c r="P118" s="38">
        <v>9</v>
      </c>
      <c r="Q118" s="38">
        <v>15</v>
      </c>
      <c r="R118" s="38">
        <v>15</v>
      </c>
      <c r="S118" s="38">
        <v>5</v>
      </c>
      <c r="T118" s="49">
        <v>6</v>
      </c>
      <c r="U118" s="49">
        <v>9</v>
      </c>
      <c r="V118" s="85">
        <v>1</v>
      </c>
      <c r="W118" s="129"/>
      <c r="X118" s="85"/>
      <c r="Y118" s="85"/>
      <c r="Z118" s="49"/>
      <c r="AA118" s="94"/>
      <c r="AB118" s="95"/>
      <c r="AC118" s="85"/>
      <c r="AD118" s="85"/>
      <c r="AE118" s="85"/>
      <c r="AF118" s="85"/>
      <c r="AG118" s="85"/>
      <c r="AH118" s="49"/>
      <c r="AI118" s="92"/>
      <c r="AJ118" s="49"/>
      <c r="AK118" s="49"/>
      <c r="AL118" s="49"/>
    </row>
    <row r="119" spans="1:38" ht="12.75" x14ac:dyDescent="0.2">
      <c r="A119" s="87" t="s">
        <v>141</v>
      </c>
      <c r="B119" s="70">
        <f t="shared" ref="B119:H119" si="47">B118*B117</f>
        <v>3.5</v>
      </c>
      <c r="C119" s="70">
        <f t="shared" si="47"/>
        <v>6.1000000000000005</v>
      </c>
      <c r="D119" s="70">
        <f t="shared" si="47"/>
        <v>6.6000000000000005</v>
      </c>
      <c r="E119" s="70">
        <f t="shared" si="47"/>
        <v>2.5</v>
      </c>
      <c r="F119" s="70">
        <f t="shared" si="47"/>
        <v>5</v>
      </c>
      <c r="G119" s="70">
        <f t="shared" si="47"/>
        <v>10</v>
      </c>
      <c r="H119" s="70">
        <f t="shared" si="47"/>
        <v>10</v>
      </c>
      <c r="I119" s="70">
        <f>J118*I117</f>
        <v>0</v>
      </c>
      <c r="J119" s="70">
        <f>SUM(B119:I119)</f>
        <v>43.7</v>
      </c>
      <c r="K119" s="86"/>
      <c r="L119" s="87" t="s">
        <v>141</v>
      </c>
      <c r="M119" s="70">
        <f t="shared" ref="M119:V119" si="48">M118*M117</f>
        <v>3.95</v>
      </c>
      <c r="N119" s="70">
        <f t="shared" si="48"/>
        <v>5.5</v>
      </c>
      <c r="O119" s="70">
        <f t="shared" si="48"/>
        <v>2.4000000000000004</v>
      </c>
      <c r="P119" s="70">
        <f t="shared" si="48"/>
        <v>4.5</v>
      </c>
      <c r="Q119" s="70">
        <f t="shared" si="48"/>
        <v>15</v>
      </c>
      <c r="R119" s="70">
        <f t="shared" si="48"/>
        <v>30</v>
      </c>
      <c r="S119" s="70">
        <f t="shared" si="48"/>
        <v>25</v>
      </c>
      <c r="T119" s="70">
        <f t="shared" si="48"/>
        <v>60</v>
      </c>
      <c r="U119" s="70">
        <f t="shared" si="48"/>
        <v>180</v>
      </c>
      <c r="V119" s="70">
        <f t="shared" si="48"/>
        <v>50</v>
      </c>
      <c r="W119" s="130"/>
      <c r="X119" s="70">
        <f>SUM(M119:V119)</f>
        <v>376.35</v>
      </c>
      <c r="Y119" s="96">
        <f>X119-J119</f>
        <v>332.65000000000003</v>
      </c>
      <c r="Z119" s="94">
        <v>170.5</v>
      </c>
      <c r="AA119" s="94">
        <v>50.4</v>
      </c>
      <c r="AB119" s="97">
        <f>Y119+AA119</f>
        <v>383.05</v>
      </c>
      <c r="AC119" s="85">
        <v>105</v>
      </c>
      <c r="AD119" s="96">
        <f>Z119-AC119</f>
        <v>65.5</v>
      </c>
      <c r="AE119" s="96">
        <f>Y119-Z119</f>
        <v>162.15000000000003</v>
      </c>
      <c r="AF119" s="85">
        <v>30</v>
      </c>
      <c r="AG119" s="96">
        <f>AE119-AF119</f>
        <v>132.15000000000003</v>
      </c>
      <c r="AH119" s="49"/>
      <c r="AI119" s="98">
        <f>(SUM(Z119:AA119)/(1+10/100))*(10/100)</f>
        <v>20.081818181818182</v>
      </c>
      <c r="AJ119" s="49"/>
      <c r="AK119" s="49"/>
      <c r="AL119" s="49"/>
    </row>
    <row r="121" spans="1:38" ht="38.25" x14ac:dyDescent="0.2">
      <c r="A121" s="83" t="s">
        <v>135</v>
      </c>
      <c r="B121" s="84">
        <v>45929</v>
      </c>
      <c r="C121" s="85"/>
      <c r="D121" s="85"/>
      <c r="E121" s="85"/>
      <c r="F121" s="85"/>
      <c r="G121" s="85"/>
      <c r="H121" s="85"/>
      <c r="I121" s="85"/>
      <c r="J121" s="85"/>
      <c r="K121" s="86"/>
      <c r="L121" s="83" t="s">
        <v>136</v>
      </c>
      <c r="M121" s="84">
        <v>45929</v>
      </c>
      <c r="N121" s="85"/>
      <c r="O121" s="85"/>
      <c r="P121" s="85"/>
      <c r="Q121" s="85"/>
      <c r="R121" s="85"/>
      <c r="S121" s="85"/>
      <c r="T121" s="85"/>
      <c r="U121" s="85"/>
      <c r="V121" s="85"/>
      <c r="W121" s="88" t="s">
        <v>333</v>
      </c>
      <c r="X121" s="87" t="s">
        <v>141</v>
      </c>
      <c r="Y121" s="88" t="s">
        <v>192</v>
      </c>
      <c r="Z121" s="89" t="s">
        <v>142</v>
      </c>
      <c r="AA121" s="90" t="s">
        <v>193</v>
      </c>
      <c r="AB121" s="91" t="s">
        <v>194</v>
      </c>
      <c r="AC121" s="88" t="s">
        <v>312</v>
      </c>
      <c r="AD121" s="87" t="s">
        <v>195</v>
      </c>
      <c r="AE121" s="87" t="s">
        <v>196</v>
      </c>
      <c r="AF121" s="88" t="s">
        <v>313</v>
      </c>
      <c r="AG121" s="87" t="s">
        <v>198</v>
      </c>
      <c r="AH121" s="49"/>
      <c r="AI121" s="92"/>
      <c r="AJ121" s="49"/>
      <c r="AK121" s="49"/>
      <c r="AL121" s="49"/>
    </row>
    <row r="122" spans="1:38" ht="12.75" x14ac:dyDescent="0.2">
      <c r="A122" s="87" t="s">
        <v>199</v>
      </c>
      <c r="B122" s="93">
        <v>0.05</v>
      </c>
      <c r="C122" s="93">
        <v>0.1</v>
      </c>
      <c r="D122" s="93">
        <v>0.2</v>
      </c>
      <c r="E122" s="93">
        <v>0.5</v>
      </c>
      <c r="F122" s="93">
        <v>1</v>
      </c>
      <c r="G122" s="93">
        <v>2</v>
      </c>
      <c r="H122" s="93">
        <v>5</v>
      </c>
      <c r="I122" s="93">
        <v>10</v>
      </c>
      <c r="J122" s="49"/>
      <c r="K122" s="86"/>
      <c r="L122" s="87" t="s">
        <v>199</v>
      </c>
      <c r="M122" s="93">
        <v>0.05</v>
      </c>
      <c r="N122" s="93">
        <v>0.1</v>
      </c>
      <c r="O122" s="93">
        <v>0.2</v>
      </c>
      <c r="P122" s="93">
        <v>0.5</v>
      </c>
      <c r="Q122" s="93">
        <v>1</v>
      </c>
      <c r="R122" s="93">
        <v>2</v>
      </c>
      <c r="S122" s="93">
        <v>5</v>
      </c>
      <c r="T122" s="93">
        <v>10</v>
      </c>
      <c r="U122" s="93">
        <v>20</v>
      </c>
      <c r="V122" s="93">
        <v>50</v>
      </c>
      <c r="W122" s="129"/>
      <c r="X122" s="85"/>
      <c r="Y122" s="85"/>
      <c r="Z122" s="49"/>
      <c r="AA122" s="94"/>
      <c r="AB122" s="95"/>
      <c r="AC122" s="85"/>
      <c r="AD122" s="85"/>
      <c r="AE122" s="85"/>
      <c r="AF122" s="85"/>
      <c r="AG122" s="85"/>
      <c r="AH122" s="49"/>
      <c r="AI122" s="92"/>
      <c r="AJ122" s="49"/>
      <c r="AK122" s="49"/>
      <c r="AL122" s="49"/>
    </row>
    <row r="123" spans="1:38" ht="12.75" x14ac:dyDescent="0.2">
      <c r="A123" s="87" t="s">
        <v>200</v>
      </c>
      <c r="B123" s="38">
        <v>79</v>
      </c>
      <c r="C123" s="38">
        <v>55</v>
      </c>
      <c r="D123" s="38">
        <v>12</v>
      </c>
      <c r="E123" s="38">
        <v>9</v>
      </c>
      <c r="F123" s="38">
        <v>6</v>
      </c>
      <c r="G123" s="38">
        <v>6</v>
      </c>
      <c r="H123" s="38">
        <v>2</v>
      </c>
      <c r="I123" s="85"/>
      <c r="J123" s="85"/>
      <c r="K123" s="86"/>
      <c r="L123" s="87" t="s">
        <v>200</v>
      </c>
      <c r="M123" s="38">
        <v>87</v>
      </c>
      <c r="N123" s="38">
        <v>57</v>
      </c>
      <c r="O123" s="38">
        <v>23</v>
      </c>
      <c r="P123" s="38">
        <v>8</v>
      </c>
      <c r="Q123" s="38">
        <v>8</v>
      </c>
      <c r="R123" s="38">
        <v>26</v>
      </c>
      <c r="S123" s="38">
        <v>2</v>
      </c>
      <c r="T123" s="49">
        <v>4</v>
      </c>
      <c r="U123" s="49">
        <v>14</v>
      </c>
      <c r="V123" s="85">
        <v>1</v>
      </c>
      <c r="W123" s="129"/>
      <c r="X123" s="85"/>
      <c r="Y123" s="85"/>
      <c r="Z123" s="49"/>
      <c r="AA123" s="94"/>
      <c r="AB123" s="95"/>
      <c r="AC123" s="85"/>
      <c r="AD123" s="85"/>
      <c r="AE123" s="85"/>
      <c r="AF123" s="85"/>
      <c r="AG123" s="85"/>
      <c r="AH123" s="49"/>
      <c r="AI123" s="92"/>
      <c r="AJ123" s="49"/>
      <c r="AK123" s="49"/>
      <c r="AL123" s="49"/>
    </row>
    <row r="124" spans="1:38" ht="12.75" x14ac:dyDescent="0.2">
      <c r="A124" s="87" t="s">
        <v>141</v>
      </c>
      <c r="B124" s="70">
        <f t="shared" ref="B124:H124" si="49">B123*B122</f>
        <v>3.95</v>
      </c>
      <c r="C124" s="70">
        <f t="shared" si="49"/>
        <v>5.5</v>
      </c>
      <c r="D124" s="70">
        <f t="shared" si="49"/>
        <v>2.4000000000000004</v>
      </c>
      <c r="E124" s="70">
        <f t="shared" si="49"/>
        <v>4.5</v>
      </c>
      <c r="F124" s="70">
        <f t="shared" si="49"/>
        <v>6</v>
      </c>
      <c r="G124" s="70">
        <f t="shared" si="49"/>
        <v>12</v>
      </c>
      <c r="H124" s="70">
        <f t="shared" si="49"/>
        <v>10</v>
      </c>
      <c r="I124" s="70">
        <f>J123*I122</f>
        <v>0</v>
      </c>
      <c r="J124" s="70">
        <f>SUM(B124:I124)</f>
        <v>44.35</v>
      </c>
      <c r="K124" s="86"/>
      <c r="L124" s="87" t="s">
        <v>141</v>
      </c>
      <c r="M124" s="70">
        <f t="shared" ref="M124:V124" si="50">M123*M122</f>
        <v>4.3500000000000005</v>
      </c>
      <c r="N124" s="70">
        <f t="shared" si="50"/>
        <v>5.7</v>
      </c>
      <c r="O124" s="70">
        <f t="shared" si="50"/>
        <v>4.6000000000000005</v>
      </c>
      <c r="P124" s="70">
        <f t="shared" si="50"/>
        <v>4</v>
      </c>
      <c r="Q124" s="70">
        <f t="shared" si="50"/>
        <v>8</v>
      </c>
      <c r="R124" s="70">
        <f t="shared" si="50"/>
        <v>52</v>
      </c>
      <c r="S124" s="70">
        <f t="shared" si="50"/>
        <v>10</v>
      </c>
      <c r="T124" s="70">
        <f t="shared" si="50"/>
        <v>40</v>
      </c>
      <c r="U124" s="70">
        <f t="shared" si="50"/>
        <v>280</v>
      </c>
      <c r="V124" s="70">
        <f t="shared" si="50"/>
        <v>50</v>
      </c>
      <c r="W124" s="130"/>
      <c r="X124" s="70">
        <f>SUM(M124:V124)</f>
        <v>458.65</v>
      </c>
      <c r="Y124" s="96">
        <f>X124-J124</f>
        <v>414.29999999999995</v>
      </c>
      <c r="Z124" s="94">
        <v>307.7</v>
      </c>
      <c r="AA124" s="94">
        <v>56.3</v>
      </c>
      <c r="AB124" s="97">
        <f>Y124+AA124</f>
        <v>470.59999999999997</v>
      </c>
      <c r="AC124" s="85">
        <v>200</v>
      </c>
      <c r="AD124" s="96">
        <f>Z124-AC124</f>
        <v>107.69999999999999</v>
      </c>
      <c r="AE124" s="96">
        <f>Y124-Z124</f>
        <v>106.59999999999997</v>
      </c>
      <c r="AF124" s="85">
        <v>6</v>
      </c>
      <c r="AG124" s="96">
        <f>AE124-AF124</f>
        <v>100.59999999999997</v>
      </c>
      <c r="AH124" s="49"/>
      <c r="AI124" s="98">
        <f>(SUM(Z124:AA124)/(1+10/100))*(10/100)</f>
        <v>33.090909090909086</v>
      </c>
      <c r="AJ124" s="49"/>
      <c r="AK124" s="49"/>
      <c r="AL124" s="49"/>
    </row>
    <row r="126" spans="1:38" ht="38.25" x14ac:dyDescent="0.2">
      <c r="A126" s="83" t="s">
        <v>135</v>
      </c>
      <c r="B126" s="84">
        <v>45930</v>
      </c>
      <c r="C126" s="85"/>
      <c r="D126" s="85"/>
      <c r="E126" s="85"/>
      <c r="F126" s="85"/>
      <c r="G126" s="85"/>
      <c r="H126" s="85"/>
      <c r="I126" s="85"/>
      <c r="J126" s="85"/>
      <c r="K126" s="86"/>
      <c r="L126" s="83" t="s">
        <v>136</v>
      </c>
      <c r="M126" s="84">
        <v>45930</v>
      </c>
      <c r="N126" s="85"/>
      <c r="O126" s="85"/>
      <c r="P126" s="85"/>
      <c r="Q126" s="85"/>
      <c r="R126" s="85"/>
      <c r="S126" s="85"/>
      <c r="T126" s="85"/>
      <c r="U126" s="85"/>
      <c r="V126" s="85"/>
      <c r="W126" s="88" t="s">
        <v>333</v>
      </c>
      <c r="X126" s="87" t="s">
        <v>141</v>
      </c>
      <c r="Y126" s="88" t="s">
        <v>192</v>
      </c>
      <c r="Z126" s="89" t="s">
        <v>142</v>
      </c>
      <c r="AA126" s="90" t="s">
        <v>193</v>
      </c>
      <c r="AB126" s="91" t="s">
        <v>194</v>
      </c>
      <c r="AC126" s="88" t="s">
        <v>312</v>
      </c>
      <c r="AD126" s="87" t="s">
        <v>195</v>
      </c>
      <c r="AE126" s="87" t="s">
        <v>196</v>
      </c>
      <c r="AF126" s="88" t="s">
        <v>313</v>
      </c>
      <c r="AG126" s="87" t="s">
        <v>198</v>
      </c>
      <c r="AH126" s="49"/>
      <c r="AI126" s="92"/>
      <c r="AJ126" s="49"/>
      <c r="AK126" s="49"/>
      <c r="AL126" s="49"/>
    </row>
    <row r="127" spans="1:38" ht="12.75" x14ac:dyDescent="0.2">
      <c r="A127" s="87" t="s">
        <v>199</v>
      </c>
      <c r="B127" s="93">
        <v>0.05</v>
      </c>
      <c r="C127" s="93">
        <v>0.1</v>
      </c>
      <c r="D127" s="93">
        <v>0.2</v>
      </c>
      <c r="E127" s="93">
        <v>0.5</v>
      </c>
      <c r="F127" s="93">
        <v>1</v>
      </c>
      <c r="G127" s="93">
        <v>2</v>
      </c>
      <c r="H127" s="93">
        <v>5</v>
      </c>
      <c r="I127" s="93">
        <v>10</v>
      </c>
      <c r="J127" s="49"/>
      <c r="K127" s="86"/>
      <c r="L127" s="87" t="s">
        <v>199</v>
      </c>
      <c r="M127" s="93">
        <v>0.05</v>
      </c>
      <c r="N127" s="93">
        <v>0.1</v>
      </c>
      <c r="O127" s="93">
        <v>0.2</v>
      </c>
      <c r="P127" s="93">
        <v>0.5</v>
      </c>
      <c r="Q127" s="93">
        <v>1</v>
      </c>
      <c r="R127" s="93">
        <v>2</v>
      </c>
      <c r="S127" s="93">
        <v>5</v>
      </c>
      <c r="T127" s="93">
        <v>10</v>
      </c>
      <c r="U127" s="93">
        <v>20</v>
      </c>
      <c r="V127" s="93">
        <v>50</v>
      </c>
      <c r="W127" s="129"/>
      <c r="X127" s="85"/>
      <c r="Y127" s="85"/>
      <c r="Z127" s="49"/>
      <c r="AA127" s="94"/>
      <c r="AB127" s="95"/>
      <c r="AC127" s="85"/>
      <c r="AD127" s="85"/>
      <c r="AE127" s="85"/>
      <c r="AF127" s="85"/>
      <c r="AG127" s="85"/>
      <c r="AH127" s="49"/>
      <c r="AI127" s="92"/>
      <c r="AJ127" s="49"/>
      <c r="AK127" s="49"/>
      <c r="AL127" s="49"/>
    </row>
    <row r="128" spans="1:38" ht="12.75" x14ac:dyDescent="0.2">
      <c r="A128" s="87" t="s">
        <v>200</v>
      </c>
      <c r="B128" s="38">
        <v>87</v>
      </c>
      <c r="C128" s="38">
        <v>57</v>
      </c>
      <c r="D128" s="38">
        <v>23</v>
      </c>
      <c r="E128" s="38">
        <v>8</v>
      </c>
      <c r="F128" s="38">
        <v>6</v>
      </c>
      <c r="G128" s="38">
        <v>6</v>
      </c>
      <c r="H128" s="38">
        <v>1</v>
      </c>
      <c r="I128" s="85"/>
      <c r="J128" s="85"/>
      <c r="K128" s="86"/>
      <c r="L128" s="87" t="s">
        <v>200</v>
      </c>
      <c r="M128" s="38">
        <v>89</v>
      </c>
      <c r="N128" s="38">
        <v>57</v>
      </c>
      <c r="O128" s="38">
        <v>17</v>
      </c>
      <c r="P128" s="38">
        <v>6</v>
      </c>
      <c r="Q128" s="38">
        <v>7</v>
      </c>
      <c r="R128" s="38">
        <v>11</v>
      </c>
      <c r="S128" s="38">
        <v>1</v>
      </c>
      <c r="T128" s="49">
        <v>5</v>
      </c>
      <c r="U128" s="49">
        <v>8</v>
      </c>
      <c r="V128" s="85">
        <v>1</v>
      </c>
      <c r="W128" s="129"/>
      <c r="X128" s="85"/>
      <c r="Y128" s="85"/>
      <c r="Z128" s="49"/>
      <c r="AA128" s="94"/>
      <c r="AB128" s="95"/>
      <c r="AC128" s="85"/>
      <c r="AD128" s="85"/>
      <c r="AE128" s="85"/>
      <c r="AF128" s="85"/>
      <c r="AG128" s="85"/>
      <c r="AH128" s="49"/>
      <c r="AI128" s="92"/>
      <c r="AJ128" s="49"/>
      <c r="AK128" s="49"/>
      <c r="AL128" s="49"/>
    </row>
    <row r="129" spans="1:38" ht="12.75" x14ac:dyDescent="0.2">
      <c r="A129" s="87" t="s">
        <v>141</v>
      </c>
      <c r="B129" s="70">
        <f t="shared" ref="B129:H129" si="51">B128*B127</f>
        <v>4.3500000000000005</v>
      </c>
      <c r="C129" s="70">
        <f t="shared" si="51"/>
        <v>5.7</v>
      </c>
      <c r="D129" s="70">
        <f t="shared" si="51"/>
        <v>4.6000000000000005</v>
      </c>
      <c r="E129" s="70">
        <f t="shared" si="51"/>
        <v>4</v>
      </c>
      <c r="F129" s="70">
        <f t="shared" si="51"/>
        <v>6</v>
      </c>
      <c r="G129" s="70">
        <f t="shared" si="51"/>
        <v>12</v>
      </c>
      <c r="H129" s="70">
        <f t="shared" si="51"/>
        <v>5</v>
      </c>
      <c r="I129" s="70">
        <f>J128*I127</f>
        <v>0</v>
      </c>
      <c r="J129" s="70">
        <f>SUM(B129:I129)</f>
        <v>41.650000000000006</v>
      </c>
      <c r="K129" s="86"/>
      <c r="L129" s="87" t="s">
        <v>141</v>
      </c>
      <c r="M129" s="70">
        <f t="shared" ref="M129:V129" si="52">M128*M127</f>
        <v>4.45</v>
      </c>
      <c r="N129" s="70">
        <f t="shared" si="52"/>
        <v>5.7</v>
      </c>
      <c r="O129" s="70">
        <f t="shared" si="52"/>
        <v>3.4000000000000004</v>
      </c>
      <c r="P129" s="70">
        <f t="shared" si="52"/>
        <v>3</v>
      </c>
      <c r="Q129" s="70">
        <f t="shared" si="52"/>
        <v>7</v>
      </c>
      <c r="R129" s="70">
        <f t="shared" si="52"/>
        <v>22</v>
      </c>
      <c r="S129" s="70">
        <f t="shared" si="52"/>
        <v>5</v>
      </c>
      <c r="T129" s="70">
        <f t="shared" si="52"/>
        <v>50</v>
      </c>
      <c r="U129" s="70">
        <f t="shared" si="52"/>
        <v>160</v>
      </c>
      <c r="V129" s="70">
        <f t="shared" si="52"/>
        <v>50</v>
      </c>
      <c r="W129" s="130"/>
      <c r="X129" s="70">
        <f>SUM(M129:V129)</f>
        <v>310.55</v>
      </c>
      <c r="Y129" s="96">
        <f>X129-J129</f>
        <v>268.89999999999998</v>
      </c>
      <c r="Z129" s="94">
        <v>183.4</v>
      </c>
      <c r="AA129" s="94">
        <v>97.1</v>
      </c>
      <c r="AB129" s="97">
        <f>Y129+AA129</f>
        <v>366</v>
      </c>
      <c r="AC129" s="85">
        <v>50</v>
      </c>
      <c r="AD129" s="96">
        <f>Z129-AC129</f>
        <v>133.4</v>
      </c>
      <c r="AE129" s="96">
        <f>Y129-Z129</f>
        <v>85.499999999999972</v>
      </c>
      <c r="AF129" s="85"/>
      <c r="AG129" s="96">
        <f>AE129-AF129</f>
        <v>85.499999999999972</v>
      </c>
      <c r="AH129" s="49"/>
      <c r="AI129" s="98">
        <f>(SUM(Z129:AA129)/(1+10/100))*(10/100)</f>
        <v>25.5</v>
      </c>
      <c r="AJ129" s="49"/>
      <c r="AK129" s="49"/>
      <c r="AL129" s="49"/>
    </row>
    <row r="133" spans="1:38" ht="12.75" x14ac:dyDescent="0.2">
      <c r="Z133" s="38">
        <f t="shared" ref="Z133:AG133" si="53">SUM(Z1:Z130)</f>
        <v>3514.2000000000003</v>
      </c>
      <c r="AA133" s="38">
        <f t="shared" si="53"/>
        <v>1385.5</v>
      </c>
      <c r="AB133" s="61">
        <f t="shared" si="53"/>
        <v>8215.93</v>
      </c>
      <c r="AC133" s="38">
        <f t="shared" si="53"/>
        <v>1984</v>
      </c>
      <c r="AD133" s="61">
        <f t="shared" si="53"/>
        <v>1518.2000000000003</v>
      </c>
      <c r="AE133" s="38">
        <f t="shared" si="53"/>
        <v>3316.2300000000005</v>
      </c>
      <c r="AF133" s="38">
        <f t="shared" si="53"/>
        <v>500.65</v>
      </c>
      <c r="AG133" s="61">
        <f t="shared" si="53"/>
        <v>2815.5800000000004</v>
      </c>
      <c r="AH133" s="49"/>
    </row>
    <row r="134" spans="1:38" ht="12.75" x14ac:dyDescent="0.2">
      <c r="Y134" s="49"/>
      <c r="Z134" s="49"/>
      <c r="AA134" s="114" t="s">
        <v>317</v>
      </c>
      <c r="AB134" s="118">
        <f>AB133/26</f>
        <v>315.99730769230769</v>
      </c>
      <c r="AC134" s="49"/>
      <c r="AD134" s="49"/>
      <c r="AE134" s="49"/>
      <c r="AF134" s="45" t="s">
        <v>318</v>
      </c>
      <c r="AG134" s="49">
        <v>-130</v>
      </c>
      <c r="AH134" s="49"/>
    </row>
    <row r="135" spans="1:38" ht="12.75" x14ac:dyDescent="0.2">
      <c r="Y135" s="49"/>
      <c r="Z135" s="49"/>
      <c r="AA135" s="114" t="s">
        <v>319</v>
      </c>
      <c r="AB135" s="38">
        <v>26</v>
      </c>
    </row>
    <row r="136" spans="1:38" ht="12.75" x14ac:dyDescent="0.2">
      <c r="Y136" s="49"/>
      <c r="Z136" s="49"/>
      <c r="AA136" s="49"/>
      <c r="AC136" s="49" t="s">
        <v>320</v>
      </c>
      <c r="AD136" s="45">
        <v>-56</v>
      </c>
      <c r="AE136" s="49"/>
      <c r="AF136" s="49"/>
      <c r="AG136" s="45"/>
      <c r="AH136" s="49"/>
      <c r="AI136" s="49"/>
    </row>
    <row r="137" spans="1:38" ht="12.75" x14ac:dyDescent="0.2">
      <c r="Y137" s="49"/>
      <c r="Z137" s="49"/>
      <c r="AA137" s="49"/>
      <c r="AC137" s="49" t="s">
        <v>210</v>
      </c>
      <c r="AD137" s="45">
        <v>-568</v>
      </c>
      <c r="AE137" s="49"/>
      <c r="AF137" s="49" t="s">
        <v>221</v>
      </c>
      <c r="AG137" s="119">
        <v>-1000</v>
      </c>
      <c r="AH137" s="49"/>
      <c r="AI137" s="49"/>
    </row>
    <row r="138" spans="1:38" ht="12.75" x14ac:dyDescent="0.2">
      <c r="Y138" s="49"/>
      <c r="Z138" s="49"/>
      <c r="AA138" s="49"/>
      <c r="AC138" s="49" t="s">
        <v>309</v>
      </c>
      <c r="AD138" s="45">
        <v>-250</v>
      </c>
      <c r="AE138" s="49"/>
      <c r="AF138" s="49" t="s">
        <v>292</v>
      </c>
      <c r="AG138" s="119">
        <v>-1000</v>
      </c>
      <c r="AH138" s="49"/>
      <c r="AI138" s="49"/>
    </row>
    <row r="139" spans="1:38" ht="12.75" x14ac:dyDescent="0.2">
      <c r="Y139" s="49"/>
      <c r="Z139" s="49"/>
      <c r="AC139" s="49" t="s">
        <v>321</v>
      </c>
      <c r="AD139" s="49">
        <v>-439</v>
      </c>
      <c r="AE139" s="49"/>
      <c r="AF139" s="49" t="s">
        <v>262</v>
      </c>
      <c r="AG139" s="45">
        <v>-200</v>
      </c>
      <c r="AH139" s="49"/>
      <c r="AI139" s="49"/>
    </row>
    <row r="140" spans="1:38" ht="12.75" x14ac:dyDescent="0.2">
      <c r="Y140" s="49"/>
      <c r="Z140" s="49"/>
      <c r="AE140" s="49"/>
      <c r="AF140" s="49" t="s">
        <v>295</v>
      </c>
      <c r="AG140" s="45">
        <v>-400</v>
      </c>
      <c r="AH140" s="49"/>
      <c r="AI140" s="49"/>
    </row>
    <row r="141" spans="1:38" ht="12.75" x14ac:dyDescent="0.2">
      <c r="AB141" s="49"/>
      <c r="AC141" s="49"/>
      <c r="AD141" s="49"/>
    </row>
    <row r="142" spans="1:38" ht="12.75" x14ac:dyDescent="0.2">
      <c r="AB142" s="114" t="s">
        <v>282</v>
      </c>
      <c r="AC142" s="114" t="s">
        <v>221</v>
      </c>
      <c r="AD142" s="114" t="s">
        <v>211</v>
      </c>
    </row>
    <row r="143" spans="1:38" ht="12.75" x14ac:dyDescent="0.2">
      <c r="AD143" s="61">
        <v>1881</v>
      </c>
      <c r="AE143" s="61">
        <v>2024</v>
      </c>
    </row>
    <row r="144" spans="1:38" ht="12.75" x14ac:dyDescent="0.2">
      <c r="AC144" s="38">
        <v>100</v>
      </c>
      <c r="AD144" s="38">
        <v>100</v>
      </c>
    </row>
  </sheetData>
  <autoFilter ref="L1:L144" xr:uid="{00000000-0001-0000-0F00-000000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L149"/>
  <sheetViews>
    <sheetView tabSelected="1" topLeftCell="A129" workbookViewId="0">
      <selection activeCell="AG146" activeCellId="1" sqref="AG142 AG146"/>
    </sheetView>
  </sheetViews>
  <sheetFormatPr defaultColWidth="12.5703125" defaultRowHeight="15.75" customHeight="1" x14ac:dyDescent="0.2"/>
  <cols>
    <col min="1" max="1" width="9.42578125" customWidth="1"/>
    <col min="2" max="2" width="11.42578125" customWidth="1"/>
    <col min="3" max="3" width="5.7109375" customWidth="1"/>
    <col min="4" max="5" width="5.42578125" customWidth="1"/>
    <col min="6" max="6" width="5.140625" customWidth="1"/>
    <col min="7" max="7" width="5.42578125" customWidth="1"/>
    <col min="8" max="8" width="5.7109375" customWidth="1"/>
    <col min="9" max="9" width="6.42578125" customWidth="1"/>
    <col min="10" max="10" width="7.42578125" customWidth="1"/>
    <col min="11" max="11" width="5.7109375" customWidth="1"/>
    <col min="12" max="12" width="8.85546875" customWidth="1"/>
    <col min="13" max="13" width="11" customWidth="1"/>
    <col min="14" max="14" width="6.5703125" customWidth="1"/>
    <col min="15" max="15" width="5.42578125" customWidth="1"/>
    <col min="16" max="16" width="5.5703125" customWidth="1"/>
    <col min="17" max="17" width="5.42578125" customWidth="1"/>
    <col min="18" max="18" width="5.85546875" customWidth="1"/>
    <col min="19" max="19" width="5.42578125" customWidth="1"/>
    <col min="20" max="21" width="6.28515625" customWidth="1"/>
    <col min="22" max="22" width="6.5703125" customWidth="1"/>
    <col min="23" max="23" width="9" style="131" customWidth="1"/>
    <col min="24" max="24" width="6.7109375" customWidth="1"/>
    <col min="25" max="25" width="9.42578125" customWidth="1"/>
    <col min="26" max="26" width="9.28515625" customWidth="1"/>
    <col min="27" max="27" width="7.140625" customWidth="1"/>
    <col min="28" max="28" width="8.85546875" customWidth="1"/>
    <col min="29" max="29" width="9.42578125" customWidth="1"/>
    <col min="30" max="30" width="6.42578125" customWidth="1"/>
    <col min="31" max="31" width="10.28515625" customWidth="1"/>
    <col min="32" max="32" width="12.85546875" customWidth="1"/>
    <col min="33" max="33" width="8" customWidth="1"/>
    <col min="34" max="34" width="6.7109375" customWidth="1"/>
    <col min="35" max="35" width="6.85546875" customWidth="1"/>
  </cols>
  <sheetData>
    <row r="1" spans="1:38" ht="38.25" x14ac:dyDescent="0.2">
      <c r="A1" s="83" t="s">
        <v>135</v>
      </c>
      <c r="B1" s="84">
        <v>45931</v>
      </c>
      <c r="C1" s="85"/>
      <c r="D1" s="85"/>
      <c r="E1" s="85"/>
      <c r="F1" s="85"/>
      <c r="G1" s="85"/>
      <c r="H1" s="85"/>
      <c r="I1" s="85"/>
      <c r="J1" s="85"/>
      <c r="K1" s="86"/>
      <c r="L1" s="83" t="s">
        <v>136</v>
      </c>
      <c r="M1" s="84">
        <v>45931</v>
      </c>
      <c r="N1" s="85"/>
      <c r="O1" s="85"/>
      <c r="P1" s="85"/>
      <c r="Q1" s="85"/>
      <c r="R1" s="85"/>
      <c r="S1" s="85"/>
      <c r="T1" s="85"/>
      <c r="U1" s="85"/>
      <c r="V1" s="85"/>
      <c r="W1" s="88" t="s">
        <v>333</v>
      </c>
      <c r="X1" s="87" t="s">
        <v>141</v>
      </c>
      <c r="Y1" s="88" t="s">
        <v>192</v>
      </c>
      <c r="Z1" s="89" t="s">
        <v>142</v>
      </c>
      <c r="AA1" s="90" t="s">
        <v>193</v>
      </c>
      <c r="AB1" s="91" t="s">
        <v>194</v>
      </c>
      <c r="AC1" s="88" t="s">
        <v>312</v>
      </c>
      <c r="AD1" s="87" t="s">
        <v>195</v>
      </c>
      <c r="AE1" s="87" t="s">
        <v>196</v>
      </c>
      <c r="AF1" s="88" t="s">
        <v>313</v>
      </c>
      <c r="AG1" s="87" t="s">
        <v>198</v>
      </c>
      <c r="AH1" s="49"/>
      <c r="AI1" s="92"/>
      <c r="AJ1" s="49"/>
      <c r="AK1" s="49"/>
      <c r="AL1" s="49"/>
    </row>
    <row r="2" spans="1:38" ht="12.75" x14ac:dyDescent="0.2">
      <c r="A2" s="87" t="s">
        <v>199</v>
      </c>
      <c r="B2" s="93">
        <v>0.05</v>
      </c>
      <c r="C2" s="93">
        <v>0.1</v>
      </c>
      <c r="D2" s="93">
        <v>0.2</v>
      </c>
      <c r="E2" s="93">
        <v>0.5</v>
      </c>
      <c r="F2" s="93">
        <v>1</v>
      </c>
      <c r="G2" s="93">
        <v>2</v>
      </c>
      <c r="H2" s="93">
        <v>5</v>
      </c>
      <c r="I2" s="93">
        <v>10</v>
      </c>
      <c r="J2" s="49"/>
      <c r="K2" s="86"/>
      <c r="L2" s="87" t="s">
        <v>199</v>
      </c>
      <c r="M2" s="93">
        <v>0.05</v>
      </c>
      <c r="N2" s="93">
        <v>0.1</v>
      </c>
      <c r="O2" s="93">
        <v>0.2</v>
      </c>
      <c r="P2" s="93">
        <v>0.5</v>
      </c>
      <c r="Q2" s="93">
        <v>1</v>
      </c>
      <c r="R2" s="93">
        <v>2</v>
      </c>
      <c r="S2" s="93">
        <v>5</v>
      </c>
      <c r="T2" s="93">
        <v>10</v>
      </c>
      <c r="U2" s="93">
        <v>20</v>
      </c>
      <c r="V2" s="93">
        <v>50</v>
      </c>
      <c r="W2" s="129"/>
      <c r="X2" s="85"/>
      <c r="Y2" s="85"/>
      <c r="Z2" s="49"/>
      <c r="AA2" s="94"/>
      <c r="AB2" s="95"/>
      <c r="AC2" s="85"/>
      <c r="AD2" s="85"/>
      <c r="AE2" s="85"/>
      <c r="AF2" s="85"/>
      <c r="AG2" s="85"/>
      <c r="AH2" s="49"/>
      <c r="AI2" s="92"/>
      <c r="AJ2" s="49"/>
      <c r="AK2" s="49"/>
      <c r="AL2" s="49"/>
    </row>
    <row r="3" spans="1:38" ht="12.75" x14ac:dyDescent="0.2">
      <c r="A3" s="87" t="s">
        <v>200</v>
      </c>
      <c r="B3" s="38">
        <v>89</v>
      </c>
      <c r="C3" s="38">
        <v>57</v>
      </c>
      <c r="D3" s="38">
        <v>17</v>
      </c>
      <c r="E3" s="38">
        <v>6</v>
      </c>
      <c r="F3" s="38">
        <v>7</v>
      </c>
      <c r="G3" s="38">
        <v>6</v>
      </c>
      <c r="H3" s="38">
        <v>1</v>
      </c>
      <c r="I3" s="85"/>
      <c r="J3" s="85"/>
      <c r="K3" s="86"/>
      <c r="L3" s="87" t="s">
        <v>200</v>
      </c>
      <c r="M3" s="38">
        <v>97</v>
      </c>
      <c r="N3" s="38">
        <v>13</v>
      </c>
      <c r="O3" s="38">
        <v>7</v>
      </c>
      <c r="P3" s="38">
        <v>6</v>
      </c>
      <c r="Q3" s="38">
        <v>8</v>
      </c>
      <c r="R3" s="38">
        <v>7</v>
      </c>
      <c r="S3" s="38">
        <v>5</v>
      </c>
      <c r="T3" s="49">
        <v>3</v>
      </c>
      <c r="U3" s="49">
        <v>9</v>
      </c>
      <c r="V3" s="85">
        <v>3</v>
      </c>
      <c r="W3" s="129"/>
      <c r="X3" s="85"/>
      <c r="Y3" s="85"/>
      <c r="Z3" s="49"/>
      <c r="AA3" s="94"/>
      <c r="AB3" s="95"/>
      <c r="AC3" s="85"/>
      <c r="AD3" s="85"/>
      <c r="AE3" s="85"/>
      <c r="AF3" s="85"/>
      <c r="AG3" s="85"/>
      <c r="AH3" s="49"/>
      <c r="AI3" s="92"/>
      <c r="AJ3" s="49"/>
      <c r="AK3" s="49"/>
      <c r="AL3" s="49"/>
    </row>
    <row r="4" spans="1:38" ht="12.75" x14ac:dyDescent="0.2">
      <c r="A4" s="87" t="s">
        <v>141</v>
      </c>
      <c r="B4" s="70">
        <f t="shared" ref="B4:H4" si="0">B3*B2</f>
        <v>4.45</v>
      </c>
      <c r="C4" s="70">
        <f t="shared" si="0"/>
        <v>5.7</v>
      </c>
      <c r="D4" s="70">
        <f t="shared" si="0"/>
        <v>3.4000000000000004</v>
      </c>
      <c r="E4" s="70">
        <f t="shared" si="0"/>
        <v>3</v>
      </c>
      <c r="F4" s="70">
        <f t="shared" si="0"/>
        <v>7</v>
      </c>
      <c r="G4" s="70">
        <f t="shared" si="0"/>
        <v>12</v>
      </c>
      <c r="H4" s="70">
        <f t="shared" si="0"/>
        <v>5</v>
      </c>
      <c r="I4" s="70">
        <f>J3*I2</f>
        <v>0</v>
      </c>
      <c r="J4" s="70">
        <f>SUM(B4:I4)</f>
        <v>40.549999999999997</v>
      </c>
      <c r="K4" s="86"/>
      <c r="L4" s="87" t="s">
        <v>141</v>
      </c>
      <c r="M4" s="70">
        <f t="shared" ref="M4:V4" si="1">M3*M2</f>
        <v>4.8500000000000005</v>
      </c>
      <c r="N4" s="70">
        <f t="shared" si="1"/>
        <v>1.3</v>
      </c>
      <c r="O4" s="70">
        <f t="shared" si="1"/>
        <v>1.4000000000000001</v>
      </c>
      <c r="P4" s="70">
        <f t="shared" si="1"/>
        <v>3</v>
      </c>
      <c r="Q4" s="70">
        <f t="shared" si="1"/>
        <v>8</v>
      </c>
      <c r="R4" s="70">
        <f t="shared" si="1"/>
        <v>14</v>
      </c>
      <c r="S4" s="70">
        <f t="shared" si="1"/>
        <v>25</v>
      </c>
      <c r="T4" s="70">
        <f t="shared" si="1"/>
        <v>30</v>
      </c>
      <c r="U4" s="70">
        <f t="shared" si="1"/>
        <v>180</v>
      </c>
      <c r="V4" s="70">
        <f t="shared" si="1"/>
        <v>150</v>
      </c>
      <c r="W4" s="130">
        <v>21.4</v>
      </c>
      <c r="X4" s="70">
        <f>SUM(M4:W4)</f>
        <v>438.95</v>
      </c>
      <c r="Y4" s="96">
        <f>X4-J4</f>
        <v>398.4</v>
      </c>
      <c r="Z4" s="94">
        <v>209.1</v>
      </c>
      <c r="AA4" s="94">
        <f>46.5+W4</f>
        <v>67.900000000000006</v>
      </c>
      <c r="AB4" s="97">
        <f>Y4+AA4</f>
        <v>466.29999999999995</v>
      </c>
      <c r="AC4" s="85">
        <v>79</v>
      </c>
      <c r="AD4" s="96">
        <f>Z4-AC4</f>
        <v>130.1</v>
      </c>
      <c r="AE4" s="96">
        <f>Y4-Z4</f>
        <v>189.29999999999998</v>
      </c>
      <c r="AF4" s="85">
        <v>19</v>
      </c>
      <c r="AG4" s="96">
        <f>AE4-AF4</f>
        <v>170.29999999999998</v>
      </c>
      <c r="AH4" s="49"/>
      <c r="AI4" s="98">
        <f>(SUM(Z4:AA4)/(1+10/100))*(10/100)</f>
        <v>25.18181818181818</v>
      </c>
      <c r="AJ4" s="49"/>
      <c r="AK4" s="49"/>
      <c r="AL4" s="49"/>
    </row>
    <row r="6" spans="1:38" ht="38.25" x14ac:dyDescent="0.2">
      <c r="A6" s="83" t="s">
        <v>135</v>
      </c>
      <c r="B6" s="84">
        <v>45932</v>
      </c>
      <c r="C6" s="85"/>
      <c r="D6" s="85"/>
      <c r="E6" s="85"/>
      <c r="F6" s="85"/>
      <c r="G6" s="85"/>
      <c r="H6" s="85"/>
      <c r="I6" s="85"/>
      <c r="J6" s="85"/>
      <c r="K6" s="86"/>
      <c r="L6" s="83" t="s">
        <v>136</v>
      </c>
      <c r="M6" s="84">
        <v>45932</v>
      </c>
      <c r="N6" s="85"/>
      <c r="O6" s="85"/>
      <c r="P6" s="85"/>
      <c r="Q6" s="85"/>
      <c r="R6" s="85"/>
      <c r="S6" s="85"/>
      <c r="T6" s="85"/>
      <c r="U6" s="85"/>
      <c r="V6" s="85"/>
      <c r="W6" s="88" t="s">
        <v>333</v>
      </c>
      <c r="X6" s="87" t="s">
        <v>141</v>
      </c>
      <c r="Y6" s="88" t="s">
        <v>192</v>
      </c>
      <c r="Z6" s="89" t="s">
        <v>142</v>
      </c>
      <c r="AA6" s="90" t="s">
        <v>193</v>
      </c>
      <c r="AB6" s="91" t="s">
        <v>194</v>
      </c>
      <c r="AC6" s="88" t="s">
        <v>312</v>
      </c>
      <c r="AD6" s="87" t="s">
        <v>195</v>
      </c>
      <c r="AE6" s="87" t="s">
        <v>196</v>
      </c>
      <c r="AF6" s="88" t="s">
        <v>313</v>
      </c>
      <c r="AG6" s="87" t="s">
        <v>198</v>
      </c>
      <c r="AH6" s="49"/>
      <c r="AI6" s="92"/>
      <c r="AJ6" s="49"/>
      <c r="AK6" s="49"/>
      <c r="AL6" s="49"/>
    </row>
    <row r="7" spans="1:38" ht="12.75" x14ac:dyDescent="0.2">
      <c r="A7" s="87" t="s">
        <v>199</v>
      </c>
      <c r="B7" s="93">
        <v>0.05</v>
      </c>
      <c r="C7" s="93">
        <v>0.1</v>
      </c>
      <c r="D7" s="93">
        <v>0.2</v>
      </c>
      <c r="E7" s="93">
        <v>0.5</v>
      </c>
      <c r="F7" s="93">
        <v>1</v>
      </c>
      <c r="G7" s="93">
        <v>2</v>
      </c>
      <c r="H7" s="93">
        <v>5</v>
      </c>
      <c r="I7" s="93">
        <v>10</v>
      </c>
      <c r="J7" s="49"/>
      <c r="K7" s="86"/>
      <c r="L7" s="87" t="s">
        <v>199</v>
      </c>
      <c r="M7" s="93">
        <v>0.05</v>
      </c>
      <c r="N7" s="93">
        <v>0.1</v>
      </c>
      <c r="O7" s="93">
        <v>0.2</v>
      </c>
      <c r="P7" s="93">
        <v>0.5</v>
      </c>
      <c r="Q7" s="93">
        <v>1</v>
      </c>
      <c r="R7" s="93">
        <v>2</v>
      </c>
      <c r="S7" s="93">
        <v>5</v>
      </c>
      <c r="T7" s="93">
        <v>10</v>
      </c>
      <c r="U7" s="93">
        <v>20</v>
      </c>
      <c r="V7" s="93">
        <v>50</v>
      </c>
      <c r="W7" s="129"/>
      <c r="X7" s="85"/>
      <c r="Y7" s="85"/>
      <c r="Z7" s="49"/>
      <c r="AA7" s="94"/>
      <c r="AB7" s="95"/>
      <c r="AC7" s="85"/>
      <c r="AD7" s="85"/>
      <c r="AE7" s="85"/>
      <c r="AF7" s="85"/>
      <c r="AG7" s="85"/>
      <c r="AH7" s="49"/>
      <c r="AI7" s="92"/>
      <c r="AJ7" s="49"/>
      <c r="AK7" s="49"/>
      <c r="AL7" s="49"/>
    </row>
    <row r="8" spans="1:38" ht="12.75" x14ac:dyDescent="0.2">
      <c r="A8" s="87" t="s">
        <v>200</v>
      </c>
      <c r="B8" s="38">
        <v>97</v>
      </c>
      <c r="C8" s="38">
        <v>13</v>
      </c>
      <c r="D8" s="38">
        <v>7</v>
      </c>
      <c r="E8" s="38">
        <v>6</v>
      </c>
      <c r="F8" s="38">
        <v>8</v>
      </c>
      <c r="G8" s="38">
        <v>7</v>
      </c>
      <c r="H8" s="38">
        <v>2</v>
      </c>
      <c r="I8" s="85"/>
      <c r="J8" s="85"/>
      <c r="K8" s="86"/>
      <c r="L8" s="87" t="s">
        <v>200</v>
      </c>
      <c r="M8" s="38">
        <v>93</v>
      </c>
      <c r="N8" s="38">
        <v>12</v>
      </c>
      <c r="O8" s="38">
        <v>11</v>
      </c>
      <c r="P8" s="38">
        <v>6</v>
      </c>
      <c r="Q8" s="38">
        <v>10</v>
      </c>
      <c r="R8" s="38">
        <v>6</v>
      </c>
      <c r="S8" s="38">
        <v>4</v>
      </c>
      <c r="T8" s="49">
        <v>0</v>
      </c>
      <c r="U8" s="49">
        <v>6</v>
      </c>
      <c r="V8" s="85">
        <v>5</v>
      </c>
      <c r="W8" s="129"/>
      <c r="X8" s="85"/>
      <c r="Y8" s="85"/>
      <c r="Z8" s="49"/>
      <c r="AA8" s="94"/>
      <c r="AB8" s="95"/>
      <c r="AC8" s="85"/>
      <c r="AD8" s="85"/>
      <c r="AE8" s="85"/>
      <c r="AF8" s="85"/>
      <c r="AG8" s="85"/>
      <c r="AH8" s="49"/>
      <c r="AI8" s="92"/>
      <c r="AJ8" s="49"/>
      <c r="AK8" s="49"/>
      <c r="AL8" s="49"/>
    </row>
    <row r="9" spans="1:38" ht="12.75" x14ac:dyDescent="0.2">
      <c r="A9" s="87" t="s">
        <v>141</v>
      </c>
      <c r="B9" s="70">
        <f t="shared" ref="B9:H9" si="2">B8*B7</f>
        <v>4.8500000000000005</v>
      </c>
      <c r="C9" s="70">
        <f t="shared" si="2"/>
        <v>1.3</v>
      </c>
      <c r="D9" s="70">
        <f t="shared" si="2"/>
        <v>1.4000000000000001</v>
      </c>
      <c r="E9" s="70">
        <f t="shared" si="2"/>
        <v>3</v>
      </c>
      <c r="F9" s="70">
        <f t="shared" si="2"/>
        <v>8</v>
      </c>
      <c r="G9" s="70">
        <f t="shared" si="2"/>
        <v>14</v>
      </c>
      <c r="H9" s="70">
        <f t="shared" si="2"/>
        <v>10</v>
      </c>
      <c r="I9" s="70">
        <f>J8*I7</f>
        <v>0</v>
      </c>
      <c r="J9" s="70">
        <f>SUM(B9:I9)</f>
        <v>42.55</v>
      </c>
      <c r="K9" s="86"/>
      <c r="L9" s="87" t="s">
        <v>141</v>
      </c>
      <c r="M9" s="70">
        <f t="shared" ref="M9:V9" si="3">M8*M7</f>
        <v>4.6500000000000004</v>
      </c>
      <c r="N9" s="70">
        <f t="shared" si="3"/>
        <v>1.2000000000000002</v>
      </c>
      <c r="O9" s="70">
        <f t="shared" si="3"/>
        <v>2.2000000000000002</v>
      </c>
      <c r="P9" s="70">
        <f t="shared" si="3"/>
        <v>3</v>
      </c>
      <c r="Q9" s="70">
        <f t="shared" si="3"/>
        <v>10</v>
      </c>
      <c r="R9" s="70">
        <f t="shared" si="3"/>
        <v>12</v>
      </c>
      <c r="S9" s="70">
        <f t="shared" si="3"/>
        <v>20</v>
      </c>
      <c r="T9" s="70">
        <f t="shared" si="3"/>
        <v>0</v>
      </c>
      <c r="U9" s="70">
        <f t="shared" si="3"/>
        <v>120</v>
      </c>
      <c r="V9" s="70">
        <f t="shared" si="3"/>
        <v>250</v>
      </c>
      <c r="W9" s="130"/>
      <c r="X9" s="70">
        <f>SUM(M9:V9)</f>
        <v>423.05</v>
      </c>
      <c r="Y9" s="96">
        <f>X9-J9</f>
        <v>380.5</v>
      </c>
      <c r="Z9" s="94">
        <v>199.9</v>
      </c>
      <c r="AA9" s="94">
        <v>43.37</v>
      </c>
      <c r="AB9" s="97">
        <f>Y9+AA9</f>
        <v>423.87</v>
      </c>
      <c r="AC9" s="85">
        <v>100</v>
      </c>
      <c r="AD9" s="96">
        <f>Z9-AC9</f>
        <v>99.9</v>
      </c>
      <c r="AE9" s="96">
        <f>Y9-Z9</f>
        <v>180.6</v>
      </c>
      <c r="AF9" s="85"/>
      <c r="AG9" s="96">
        <f>AE9-AF9</f>
        <v>180.6</v>
      </c>
      <c r="AH9" s="49"/>
      <c r="AI9" s="98">
        <f>(SUM(Z9:AA9)/(1+10/100))*(10/100)</f>
        <v>22.115454545454547</v>
      </c>
      <c r="AJ9" s="49"/>
      <c r="AK9" s="49"/>
      <c r="AL9" s="49"/>
    </row>
    <row r="11" spans="1:38" ht="38.25" x14ac:dyDescent="0.2">
      <c r="A11" s="83" t="s">
        <v>135</v>
      </c>
      <c r="B11" s="84">
        <v>45933</v>
      </c>
      <c r="C11" s="85"/>
      <c r="D11" s="85"/>
      <c r="E11" s="85"/>
      <c r="F11" s="85"/>
      <c r="G11" s="85"/>
      <c r="H11" s="85"/>
      <c r="I11" s="85"/>
      <c r="J11" s="85"/>
      <c r="K11" s="86"/>
      <c r="L11" s="83" t="s">
        <v>136</v>
      </c>
      <c r="M11" s="84">
        <v>45933</v>
      </c>
      <c r="N11" s="85"/>
      <c r="O11" s="85"/>
      <c r="P11" s="85"/>
      <c r="Q11" s="85"/>
      <c r="R11" s="85"/>
      <c r="S11" s="85"/>
      <c r="T11" s="85"/>
      <c r="U11" s="85"/>
      <c r="V11" s="85"/>
      <c r="W11" s="88" t="s">
        <v>333</v>
      </c>
      <c r="X11" s="87" t="s">
        <v>141</v>
      </c>
      <c r="Y11" s="88" t="s">
        <v>192</v>
      </c>
      <c r="Z11" s="89" t="s">
        <v>142</v>
      </c>
      <c r="AA11" s="90" t="s">
        <v>193</v>
      </c>
      <c r="AB11" s="91" t="s">
        <v>194</v>
      </c>
      <c r="AC11" s="88" t="s">
        <v>312</v>
      </c>
      <c r="AD11" s="87" t="s">
        <v>195</v>
      </c>
      <c r="AE11" s="87" t="s">
        <v>196</v>
      </c>
      <c r="AF11" s="88" t="s">
        <v>313</v>
      </c>
      <c r="AG11" s="87" t="s">
        <v>198</v>
      </c>
      <c r="AH11" s="49"/>
      <c r="AI11" s="92"/>
      <c r="AJ11" s="49"/>
      <c r="AK11" s="49"/>
      <c r="AL11" s="49"/>
    </row>
    <row r="12" spans="1:38" ht="12.75" x14ac:dyDescent="0.2">
      <c r="A12" s="87" t="s">
        <v>199</v>
      </c>
      <c r="B12" s="93">
        <v>0.05</v>
      </c>
      <c r="C12" s="93">
        <v>0.1</v>
      </c>
      <c r="D12" s="93">
        <v>0.2</v>
      </c>
      <c r="E12" s="93">
        <v>0.5</v>
      </c>
      <c r="F12" s="93">
        <v>1</v>
      </c>
      <c r="G12" s="93">
        <v>2</v>
      </c>
      <c r="H12" s="93">
        <v>5</v>
      </c>
      <c r="I12" s="93">
        <v>10</v>
      </c>
      <c r="J12" s="49"/>
      <c r="K12" s="86"/>
      <c r="L12" s="87" t="s">
        <v>199</v>
      </c>
      <c r="M12" s="93">
        <v>0.05</v>
      </c>
      <c r="N12" s="93">
        <v>0.1</v>
      </c>
      <c r="O12" s="93">
        <v>0.2</v>
      </c>
      <c r="P12" s="93">
        <v>0.5</v>
      </c>
      <c r="Q12" s="93">
        <v>1</v>
      </c>
      <c r="R12" s="93">
        <v>2</v>
      </c>
      <c r="S12" s="93">
        <v>5</v>
      </c>
      <c r="T12" s="93">
        <v>10</v>
      </c>
      <c r="U12" s="93">
        <v>20</v>
      </c>
      <c r="V12" s="93">
        <v>50</v>
      </c>
      <c r="W12" s="129"/>
      <c r="X12" s="85"/>
      <c r="Y12" s="85"/>
      <c r="Z12" s="49"/>
      <c r="AA12" s="94"/>
      <c r="AB12" s="95"/>
      <c r="AC12" s="85"/>
      <c r="AD12" s="85"/>
      <c r="AE12" s="85"/>
      <c r="AF12" s="85"/>
      <c r="AG12" s="85"/>
      <c r="AH12" s="49"/>
      <c r="AI12" s="92"/>
      <c r="AJ12" s="49"/>
      <c r="AK12" s="49"/>
      <c r="AL12" s="49"/>
    </row>
    <row r="13" spans="1:38" ht="12.75" x14ac:dyDescent="0.2">
      <c r="A13" s="87" t="s">
        <v>200</v>
      </c>
      <c r="B13" s="38">
        <v>93</v>
      </c>
      <c r="C13" s="38">
        <v>12</v>
      </c>
      <c r="D13" s="38">
        <v>11</v>
      </c>
      <c r="E13" s="38">
        <v>6</v>
      </c>
      <c r="F13" s="38">
        <v>10</v>
      </c>
      <c r="G13" s="38">
        <v>6</v>
      </c>
      <c r="H13" s="38">
        <v>2</v>
      </c>
      <c r="I13" s="85"/>
      <c r="J13" s="85"/>
      <c r="K13" s="86"/>
      <c r="L13" s="87" t="s">
        <v>200</v>
      </c>
      <c r="M13" s="38">
        <v>87</v>
      </c>
      <c r="N13" s="38">
        <v>37</v>
      </c>
      <c r="O13" s="38">
        <v>18</v>
      </c>
      <c r="P13" s="38">
        <v>12</v>
      </c>
      <c r="Q13" s="38">
        <v>2</v>
      </c>
      <c r="R13" s="38">
        <v>1</v>
      </c>
      <c r="S13" s="38">
        <v>9</v>
      </c>
      <c r="T13" s="49">
        <v>7</v>
      </c>
      <c r="U13" s="49">
        <v>9</v>
      </c>
      <c r="V13" s="85">
        <v>3</v>
      </c>
      <c r="W13" s="129"/>
      <c r="X13" s="85"/>
      <c r="Y13" s="85"/>
      <c r="Z13" s="49"/>
      <c r="AA13" s="94"/>
      <c r="AB13" s="95"/>
      <c r="AC13" s="85"/>
      <c r="AD13" s="85"/>
      <c r="AE13" s="85"/>
      <c r="AF13" s="85"/>
      <c r="AG13" s="85"/>
      <c r="AH13" s="49"/>
      <c r="AI13" s="92"/>
      <c r="AJ13" s="49"/>
      <c r="AK13" s="49"/>
      <c r="AL13" s="49"/>
    </row>
    <row r="14" spans="1:38" ht="12.75" x14ac:dyDescent="0.2">
      <c r="A14" s="87" t="s">
        <v>141</v>
      </c>
      <c r="B14" s="70">
        <f t="shared" ref="B14:H14" si="4">B13*B12</f>
        <v>4.6500000000000004</v>
      </c>
      <c r="C14" s="70">
        <f t="shared" si="4"/>
        <v>1.2000000000000002</v>
      </c>
      <c r="D14" s="70">
        <f t="shared" si="4"/>
        <v>2.2000000000000002</v>
      </c>
      <c r="E14" s="70">
        <f t="shared" si="4"/>
        <v>3</v>
      </c>
      <c r="F14" s="70">
        <f t="shared" si="4"/>
        <v>10</v>
      </c>
      <c r="G14" s="70">
        <f t="shared" si="4"/>
        <v>12</v>
      </c>
      <c r="H14" s="70">
        <f t="shared" si="4"/>
        <v>10</v>
      </c>
      <c r="I14" s="70">
        <f>J13*I12</f>
        <v>0</v>
      </c>
      <c r="J14" s="70">
        <f>SUM(B14:I14)</f>
        <v>43.05</v>
      </c>
      <c r="K14" s="86"/>
      <c r="L14" s="87" t="s">
        <v>141</v>
      </c>
      <c r="M14" s="70">
        <f t="shared" ref="M14:V14" si="5">M13*M12</f>
        <v>4.3500000000000005</v>
      </c>
      <c r="N14" s="70">
        <f t="shared" si="5"/>
        <v>3.7</v>
      </c>
      <c r="O14" s="70">
        <f t="shared" si="5"/>
        <v>3.6</v>
      </c>
      <c r="P14" s="70">
        <f t="shared" si="5"/>
        <v>6</v>
      </c>
      <c r="Q14" s="70">
        <f t="shared" si="5"/>
        <v>2</v>
      </c>
      <c r="R14" s="70">
        <f t="shared" si="5"/>
        <v>2</v>
      </c>
      <c r="S14" s="70">
        <f t="shared" si="5"/>
        <v>45</v>
      </c>
      <c r="T14" s="70">
        <f t="shared" si="5"/>
        <v>70</v>
      </c>
      <c r="U14" s="70">
        <f t="shared" si="5"/>
        <v>180</v>
      </c>
      <c r="V14" s="70">
        <f t="shared" si="5"/>
        <v>150</v>
      </c>
      <c r="W14" s="130"/>
      <c r="X14" s="70">
        <f>SUM(M14:V14)</f>
        <v>466.65</v>
      </c>
      <c r="Y14" s="96">
        <f>X14-J14</f>
        <v>423.59999999999997</v>
      </c>
      <c r="Z14" s="94">
        <v>304.89999999999998</v>
      </c>
      <c r="AA14" s="94">
        <v>104.9</v>
      </c>
      <c r="AB14" s="97">
        <f>Y14+AA14</f>
        <v>528.5</v>
      </c>
      <c r="AC14" s="85">
        <v>130</v>
      </c>
      <c r="AD14" s="96">
        <f>Z14-AC14</f>
        <v>174.89999999999998</v>
      </c>
      <c r="AE14" s="96">
        <f>Y14-Z14</f>
        <v>118.69999999999999</v>
      </c>
      <c r="AF14" s="85">
        <v>100</v>
      </c>
      <c r="AG14" s="96">
        <f>AE14-AF14</f>
        <v>18.699999999999989</v>
      </c>
      <c r="AH14" s="49">
        <v>75</v>
      </c>
      <c r="AI14" s="98">
        <f>(SUM(Z14:AA14)/(1+10/100))*(10/100)</f>
        <v>37.254545454545443</v>
      </c>
      <c r="AJ14" s="49"/>
      <c r="AK14" s="49"/>
      <c r="AL14" s="49"/>
    </row>
    <row r="15" spans="1:38" ht="12.75" x14ac:dyDescent="0.2">
      <c r="AH15" s="38">
        <v>23</v>
      </c>
    </row>
    <row r="16" spans="1:38" ht="38.25" x14ac:dyDescent="0.2">
      <c r="A16" s="83" t="s">
        <v>135</v>
      </c>
      <c r="B16" s="84">
        <v>45934</v>
      </c>
      <c r="C16" s="85"/>
      <c r="D16" s="85"/>
      <c r="E16" s="85"/>
      <c r="F16" s="85"/>
      <c r="G16" s="85"/>
      <c r="H16" s="85"/>
      <c r="I16" s="85"/>
      <c r="J16" s="85"/>
      <c r="K16" s="86"/>
      <c r="L16" s="83" t="s">
        <v>136</v>
      </c>
      <c r="M16" s="84">
        <v>45934</v>
      </c>
      <c r="N16" s="85"/>
      <c r="O16" s="85"/>
      <c r="P16" s="85"/>
      <c r="Q16" s="85"/>
      <c r="R16" s="85"/>
      <c r="S16" s="85"/>
      <c r="T16" s="85"/>
      <c r="U16" s="85"/>
      <c r="V16" s="85"/>
      <c r="W16" s="88" t="s">
        <v>333</v>
      </c>
      <c r="X16" s="87" t="s">
        <v>141</v>
      </c>
      <c r="Y16" s="88" t="s">
        <v>192</v>
      </c>
      <c r="Z16" s="89" t="s">
        <v>142</v>
      </c>
      <c r="AA16" s="90" t="s">
        <v>193</v>
      </c>
      <c r="AB16" s="91" t="s">
        <v>194</v>
      </c>
      <c r="AC16" s="88" t="s">
        <v>312</v>
      </c>
      <c r="AD16" s="87" t="s">
        <v>195</v>
      </c>
      <c r="AE16" s="87" t="s">
        <v>196</v>
      </c>
      <c r="AF16" s="88" t="s">
        <v>313</v>
      </c>
      <c r="AG16" s="87" t="s">
        <v>198</v>
      </c>
      <c r="AH16" s="49"/>
      <c r="AI16" s="92"/>
      <c r="AJ16" s="49"/>
      <c r="AK16" s="49"/>
      <c r="AL16" s="49"/>
    </row>
    <row r="17" spans="1:38" ht="12.75" x14ac:dyDescent="0.2">
      <c r="A17" s="87" t="s">
        <v>199</v>
      </c>
      <c r="B17" s="93">
        <v>0.05</v>
      </c>
      <c r="C17" s="93">
        <v>0.1</v>
      </c>
      <c r="D17" s="93">
        <v>0.2</v>
      </c>
      <c r="E17" s="93">
        <v>0.5</v>
      </c>
      <c r="F17" s="93">
        <v>1</v>
      </c>
      <c r="G17" s="93">
        <v>2</v>
      </c>
      <c r="H17" s="93">
        <v>5</v>
      </c>
      <c r="I17" s="93">
        <v>10</v>
      </c>
      <c r="J17" s="49"/>
      <c r="K17" s="86"/>
      <c r="L17" s="87" t="s">
        <v>199</v>
      </c>
      <c r="M17" s="93">
        <v>0.05</v>
      </c>
      <c r="N17" s="93">
        <v>0.1</v>
      </c>
      <c r="O17" s="93">
        <v>0.2</v>
      </c>
      <c r="P17" s="93">
        <v>0.5</v>
      </c>
      <c r="Q17" s="93">
        <v>1</v>
      </c>
      <c r="R17" s="93">
        <v>2</v>
      </c>
      <c r="S17" s="93">
        <v>5</v>
      </c>
      <c r="T17" s="93">
        <v>10</v>
      </c>
      <c r="U17" s="93">
        <v>20</v>
      </c>
      <c r="V17" s="93">
        <v>50</v>
      </c>
      <c r="W17" s="129"/>
      <c r="X17" s="85"/>
      <c r="Y17" s="85"/>
      <c r="Z17" s="49"/>
      <c r="AA17" s="94"/>
      <c r="AB17" s="95"/>
      <c r="AC17" s="85"/>
      <c r="AD17" s="85"/>
      <c r="AE17" s="85"/>
      <c r="AF17" s="85"/>
      <c r="AG17" s="85"/>
      <c r="AH17" s="49"/>
      <c r="AI17" s="92"/>
      <c r="AJ17" s="49"/>
      <c r="AK17" s="49"/>
      <c r="AL17" s="49"/>
    </row>
    <row r="18" spans="1:38" ht="12.75" x14ac:dyDescent="0.2">
      <c r="A18" s="87" t="s">
        <v>200</v>
      </c>
      <c r="B18" s="38">
        <v>87</v>
      </c>
      <c r="C18" s="38">
        <v>37</v>
      </c>
      <c r="D18" s="38">
        <v>18</v>
      </c>
      <c r="E18" s="38">
        <v>12</v>
      </c>
      <c r="F18" s="38">
        <v>2</v>
      </c>
      <c r="G18" s="38">
        <v>1</v>
      </c>
      <c r="H18" s="38">
        <v>2</v>
      </c>
      <c r="I18" s="85"/>
      <c r="J18" s="85"/>
      <c r="K18" s="86"/>
      <c r="L18" s="87" t="s">
        <v>200</v>
      </c>
      <c r="M18" s="38">
        <v>87</v>
      </c>
      <c r="N18" s="38">
        <v>36</v>
      </c>
      <c r="O18" s="38">
        <v>23</v>
      </c>
      <c r="P18" s="38">
        <v>9</v>
      </c>
      <c r="Q18" s="38">
        <v>5</v>
      </c>
      <c r="R18" s="38">
        <v>5</v>
      </c>
      <c r="S18" s="38">
        <v>4</v>
      </c>
      <c r="T18" s="49">
        <v>1</v>
      </c>
      <c r="U18" s="49">
        <v>8</v>
      </c>
      <c r="V18" s="85">
        <v>1</v>
      </c>
      <c r="W18" s="129"/>
      <c r="X18" s="85"/>
      <c r="Y18" s="85"/>
      <c r="Z18" s="49"/>
      <c r="AA18" s="94"/>
      <c r="AB18" s="95"/>
      <c r="AC18" s="85"/>
      <c r="AD18" s="85"/>
      <c r="AE18" s="85"/>
      <c r="AF18" s="85"/>
      <c r="AG18" s="85"/>
      <c r="AH18" s="49"/>
      <c r="AI18" s="92"/>
      <c r="AJ18" s="49"/>
      <c r="AK18" s="49"/>
      <c r="AL18" s="49"/>
    </row>
    <row r="19" spans="1:38" ht="12.75" x14ac:dyDescent="0.2">
      <c r="A19" s="87" t="s">
        <v>141</v>
      </c>
      <c r="B19" s="70">
        <f t="shared" ref="B19:H19" si="6">B18*B17</f>
        <v>4.3500000000000005</v>
      </c>
      <c r="C19" s="70">
        <f t="shared" si="6"/>
        <v>3.7</v>
      </c>
      <c r="D19" s="70">
        <f t="shared" si="6"/>
        <v>3.6</v>
      </c>
      <c r="E19" s="70">
        <f t="shared" si="6"/>
        <v>6</v>
      </c>
      <c r="F19" s="70">
        <f t="shared" si="6"/>
        <v>2</v>
      </c>
      <c r="G19" s="70">
        <f t="shared" si="6"/>
        <v>2</v>
      </c>
      <c r="H19" s="70">
        <f t="shared" si="6"/>
        <v>10</v>
      </c>
      <c r="I19" s="70">
        <f>J18*I17</f>
        <v>0</v>
      </c>
      <c r="J19" s="70">
        <f>SUM(B19:I19)</f>
        <v>31.65</v>
      </c>
      <c r="K19" s="86"/>
      <c r="L19" s="87" t="s">
        <v>141</v>
      </c>
      <c r="M19" s="70">
        <f t="shared" ref="M19:V19" si="7">M18*M17</f>
        <v>4.3500000000000005</v>
      </c>
      <c r="N19" s="70">
        <f t="shared" si="7"/>
        <v>3.6</v>
      </c>
      <c r="O19" s="70">
        <f t="shared" si="7"/>
        <v>4.6000000000000005</v>
      </c>
      <c r="P19" s="70">
        <f t="shared" si="7"/>
        <v>4.5</v>
      </c>
      <c r="Q19" s="70">
        <f t="shared" si="7"/>
        <v>5</v>
      </c>
      <c r="R19" s="70">
        <f t="shared" si="7"/>
        <v>10</v>
      </c>
      <c r="S19" s="70">
        <f t="shared" si="7"/>
        <v>20</v>
      </c>
      <c r="T19" s="70">
        <f t="shared" si="7"/>
        <v>10</v>
      </c>
      <c r="U19" s="70">
        <f t="shared" si="7"/>
        <v>160</v>
      </c>
      <c r="V19" s="70">
        <f t="shared" si="7"/>
        <v>50</v>
      </c>
      <c r="W19" s="130"/>
      <c r="X19" s="70">
        <f>SUM(M19:V19)</f>
        <v>272.05</v>
      </c>
      <c r="Y19" s="96">
        <f>X19-J19</f>
        <v>240.4</v>
      </c>
      <c r="Z19" s="94">
        <v>138</v>
      </c>
      <c r="AA19" s="94">
        <v>53</v>
      </c>
      <c r="AB19" s="97">
        <f>Y19+AA19</f>
        <v>293.39999999999998</v>
      </c>
      <c r="AC19" s="85">
        <v>119</v>
      </c>
      <c r="AD19" s="96">
        <f>Z19-AC19</f>
        <v>19</v>
      </c>
      <c r="AE19" s="96">
        <f>Y19-Z19</f>
        <v>102.4</v>
      </c>
      <c r="AF19" s="85">
        <v>80</v>
      </c>
      <c r="AG19" s="96">
        <f>AE19-AF19</f>
        <v>22.400000000000006</v>
      </c>
      <c r="AH19" s="49"/>
      <c r="AI19" s="98">
        <f>(SUM(Z19:AA19)/(1+10/100))*(10/100)</f>
        <v>17.363636363636363</v>
      </c>
      <c r="AJ19" s="49"/>
      <c r="AK19" s="49"/>
      <c r="AL19" s="49"/>
    </row>
    <row r="21" spans="1:38" ht="38.25" x14ac:dyDescent="0.2">
      <c r="A21" s="83" t="s">
        <v>135</v>
      </c>
      <c r="B21" s="84">
        <v>45936</v>
      </c>
      <c r="C21" s="85"/>
      <c r="D21" s="85"/>
      <c r="E21" s="85"/>
      <c r="F21" s="85"/>
      <c r="G21" s="85"/>
      <c r="H21" s="85"/>
      <c r="I21" s="85"/>
      <c r="J21" s="85"/>
      <c r="K21" s="86"/>
      <c r="L21" s="83" t="s">
        <v>136</v>
      </c>
      <c r="M21" s="84">
        <v>45936</v>
      </c>
      <c r="N21" s="85"/>
      <c r="O21" s="85"/>
      <c r="P21" s="85"/>
      <c r="Q21" s="85"/>
      <c r="R21" s="85"/>
      <c r="S21" s="85"/>
      <c r="T21" s="85"/>
      <c r="U21" s="85"/>
      <c r="V21" s="85"/>
      <c r="W21" s="88" t="s">
        <v>333</v>
      </c>
      <c r="X21" s="87" t="s">
        <v>141</v>
      </c>
      <c r="Y21" s="88" t="s">
        <v>192</v>
      </c>
      <c r="Z21" s="89" t="s">
        <v>142</v>
      </c>
      <c r="AA21" s="90" t="s">
        <v>193</v>
      </c>
      <c r="AB21" s="91" t="s">
        <v>194</v>
      </c>
      <c r="AC21" s="88" t="s">
        <v>312</v>
      </c>
      <c r="AD21" s="87" t="s">
        <v>195</v>
      </c>
      <c r="AE21" s="87" t="s">
        <v>196</v>
      </c>
      <c r="AF21" s="88" t="s">
        <v>313</v>
      </c>
      <c r="AG21" s="87" t="s">
        <v>198</v>
      </c>
      <c r="AH21" s="49"/>
      <c r="AI21" s="92"/>
      <c r="AJ21" s="49"/>
      <c r="AK21" s="49"/>
      <c r="AL21" s="49"/>
    </row>
    <row r="22" spans="1:38" ht="12.75" x14ac:dyDescent="0.2">
      <c r="A22" s="87" t="s">
        <v>199</v>
      </c>
      <c r="B22" s="93">
        <v>0.05</v>
      </c>
      <c r="C22" s="93">
        <v>0.1</v>
      </c>
      <c r="D22" s="93">
        <v>0.2</v>
      </c>
      <c r="E22" s="93">
        <v>0.5</v>
      </c>
      <c r="F22" s="93">
        <v>1</v>
      </c>
      <c r="G22" s="93">
        <v>2</v>
      </c>
      <c r="H22" s="93">
        <v>5</v>
      </c>
      <c r="I22" s="93">
        <v>10</v>
      </c>
      <c r="J22" s="49"/>
      <c r="K22" s="86"/>
      <c r="L22" s="87" t="s">
        <v>199</v>
      </c>
      <c r="M22" s="93">
        <v>0.05</v>
      </c>
      <c r="N22" s="93">
        <v>0.1</v>
      </c>
      <c r="O22" s="93">
        <v>0.2</v>
      </c>
      <c r="P22" s="93">
        <v>0.5</v>
      </c>
      <c r="Q22" s="93">
        <v>1</v>
      </c>
      <c r="R22" s="93">
        <v>2</v>
      </c>
      <c r="S22" s="93">
        <v>5</v>
      </c>
      <c r="T22" s="93">
        <v>10</v>
      </c>
      <c r="U22" s="93">
        <v>20</v>
      </c>
      <c r="V22" s="93">
        <v>50</v>
      </c>
      <c r="W22" s="129"/>
      <c r="X22" s="85"/>
      <c r="Y22" s="85"/>
      <c r="Z22" s="49"/>
      <c r="AA22" s="94"/>
      <c r="AB22" s="95"/>
      <c r="AC22" s="85"/>
      <c r="AD22" s="85"/>
      <c r="AE22" s="85"/>
      <c r="AF22" s="85"/>
      <c r="AG22" s="85"/>
      <c r="AH22" s="49"/>
      <c r="AI22" s="92"/>
      <c r="AJ22" s="49"/>
      <c r="AK22" s="49"/>
      <c r="AL22" s="49"/>
    </row>
    <row r="23" spans="1:38" ht="12.75" x14ac:dyDescent="0.2">
      <c r="A23" s="87" t="s">
        <v>200</v>
      </c>
      <c r="B23" s="38">
        <v>87</v>
      </c>
      <c r="C23" s="38">
        <v>36</v>
      </c>
      <c r="D23" s="38">
        <v>23</v>
      </c>
      <c r="E23" s="38">
        <v>9</v>
      </c>
      <c r="F23" s="38">
        <v>5</v>
      </c>
      <c r="G23" s="38">
        <v>5</v>
      </c>
      <c r="H23" s="38">
        <v>2</v>
      </c>
      <c r="I23" s="85"/>
      <c r="J23" s="85"/>
      <c r="K23" s="86"/>
      <c r="L23" s="87" t="s">
        <v>200</v>
      </c>
      <c r="M23" s="38">
        <v>97</v>
      </c>
      <c r="N23" s="38">
        <v>38</v>
      </c>
      <c r="O23" s="38">
        <v>12</v>
      </c>
      <c r="P23" s="38">
        <v>20</v>
      </c>
      <c r="Q23" s="38">
        <v>8</v>
      </c>
      <c r="R23" s="38">
        <v>9</v>
      </c>
      <c r="S23" s="38">
        <v>22</v>
      </c>
      <c r="T23" s="49">
        <v>6</v>
      </c>
      <c r="U23" s="49">
        <v>7</v>
      </c>
      <c r="V23" s="85">
        <v>1</v>
      </c>
      <c r="W23" s="129"/>
      <c r="X23" s="85"/>
      <c r="Y23" s="85"/>
      <c r="Z23" s="49"/>
      <c r="AA23" s="94"/>
      <c r="AB23" s="95"/>
      <c r="AC23" s="85"/>
      <c r="AD23" s="85"/>
      <c r="AE23" s="85"/>
      <c r="AF23" s="85"/>
      <c r="AG23" s="85"/>
      <c r="AH23" s="49"/>
      <c r="AI23" s="92"/>
      <c r="AJ23" s="49"/>
      <c r="AK23" s="49"/>
      <c r="AL23" s="49"/>
    </row>
    <row r="24" spans="1:38" ht="12.75" x14ac:dyDescent="0.2">
      <c r="A24" s="87" t="s">
        <v>141</v>
      </c>
      <c r="B24" s="70">
        <f t="shared" ref="B24:H24" si="8">B23*B22</f>
        <v>4.3500000000000005</v>
      </c>
      <c r="C24" s="70">
        <f t="shared" si="8"/>
        <v>3.6</v>
      </c>
      <c r="D24" s="70">
        <f t="shared" si="8"/>
        <v>4.6000000000000005</v>
      </c>
      <c r="E24" s="70">
        <f t="shared" si="8"/>
        <v>4.5</v>
      </c>
      <c r="F24" s="70">
        <f t="shared" si="8"/>
        <v>5</v>
      </c>
      <c r="G24" s="70">
        <f t="shared" si="8"/>
        <v>10</v>
      </c>
      <c r="H24" s="70">
        <f t="shared" si="8"/>
        <v>10</v>
      </c>
      <c r="I24" s="70">
        <f>J23*I22</f>
        <v>0</v>
      </c>
      <c r="J24" s="70">
        <f>SUM(B24:I24)</f>
        <v>42.05</v>
      </c>
      <c r="K24" s="86"/>
      <c r="L24" s="87" t="s">
        <v>141</v>
      </c>
      <c r="M24" s="70">
        <f t="shared" ref="M24:V24" si="9">M23*M22</f>
        <v>4.8500000000000005</v>
      </c>
      <c r="N24" s="70">
        <f t="shared" si="9"/>
        <v>3.8000000000000003</v>
      </c>
      <c r="O24" s="70">
        <f t="shared" si="9"/>
        <v>2.4000000000000004</v>
      </c>
      <c r="P24" s="70">
        <f t="shared" si="9"/>
        <v>10</v>
      </c>
      <c r="Q24" s="70">
        <f t="shared" si="9"/>
        <v>8</v>
      </c>
      <c r="R24" s="70">
        <f t="shared" si="9"/>
        <v>18</v>
      </c>
      <c r="S24" s="70">
        <f t="shared" si="9"/>
        <v>110</v>
      </c>
      <c r="T24" s="70">
        <f t="shared" si="9"/>
        <v>60</v>
      </c>
      <c r="U24" s="70">
        <f t="shared" si="9"/>
        <v>140</v>
      </c>
      <c r="V24" s="70">
        <f t="shared" si="9"/>
        <v>50</v>
      </c>
      <c r="W24" s="130"/>
      <c r="X24" s="70">
        <f>SUM(M24:V24)</f>
        <v>407.05</v>
      </c>
      <c r="Y24" s="96">
        <f>X24-J24</f>
        <v>365</v>
      </c>
      <c r="Z24" s="94">
        <v>217.4</v>
      </c>
      <c r="AA24" s="94">
        <v>101.7</v>
      </c>
      <c r="AB24" s="97">
        <f>Y24+AA24</f>
        <v>466.7</v>
      </c>
      <c r="AC24" s="85">
        <f>86+90</f>
        <v>176</v>
      </c>
      <c r="AD24" s="96">
        <f>Z24-AC24</f>
        <v>41.400000000000006</v>
      </c>
      <c r="AE24" s="96">
        <f>Y24-Z24</f>
        <v>147.6</v>
      </c>
      <c r="AF24" s="85">
        <v>7.6</v>
      </c>
      <c r="AG24" s="96">
        <f>AE24-AF24</f>
        <v>140</v>
      </c>
      <c r="AH24" s="49"/>
      <c r="AI24" s="98">
        <f>(SUM(Z24:AA24)/(1+10/100))*(10/100)</f>
        <v>29.009090909090908</v>
      </c>
      <c r="AJ24" s="49"/>
      <c r="AK24" s="49"/>
      <c r="AL24" s="49"/>
    </row>
    <row r="26" spans="1:38" ht="38.25" x14ac:dyDescent="0.2">
      <c r="A26" s="83" t="s">
        <v>135</v>
      </c>
      <c r="B26" s="84">
        <v>45937</v>
      </c>
      <c r="C26" s="85"/>
      <c r="D26" s="85"/>
      <c r="E26" s="85"/>
      <c r="F26" s="85"/>
      <c r="G26" s="85"/>
      <c r="H26" s="85"/>
      <c r="I26" s="85"/>
      <c r="J26" s="85"/>
      <c r="K26" s="86"/>
      <c r="L26" s="83" t="s">
        <v>136</v>
      </c>
      <c r="M26" s="84">
        <v>45937</v>
      </c>
      <c r="N26" s="85"/>
      <c r="O26" s="85"/>
      <c r="P26" s="85"/>
      <c r="Q26" s="85"/>
      <c r="R26" s="85"/>
      <c r="S26" s="85"/>
      <c r="T26" s="85"/>
      <c r="U26" s="85"/>
      <c r="V26" s="85"/>
      <c r="W26" s="88" t="s">
        <v>333</v>
      </c>
      <c r="X26" s="87" t="s">
        <v>141</v>
      </c>
      <c r="Y26" s="88" t="s">
        <v>192</v>
      </c>
      <c r="Z26" s="89" t="s">
        <v>142</v>
      </c>
      <c r="AA26" s="90" t="s">
        <v>193</v>
      </c>
      <c r="AB26" s="91" t="s">
        <v>194</v>
      </c>
      <c r="AC26" s="88" t="s">
        <v>312</v>
      </c>
      <c r="AD26" s="87" t="s">
        <v>195</v>
      </c>
      <c r="AE26" s="87" t="s">
        <v>196</v>
      </c>
      <c r="AF26" s="88" t="s">
        <v>313</v>
      </c>
      <c r="AG26" s="87" t="s">
        <v>198</v>
      </c>
      <c r="AH26" s="49"/>
      <c r="AI26" s="92"/>
      <c r="AJ26" s="49"/>
      <c r="AK26" s="49"/>
      <c r="AL26" s="49"/>
    </row>
    <row r="27" spans="1:38" ht="12.75" x14ac:dyDescent="0.2">
      <c r="A27" s="87" t="s">
        <v>199</v>
      </c>
      <c r="B27" s="93">
        <v>0.05</v>
      </c>
      <c r="C27" s="93">
        <v>0.1</v>
      </c>
      <c r="D27" s="93">
        <v>0.2</v>
      </c>
      <c r="E27" s="93">
        <v>0.5</v>
      </c>
      <c r="F27" s="93">
        <v>1</v>
      </c>
      <c r="G27" s="93">
        <v>2</v>
      </c>
      <c r="H27" s="93">
        <v>5</v>
      </c>
      <c r="I27" s="93">
        <v>10</v>
      </c>
      <c r="J27" s="49"/>
      <c r="K27" s="86"/>
      <c r="L27" s="87" t="s">
        <v>199</v>
      </c>
      <c r="M27" s="93">
        <v>0.05</v>
      </c>
      <c r="N27" s="93">
        <v>0.1</v>
      </c>
      <c r="O27" s="93">
        <v>0.2</v>
      </c>
      <c r="P27" s="93">
        <v>0.5</v>
      </c>
      <c r="Q27" s="93">
        <v>1</v>
      </c>
      <c r="R27" s="93">
        <v>2</v>
      </c>
      <c r="S27" s="93">
        <v>5</v>
      </c>
      <c r="T27" s="93">
        <v>10</v>
      </c>
      <c r="U27" s="93">
        <v>20</v>
      </c>
      <c r="V27" s="93">
        <v>50</v>
      </c>
      <c r="W27" s="129"/>
      <c r="X27" s="85"/>
      <c r="Y27" s="85"/>
      <c r="Z27" s="49"/>
      <c r="AA27" s="94"/>
      <c r="AB27" s="95"/>
      <c r="AC27" s="85"/>
      <c r="AD27" s="85"/>
      <c r="AE27" s="85"/>
      <c r="AF27" s="85"/>
      <c r="AG27" s="85"/>
      <c r="AH27" s="49"/>
      <c r="AI27" s="92"/>
      <c r="AJ27" s="49"/>
      <c r="AK27" s="49"/>
      <c r="AL27" s="49"/>
    </row>
    <row r="28" spans="1:38" ht="12.75" x14ac:dyDescent="0.2">
      <c r="A28" s="87" t="s">
        <v>200</v>
      </c>
      <c r="B28" s="38">
        <v>97</v>
      </c>
      <c r="C28" s="38">
        <v>38</v>
      </c>
      <c r="D28" s="38">
        <v>12</v>
      </c>
      <c r="E28" s="38">
        <v>8</v>
      </c>
      <c r="F28" s="38">
        <v>8</v>
      </c>
      <c r="G28" s="38">
        <v>5</v>
      </c>
      <c r="H28" s="38">
        <v>2</v>
      </c>
      <c r="I28" s="85"/>
      <c r="J28" s="85"/>
      <c r="K28" s="86"/>
      <c r="L28" s="87" t="s">
        <v>200</v>
      </c>
      <c r="M28" s="38">
        <v>98</v>
      </c>
      <c r="N28" s="38">
        <v>27</v>
      </c>
      <c r="O28" s="38">
        <v>17</v>
      </c>
      <c r="P28" s="38">
        <v>10</v>
      </c>
      <c r="Q28" s="38">
        <v>6</v>
      </c>
      <c r="R28" s="38">
        <v>5</v>
      </c>
      <c r="S28" s="38">
        <v>7</v>
      </c>
      <c r="T28" s="49">
        <v>6</v>
      </c>
      <c r="U28" s="49">
        <v>7</v>
      </c>
      <c r="V28" s="85">
        <v>3</v>
      </c>
      <c r="W28" s="129"/>
      <c r="X28" s="85"/>
      <c r="Y28" s="85"/>
      <c r="Z28" s="49"/>
      <c r="AA28" s="94"/>
      <c r="AB28" s="95"/>
      <c r="AC28" s="85"/>
      <c r="AD28" s="85"/>
      <c r="AE28" s="85"/>
      <c r="AF28" s="85"/>
      <c r="AG28" s="85"/>
      <c r="AH28" s="49"/>
      <c r="AI28" s="92"/>
      <c r="AJ28" s="49"/>
      <c r="AK28" s="49"/>
      <c r="AL28" s="49"/>
    </row>
    <row r="29" spans="1:38" ht="12.75" x14ac:dyDescent="0.2">
      <c r="A29" s="87" t="s">
        <v>141</v>
      </c>
      <c r="B29" s="70">
        <f t="shared" ref="B29:H29" si="10">B28*B27</f>
        <v>4.8500000000000005</v>
      </c>
      <c r="C29" s="70">
        <f t="shared" si="10"/>
        <v>3.8000000000000003</v>
      </c>
      <c r="D29" s="70">
        <f t="shared" si="10"/>
        <v>2.4000000000000004</v>
      </c>
      <c r="E29" s="70">
        <f t="shared" si="10"/>
        <v>4</v>
      </c>
      <c r="F29" s="70">
        <f t="shared" si="10"/>
        <v>8</v>
      </c>
      <c r="G29" s="70">
        <f t="shared" si="10"/>
        <v>10</v>
      </c>
      <c r="H29" s="70">
        <f t="shared" si="10"/>
        <v>10</v>
      </c>
      <c r="I29" s="70">
        <f>J28*I27</f>
        <v>0</v>
      </c>
      <c r="J29" s="70">
        <f>SUM(B29:I29)</f>
        <v>43.05</v>
      </c>
      <c r="K29" s="86"/>
      <c r="L29" s="87" t="s">
        <v>141</v>
      </c>
      <c r="M29" s="70">
        <f t="shared" ref="M29:V29" si="11">M28*M27</f>
        <v>4.9000000000000004</v>
      </c>
      <c r="N29" s="70">
        <f t="shared" si="11"/>
        <v>2.7</v>
      </c>
      <c r="O29" s="70">
        <f t="shared" si="11"/>
        <v>3.4000000000000004</v>
      </c>
      <c r="P29" s="70">
        <f t="shared" si="11"/>
        <v>5</v>
      </c>
      <c r="Q29" s="70">
        <f t="shared" si="11"/>
        <v>6</v>
      </c>
      <c r="R29" s="70">
        <f t="shared" si="11"/>
        <v>10</v>
      </c>
      <c r="S29" s="70">
        <f t="shared" si="11"/>
        <v>35</v>
      </c>
      <c r="T29" s="70">
        <f t="shared" si="11"/>
        <v>60</v>
      </c>
      <c r="U29" s="70">
        <f t="shared" si="11"/>
        <v>140</v>
      </c>
      <c r="V29" s="70">
        <f t="shared" si="11"/>
        <v>150</v>
      </c>
      <c r="W29" s="130"/>
      <c r="X29" s="70">
        <f>SUM(M29:V29)</f>
        <v>417</v>
      </c>
      <c r="Y29" s="96">
        <f>X29-J29</f>
        <v>373.95</v>
      </c>
      <c r="Z29" s="94">
        <v>184.1</v>
      </c>
      <c r="AA29" s="94">
        <v>136.9</v>
      </c>
      <c r="AB29" s="97">
        <f>Y29+AA29</f>
        <v>510.85</v>
      </c>
      <c r="AC29" s="85">
        <v>35</v>
      </c>
      <c r="AD29" s="96">
        <f>Z29-AC29</f>
        <v>149.1</v>
      </c>
      <c r="AE29" s="96">
        <f>Y29-Z29</f>
        <v>189.85</v>
      </c>
      <c r="AF29" s="85">
        <v>15.85</v>
      </c>
      <c r="AG29" s="96">
        <f>AE29-AF29</f>
        <v>174</v>
      </c>
      <c r="AH29" s="49"/>
      <c r="AI29" s="98">
        <f>(SUM(Z29:AA29)/(1+10/100))*(10/100)</f>
        <v>29.181818181818183</v>
      </c>
      <c r="AJ29" s="49"/>
      <c r="AK29" s="49"/>
      <c r="AL29" s="49"/>
    </row>
    <row r="31" spans="1:38" ht="38.25" x14ac:dyDescent="0.2">
      <c r="A31" s="83" t="s">
        <v>135</v>
      </c>
      <c r="B31" s="84">
        <v>45938</v>
      </c>
      <c r="C31" s="85"/>
      <c r="D31" s="85"/>
      <c r="E31" s="85"/>
      <c r="F31" s="85"/>
      <c r="G31" s="85"/>
      <c r="H31" s="85"/>
      <c r="I31" s="85"/>
      <c r="J31" s="85"/>
      <c r="K31" s="86"/>
      <c r="L31" s="83" t="s">
        <v>136</v>
      </c>
      <c r="M31" s="84">
        <v>45938</v>
      </c>
      <c r="N31" s="85"/>
      <c r="O31" s="85"/>
      <c r="P31" s="85"/>
      <c r="Q31" s="85"/>
      <c r="R31" s="85"/>
      <c r="S31" s="85"/>
      <c r="T31" s="85"/>
      <c r="U31" s="85"/>
      <c r="V31" s="85"/>
      <c r="W31" s="88" t="s">
        <v>333</v>
      </c>
      <c r="X31" s="87" t="s">
        <v>141</v>
      </c>
      <c r="Y31" s="88" t="s">
        <v>192</v>
      </c>
      <c r="Z31" s="89" t="s">
        <v>142</v>
      </c>
      <c r="AA31" s="90" t="s">
        <v>193</v>
      </c>
      <c r="AB31" s="91" t="s">
        <v>194</v>
      </c>
      <c r="AC31" s="88" t="s">
        <v>312</v>
      </c>
      <c r="AD31" s="87" t="s">
        <v>195</v>
      </c>
      <c r="AE31" s="87" t="s">
        <v>196</v>
      </c>
      <c r="AF31" s="88" t="s">
        <v>313</v>
      </c>
      <c r="AG31" s="87" t="s">
        <v>198</v>
      </c>
      <c r="AH31" s="49"/>
      <c r="AI31" s="92"/>
      <c r="AJ31" s="49"/>
      <c r="AK31" s="49"/>
      <c r="AL31" s="49"/>
    </row>
    <row r="32" spans="1:38" ht="12.75" x14ac:dyDescent="0.2">
      <c r="A32" s="87" t="s">
        <v>199</v>
      </c>
      <c r="B32" s="93">
        <v>0.05</v>
      </c>
      <c r="C32" s="93">
        <v>0.1</v>
      </c>
      <c r="D32" s="93">
        <v>0.2</v>
      </c>
      <c r="E32" s="93">
        <v>0.5</v>
      </c>
      <c r="F32" s="93">
        <v>1</v>
      </c>
      <c r="G32" s="93">
        <v>2</v>
      </c>
      <c r="H32" s="93">
        <v>5</v>
      </c>
      <c r="I32" s="93">
        <v>10</v>
      </c>
      <c r="J32" s="49"/>
      <c r="K32" s="86"/>
      <c r="L32" s="87" t="s">
        <v>199</v>
      </c>
      <c r="M32" s="93">
        <v>0.05</v>
      </c>
      <c r="N32" s="93">
        <v>0.1</v>
      </c>
      <c r="O32" s="93">
        <v>0.2</v>
      </c>
      <c r="P32" s="93">
        <v>0.5</v>
      </c>
      <c r="Q32" s="93">
        <v>1</v>
      </c>
      <c r="R32" s="93">
        <v>2</v>
      </c>
      <c r="S32" s="93">
        <v>5</v>
      </c>
      <c r="T32" s="93">
        <v>10</v>
      </c>
      <c r="U32" s="93">
        <v>20</v>
      </c>
      <c r="V32" s="93">
        <v>50</v>
      </c>
      <c r="W32" s="129"/>
      <c r="X32" s="85"/>
      <c r="Y32" s="85"/>
      <c r="Z32" s="49"/>
      <c r="AA32" s="94"/>
      <c r="AB32" s="95"/>
      <c r="AC32" s="85"/>
      <c r="AD32" s="85"/>
      <c r="AE32" s="85"/>
      <c r="AF32" s="85"/>
      <c r="AG32" s="85"/>
      <c r="AH32" s="49"/>
      <c r="AI32" s="92"/>
      <c r="AJ32" s="49"/>
      <c r="AK32" s="49"/>
      <c r="AL32" s="49"/>
    </row>
    <row r="33" spans="1:38" ht="12.75" x14ac:dyDescent="0.2">
      <c r="A33" s="87" t="s">
        <v>200</v>
      </c>
      <c r="B33" s="38">
        <v>98</v>
      </c>
      <c r="C33" s="38">
        <v>27</v>
      </c>
      <c r="D33" s="38">
        <v>17</v>
      </c>
      <c r="E33" s="38">
        <v>10</v>
      </c>
      <c r="F33" s="38">
        <v>6</v>
      </c>
      <c r="G33" s="38">
        <v>5</v>
      </c>
      <c r="H33" s="38">
        <v>2</v>
      </c>
      <c r="I33" s="85"/>
      <c r="J33" s="85"/>
      <c r="K33" s="86"/>
      <c r="L33" s="87" t="s">
        <v>200</v>
      </c>
      <c r="M33" s="38">
        <v>100</v>
      </c>
      <c r="N33" s="38">
        <v>45</v>
      </c>
      <c r="O33" s="38">
        <v>29</v>
      </c>
      <c r="P33" s="38">
        <v>11</v>
      </c>
      <c r="Q33" s="38">
        <v>7</v>
      </c>
      <c r="R33" s="38">
        <v>8</v>
      </c>
      <c r="S33" s="38">
        <v>2</v>
      </c>
      <c r="T33" s="49">
        <v>10</v>
      </c>
      <c r="U33" s="49">
        <v>4</v>
      </c>
      <c r="V33" s="85">
        <v>3</v>
      </c>
      <c r="W33" s="129"/>
      <c r="X33" s="85"/>
      <c r="Y33" s="85"/>
      <c r="Z33" s="49"/>
      <c r="AA33" s="94"/>
      <c r="AB33" s="95"/>
      <c r="AC33" s="85"/>
      <c r="AD33" s="85"/>
      <c r="AE33" s="85"/>
      <c r="AF33" s="85"/>
      <c r="AG33" s="85"/>
      <c r="AH33" s="49"/>
      <c r="AI33" s="92"/>
      <c r="AJ33" s="49"/>
      <c r="AK33" s="49"/>
      <c r="AL33" s="49"/>
    </row>
    <row r="34" spans="1:38" ht="12.75" x14ac:dyDescent="0.2">
      <c r="A34" s="87" t="s">
        <v>141</v>
      </c>
      <c r="B34" s="70">
        <f t="shared" ref="B34:H34" si="12">B33*B32</f>
        <v>4.9000000000000004</v>
      </c>
      <c r="C34" s="70">
        <f t="shared" si="12"/>
        <v>2.7</v>
      </c>
      <c r="D34" s="70">
        <f t="shared" si="12"/>
        <v>3.4000000000000004</v>
      </c>
      <c r="E34" s="70">
        <f t="shared" si="12"/>
        <v>5</v>
      </c>
      <c r="F34" s="70">
        <f t="shared" si="12"/>
        <v>6</v>
      </c>
      <c r="G34" s="70">
        <f t="shared" si="12"/>
        <v>10</v>
      </c>
      <c r="H34" s="70">
        <f t="shared" si="12"/>
        <v>10</v>
      </c>
      <c r="I34" s="70">
        <f>J33*I32</f>
        <v>0</v>
      </c>
      <c r="J34" s="70">
        <f>SUM(B34:I34)</f>
        <v>42</v>
      </c>
      <c r="K34" s="86"/>
      <c r="L34" s="87" t="s">
        <v>141</v>
      </c>
      <c r="M34" s="70">
        <f t="shared" ref="M34:V34" si="13">M33*M32</f>
        <v>5</v>
      </c>
      <c r="N34" s="70">
        <f t="shared" si="13"/>
        <v>4.5</v>
      </c>
      <c r="O34" s="70">
        <f t="shared" si="13"/>
        <v>5.8000000000000007</v>
      </c>
      <c r="P34" s="70">
        <f t="shared" si="13"/>
        <v>5.5</v>
      </c>
      <c r="Q34" s="70">
        <f t="shared" si="13"/>
        <v>7</v>
      </c>
      <c r="R34" s="70">
        <f t="shared" si="13"/>
        <v>16</v>
      </c>
      <c r="S34" s="70">
        <f t="shared" si="13"/>
        <v>10</v>
      </c>
      <c r="T34" s="70">
        <f t="shared" si="13"/>
        <v>100</v>
      </c>
      <c r="U34" s="70">
        <f t="shared" si="13"/>
        <v>80</v>
      </c>
      <c r="V34" s="70">
        <f t="shared" si="13"/>
        <v>150</v>
      </c>
      <c r="W34" s="130"/>
      <c r="X34" s="70">
        <f>SUM(M34:V34)</f>
        <v>383.8</v>
      </c>
      <c r="Y34" s="96">
        <f>X34-J34</f>
        <v>341.8</v>
      </c>
      <c r="Z34" s="94">
        <v>160</v>
      </c>
      <c r="AA34" s="94">
        <v>60.7</v>
      </c>
      <c r="AB34" s="97">
        <f>Y34+AA34</f>
        <v>402.5</v>
      </c>
      <c r="AC34" s="85">
        <v>160</v>
      </c>
      <c r="AD34" s="96">
        <f>Z34-AC34</f>
        <v>0</v>
      </c>
      <c r="AE34" s="96">
        <f>Y34-Z34</f>
        <v>181.8</v>
      </c>
      <c r="AF34" s="85">
        <v>80</v>
      </c>
      <c r="AG34" s="96">
        <f>AE34-AF34</f>
        <v>101.80000000000001</v>
      </c>
      <c r="AH34" s="49"/>
      <c r="AI34" s="98">
        <f>(SUM(Z34:AA34)/(1+10/100))*(10/100)</f>
        <v>20.063636363636363</v>
      </c>
      <c r="AJ34" s="49"/>
      <c r="AK34" s="49"/>
      <c r="AL34" s="49"/>
    </row>
    <row r="36" spans="1:38" ht="38.25" x14ac:dyDescent="0.2">
      <c r="A36" s="83" t="s">
        <v>135</v>
      </c>
      <c r="B36" s="84">
        <v>45939</v>
      </c>
      <c r="C36" s="85"/>
      <c r="D36" s="85"/>
      <c r="E36" s="85"/>
      <c r="F36" s="85"/>
      <c r="G36" s="85"/>
      <c r="H36" s="85"/>
      <c r="I36" s="85"/>
      <c r="J36" s="85"/>
      <c r="K36" s="86"/>
      <c r="L36" s="83" t="s">
        <v>136</v>
      </c>
      <c r="M36" s="84">
        <v>45939</v>
      </c>
      <c r="N36" s="85"/>
      <c r="O36" s="85"/>
      <c r="P36" s="85"/>
      <c r="Q36" s="85"/>
      <c r="R36" s="85"/>
      <c r="S36" s="85"/>
      <c r="T36" s="85"/>
      <c r="U36" s="85"/>
      <c r="V36" s="85"/>
      <c r="W36" s="88" t="s">
        <v>333</v>
      </c>
      <c r="X36" s="87" t="s">
        <v>141</v>
      </c>
      <c r="Y36" s="88" t="s">
        <v>192</v>
      </c>
      <c r="Z36" s="89" t="s">
        <v>142</v>
      </c>
      <c r="AA36" s="90" t="s">
        <v>193</v>
      </c>
      <c r="AB36" s="91" t="s">
        <v>194</v>
      </c>
      <c r="AC36" s="88" t="s">
        <v>312</v>
      </c>
      <c r="AD36" s="87" t="s">
        <v>195</v>
      </c>
      <c r="AE36" s="87" t="s">
        <v>196</v>
      </c>
      <c r="AF36" s="88" t="s">
        <v>313</v>
      </c>
      <c r="AG36" s="87" t="s">
        <v>198</v>
      </c>
      <c r="AH36" s="49"/>
      <c r="AI36" s="92"/>
      <c r="AJ36" s="49"/>
      <c r="AK36" s="49"/>
      <c r="AL36" s="49"/>
    </row>
    <row r="37" spans="1:38" ht="12.75" x14ac:dyDescent="0.2">
      <c r="A37" s="87" t="s">
        <v>199</v>
      </c>
      <c r="B37" s="93">
        <v>0.05</v>
      </c>
      <c r="C37" s="93">
        <v>0.1</v>
      </c>
      <c r="D37" s="93">
        <v>0.2</v>
      </c>
      <c r="E37" s="93">
        <v>0.5</v>
      </c>
      <c r="F37" s="93">
        <v>1</v>
      </c>
      <c r="G37" s="93">
        <v>2</v>
      </c>
      <c r="H37" s="93">
        <v>5</v>
      </c>
      <c r="I37" s="93">
        <v>10</v>
      </c>
      <c r="J37" s="49"/>
      <c r="K37" s="86"/>
      <c r="L37" s="87" t="s">
        <v>199</v>
      </c>
      <c r="M37" s="93">
        <v>0.05</v>
      </c>
      <c r="N37" s="93">
        <v>0.1</v>
      </c>
      <c r="O37" s="93">
        <v>0.2</v>
      </c>
      <c r="P37" s="93">
        <v>0.5</v>
      </c>
      <c r="Q37" s="93">
        <v>1</v>
      </c>
      <c r="R37" s="93">
        <v>2</v>
      </c>
      <c r="S37" s="93">
        <v>5</v>
      </c>
      <c r="T37" s="93">
        <v>10</v>
      </c>
      <c r="U37" s="93">
        <v>20</v>
      </c>
      <c r="V37" s="93">
        <v>50</v>
      </c>
      <c r="W37" s="129"/>
      <c r="X37" s="85"/>
      <c r="Y37" s="85"/>
      <c r="Z37" s="49"/>
      <c r="AA37" s="94"/>
      <c r="AB37" s="95"/>
      <c r="AC37" s="85"/>
      <c r="AD37" s="85"/>
      <c r="AE37" s="85"/>
      <c r="AF37" s="85"/>
      <c r="AG37" s="85"/>
      <c r="AH37" s="49"/>
      <c r="AI37" s="92"/>
      <c r="AJ37" s="49"/>
      <c r="AK37" s="49"/>
      <c r="AL37" s="49"/>
    </row>
    <row r="38" spans="1:38" ht="12.75" x14ac:dyDescent="0.2">
      <c r="A38" s="87" t="s">
        <v>200</v>
      </c>
      <c r="B38" s="38">
        <v>100</v>
      </c>
      <c r="C38" s="38">
        <v>45</v>
      </c>
      <c r="D38" s="38">
        <v>29</v>
      </c>
      <c r="E38" s="38">
        <v>6</v>
      </c>
      <c r="F38" s="38">
        <v>7</v>
      </c>
      <c r="G38" s="38">
        <v>5</v>
      </c>
      <c r="H38" s="38">
        <v>2</v>
      </c>
      <c r="I38" s="85"/>
      <c r="J38" s="85"/>
      <c r="K38" s="86"/>
      <c r="L38" s="87" t="s">
        <v>200</v>
      </c>
      <c r="M38" s="38">
        <v>105</v>
      </c>
      <c r="N38" s="38">
        <v>62</v>
      </c>
      <c r="O38" s="38">
        <v>10</v>
      </c>
      <c r="P38" s="38">
        <v>2</v>
      </c>
      <c r="Q38" s="38">
        <v>6</v>
      </c>
      <c r="R38" s="38">
        <v>7</v>
      </c>
      <c r="S38" s="38">
        <v>13</v>
      </c>
      <c r="T38" s="49">
        <v>6</v>
      </c>
      <c r="U38" s="49">
        <v>14</v>
      </c>
      <c r="V38" s="85"/>
      <c r="W38" s="129"/>
      <c r="X38" s="85"/>
      <c r="Y38" s="85"/>
      <c r="Z38" s="49"/>
      <c r="AA38" s="94"/>
      <c r="AB38" s="95"/>
      <c r="AC38" s="85"/>
      <c r="AD38" s="85"/>
      <c r="AE38" s="85"/>
      <c r="AF38" s="85"/>
      <c r="AG38" s="85"/>
      <c r="AH38" s="49"/>
      <c r="AI38" s="92"/>
      <c r="AJ38" s="49"/>
      <c r="AK38" s="49"/>
      <c r="AL38" s="49"/>
    </row>
    <row r="39" spans="1:38" ht="12.75" x14ac:dyDescent="0.2">
      <c r="A39" s="87" t="s">
        <v>141</v>
      </c>
      <c r="B39" s="70">
        <f t="shared" ref="B39:H39" si="14">B38*B37</f>
        <v>5</v>
      </c>
      <c r="C39" s="70">
        <f t="shared" si="14"/>
        <v>4.5</v>
      </c>
      <c r="D39" s="70">
        <f t="shared" si="14"/>
        <v>5.8000000000000007</v>
      </c>
      <c r="E39" s="70">
        <f t="shared" si="14"/>
        <v>3</v>
      </c>
      <c r="F39" s="70">
        <f t="shared" si="14"/>
        <v>7</v>
      </c>
      <c r="G39" s="70">
        <f t="shared" si="14"/>
        <v>10</v>
      </c>
      <c r="H39" s="70">
        <f t="shared" si="14"/>
        <v>10</v>
      </c>
      <c r="I39" s="70">
        <f>J38*I37</f>
        <v>0</v>
      </c>
      <c r="J39" s="70">
        <f>SUM(B39:I39)</f>
        <v>45.3</v>
      </c>
      <c r="K39" s="86"/>
      <c r="L39" s="87" t="s">
        <v>141</v>
      </c>
      <c r="M39" s="70">
        <f t="shared" ref="M39:V39" si="15">M38*M37</f>
        <v>5.25</v>
      </c>
      <c r="N39" s="70">
        <f t="shared" si="15"/>
        <v>6.2</v>
      </c>
      <c r="O39" s="70">
        <f t="shared" si="15"/>
        <v>2</v>
      </c>
      <c r="P39" s="70">
        <f t="shared" si="15"/>
        <v>1</v>
      </c>
      <c r="Q39" s="70">
        <f t="shared" si="15"/>
        <v>6</v>
      </c>
      <c r="R39" s="70">
        <f t="shared" si="15"/>
        <v>14</v>
      </c>
      <c r="S39" s="70">
        <f t="shared" si="15"/>
        <v>65</v>
      </c>
      <c r="T39" s="70">
        <f t="shared" si="15"/>
        <v>60</v>
      </c>
      <c r="U39" s="70">
        <f t="shared" si="15"/>
        <v>280</v>
      </c>
      <c r="V39" s="70">
        <f t="shared" si="15"/>
        <v>0</v>
      </c>
      <c r="W39" s="130"/>
      <c r="X39" s="70">
        <f>SUM(M39:V39)</f>
        <v>439.45</v>
      </c>
      <c r="Y39" s="96">
        <f>X39-J39</f>
        <v>394.15</v>
      </c>
      <c r="Z39" s="94">
        <v>190.5</v>
      </c>
      <c r="AA39" s="94">
        <v>64.900000000000006</v>
      </c>
      <c r="AB39" s="97">
        <f>Y39+AA39</f>
        <v>459.04999999999995</v>
      </c>
      <c r="AC39" s="85">
        <v>150</v>
      </c>
      <c r="AD39" s="96">
        <f>Z39-AC39</f>
        <v>40.5</v>
      </c>
      <c r="AE39" s="96">
        <f>Y39-Z39</f>
        <v>203.64999999999998</v>
      </c>
      <c r="AF39" s="85">
        <v>80</v>
      </c>
      <c r="AG39" s="96">
        <f>AE39-AF39</f>
        <v>123.64999999999998</v>
      </c>
      <c r="AH39" s="49"/>
      <c r="AI39" s="98">
        <f>(SUM(Z39:AA39)/(1+10/100))*(10/100)</f>
        <v>23.218181818181819</v>
      </c>
      <c r="AJ39" s="49"/>
      <c r="AK39" s="49"/>
      <c r="AL39" s="49"/>
    </row>
    <row r="41" spans="1:38" ht="38.25" x14ac:dyDescent="0.2">
      <c r="A41" s="83" t="s">
        <v>135</v>
      </c>
      <c r="B41" s="84">
        <v>45940</v>
      </c>
      <c r="C41" s="85"/>
      <c r="D41" s="85"/>
      <c r="E41" s="85"/>
      <c r="F41" s="85"/>
      <c r="G41" s="85"/>
      <c r="H41" s="85"/>
      <c r="I41" s="85"/>
      <c r="J41" s="85"/>
      <c r="K41" s="86"/>
      <c r="L41" s="83" t="s">
        <v>136</v>
      </c>
      <c r="M41" s="84">
        <v>45940</v>
      </c>
      <c r="N41" s="85"/>
      <c r="O41" s="85"/>
      <c r="P41" s="85"/>
      <c r="Q41" s="85"/>
      <c r="R41" s="85"/>
      <c r="S41" s="85"/>
      <c r="T41" s="85"/>
      <c r="U41" s="85"/>
      <c r="V41" s="85"/>
      <c r="W41" s="88" t="s">
        <v>333</v>
      </c>
      <c r="X41" s="87" t="s">
        <v>141</v>
      </c>
      <c r="Y41" s="88" t="s">
        <v>192</v>
      </c>
      <c r="Z41" s="89" t="s">
        <v>142</v>
      </c>
      <c r="AA41" s="90" t="s">
        <v>193</v>
      </c>
      <c r="AB41" s="91" t="s">
        <v>194</v>
      </c>
      <c r="AC41" s="88" t="s">
        <v>312</v>
      </c>
      <c r="AD41" s="87" t="s">
        <v>195</v>
      </c>
      <c r="AE41" s="87" t="s">
        <v>196</v>
      </c>
      <c r="AF41" s="88" t="s">
        <v>313</v>
      </c>
      <c r="AG41" s="87" t="s">
        <v>198</v>
      </c>
      <c r="AH41" s="49"/>
      <c r="AI41" s="92"/>
      <c r="AJ41" s="49"/>
      <c r="AK41" s="49"/>
      <c r="AL41" s="49"/>
    </row>
    <row r="42" spans="1:38" ht="12.75" x14ac:dyDescent="0.2">
      <c r="A42" s="87" t="s">
        <v>199</v>
      </c>
      <c r="B42" s="93">
        <v>0.05</v>
      </c>
      <c r="C42" s="93">
        <v>0.1</v>
      </c>
      <c r="D42" s="93">
        <v>0.2</v>
      </c>
      <c r="E42" s="93">
        <v>0.5</v>
      </c>
      <c r="F42" s="93">
        <v>1</v>
      </c>
      <c r="G42" s="93">
        <v>2</v>
      </c>
      <c r="H42" s="93">
        <v>5</v>
      </c>
      <c r="I42" s="93">
        <v>10</v>
      </c>
      <c r="J42" s="49"/>
      <c r="K42" s="86"/>
      <c r="L42" s="87" t="s">
        <v>199</v>
      </c>
      <c r="M42" s="93">
        <v>0.05</v>
      </c>
      <c r="N42" s="93">
        <v>0.1</v>
      </c>
      <c r="O42" s="93">
        <v>0.2</v>
      </c>
      <c r="P42" s="93">
        <v>0.5</v>
      </c>
      <c r="Q42" s="93">
        <v>1</v>
      </c>
      <c r="R42" s="93">
        <v>2</v>
      </c>
      <c r="S42" s="93">
        <v>5</v>
      </c>
      <c r="T42" s="93">
        <v>10</v>
      </c>
      <c r="U42" s="93">
        <v>20</v>
      </c>
      <c r="V42" s="93">
        <v>50</v>
      </c>
      <c r="W42" s="129"/>
      <c r="X42" s="85"/>
      <c r="Y42" s="85"/>
      <c r="Z42" s="49"/>
      <c r="AA42" s="94"/>
      <c r="AB42" s="95"/>
      <c r="AC42" s="85"/>
      <c r="AD42" s="85"/>
      <c r="AE42" s="85"/>
      <c r="AF42" s="85"/>
      <c r="AG42" s="85"/>
      <c r="AH42" s="49"/>
      <c r="AI42" s="92"/>
      <c r="AJ42" s="49"/>
      <c r="AK42" s="49"/>
      <c r="AL42" s="49"/>
    </row>
    <row r="43" spans="1:38" ht="12.75" x14ac:dyDescent="0.2">
      <c r="A43" s="87" t="s">
        <v>200</v>
      </c>
      <c r="B43" s="38">
        <v>105</v>
      </c>
      <c r="C43" s="38">
        <v>62</v>
      </c>
      <c r="D43" s="38">
        <v>10</v>
      </c>
      <c r="E43" s="38">
        <v>2</v>
      </c>
      <c r="F43" s="38">
        <v>6</v>
      </c>
      <c r="G43" s="38">
        <v>7</v>
      </c>
      <c r="H43" s="38">
        <v>2</v>
      </c>
      <c r="I43" s="85"/>
      <c r="J43" s="85"/>
      <c r="K43" s="86"/>
      <c r="L43" s="87" t="s">
        <v>200</v>
      </c>
      <c r="M43" s="38">
        <v>107</v>
      </c>
      <c r="N43" s="38">
        <v>31</v>
      </c>
      <c r="O43" s="38">
        <v>13</v>
      </c>
      <c r="P43" s="38">
        <v>5</v>
      </c>
      <c r="Q43" s="38">
        <v>9</v>
      </c>
      <c r="R43" s="38">
        <v>10</v>
      </c>
      <c r="S43" s="38">
        <v>8</v>
      </c>
      <c r="T43" s="49">
        <v>3</v>
      </c>
      <c r="U43" s="49">
        <v>18</v>
      </c>
      <c r="V43" s="85">
        <v>2</v>
      </c>
      <c r="W43" s="129"/>
      <c r="X43" s="85"/>
      <c r="Y43" s="85"/>
      <c r="Z43" s="49"/>
      <c r="AA43" s="94"/>
      <c r="AB43" s="95"/>
      <c r="AC43" s="85"/>
      <c r="AD43" s="85"/>
      <c r="AE43" s="85"/>
      <c r="AF43" s="85"/>
      <c r="AG43" s="85"/>
      <c r="AH43" s="49"/>
      <c r="AI43" s="92"/>
      <c r="AJ43" s="49"/>
      <c r="AK43" s="49"/>
      <c r="AL43" s="49"/>
    </row>
    <row r="44" spans="1:38" ht="12.75" x14ac:dyDescent="0.2">
      <c r="A44" s="87" t="s">
        <v>141</v>
      </c>
      <c r="B44" s="70">
        <f t="shared" ref="B44:H44" si="16">B43*B42</f>
        <v>5.25</v>
      </c>
      <c r="C44" s="70">
        <f t="shared" si="16"/>
        <v>6.2</v>
      </c>
      <c r="D44" s="70">
        <f t="shared" si="16"/>
        <v>2</v>
      </c>
      <c r="E44" s="70">
        <f t="shared" si="16"/>
        <v>1</v>
      </c>
      <c r="F44" s="70">
        <f t="shared" si="16"/>
        <v>6</v>
      </c>
      <c r="G44" s="70">
        <f t="shared" si="16"/>
        <v>14</v>
      </c>
      <c r="H44" s="70">
        <f t="shared" si="16"/>
        <v>10</v>
      </c>
      <c r="I44" s="70">
        <f>J43*I42</f>
        <v>0</v>
      </c>
      <c r="J44" s="70">
        <f>SUM(B44:I44)</f>
        <v>44.45</v>
      </c>
      <c r="K44" s="86"/>
      <c r="L44" s="87" t="s">
        <v>141</v>
      </c>
      <c r="M44" s="70">
        <f t="shared" ref="M44:V44" si="17">M43*M42</f>
        <v>5.3500000000000005</v>
      </c>
      <c r="N44" s="70">
        <f t="shared" si="17"/>
        <v>3.1</v>
      </c>
      <c r="O44" s="70">
        <f t="shared" si="17"/>
        <v>2.6</v>
      </c>
      <c r="P44" s="70">
        <f t="shared" si="17"/>
        <v>2.5</v>
      </c>
      <c r="Q44" s="70">
        <f t="shared" si="17"/>
        <v>9</v>
      </c>
      <c r="R44" s="70">
        <f t="shared" si="17"/>
        <v>20</v>
      </c>
      <c r="S44" s="70">
        <f t="shared" si="17"/>
        <v>40</v>
      </c>
      <c r="T44" s="70">
        <f t="shared" si="17"/>
        <v>30</v>
      </c>
      <c r="U44" s="70">
        <f t="shared" si="17"/>
        <v>360</v>
      </c>
      <c r="V44" s="70">
        <f t="shared" si="17"/>
        <v>100</v>
      </c>
      <c r="W44" s="130"/>
      <c r="X44" s="70">
        <f>SUM(M44:V44)</f>
        <v>572.54999999999995</v>
      </c>
      <c r="Y44" s="96">
        <f>X44-J44</f>
        <v>528.09999999999991</v>
      </c>
      <c r="Z44" s="94">
        <v>301.60000000000002</v>
      </c>
      <c r="AA44" s="94">
        <v>116.8</v>
      </c>
      <c r="AB44" s="97">
        <f>Y44+AA44</f>
        <v>644.89999999999986</v>
      </c>
      <c r="AC44" s="85">
        <v>140</v>
      </c>
      <c r="AD44" s="96">
        <f>Z44-AC44</f>
        <v>161.60000000000002</v>
      </c>
      <c r="AE44" s="96">
        <f>Y44-Z44</f>
        <v>226.49999999999989</v>
      </c>
      <c r="AF44" s="85"/>
      <c r="AG44" s="96">
        <f>AE44-AF44</f>
        <v>226.49999999999989</v>
      </c>
      <c r="AH44" s="49"/>
      <c r="AI44" s="98">
        <f>(SUM(Z44:AA44)/(1+10/100))*(10/100)</f>
        <v>38.036363636363639</v>
      </c>
      <c r="AJ44" s="49"/>
      <c r="AK44" s="49"/>
      <c r="AL44" s="49"/>
    </row>
    <row r="46" spans="1:38" ht="38.25" x14ac:dyDescent="0.2">
      <c r="A46" s="83" t="s">
        <v>135</v>
      </c>
      <c r="B46" s="84">
        <v>45941</v>
      </c>
      <c r="C46" s="85"/>
      <c r="D46" s="85"/>
      <c r="E46" s="85"/>
      <c r="F46" s="85"/>
      <c r="G46" s="85"/>
      <c r="H46" s="85"/>
      <c r="I46" s="85"/>
      <c r="J46" s="85"/>
      <c r="K46" s="86"/>
      <c r="L46" s="83" t="s">
        <v>136</v>
      </c>
      <c r="M46" s="84">
        <v>45941</v>
      </c>
      <c r="N46" s="85"/>
      <c r="O46" s="85"/>
      <c r="P46" s="85"/>
      <c r="Q46" s="85"/>
      <c r="R46" s="85"/>
      <c r="S46" s="85"/>
      <c r="T46" s="85"/>
      <c r="U46" s="85"/>
      <c r="V46" s="85"/>
      <c r="W46" s="88" t="s">
        <v>333</v>
      </c>
      <c r="X46" s="87" t="s">
        <v>141</v>
      </c>
      <c r="Y46" s="88" t="s">
        <v>192</v>
      </c>
      <c r="Z46" s="89" t="s">
        <v>142</v>
      </c>
      <c r="AA46" s="90" t="s">
        <v>193</v>
      </c>
      <c r="AB46" s="91" t="s">
        <v>194</v>
      </c>
      <c r="AC46" s="88" t="s">
        <v>312</v>
      </c>
      <c r="AD46" s="87" t="s">
        <v>195</v>
      </c>
      <c r="AE46" s="87" t="s">
        <v>196</v>
      </c>
      <c r="AF46" s="88" t="s">
        <v>313</v>
      </c>
      <c r="AG46" s="87" t="s">
        <v>198</v>
      </c>
      <c r="AH46" s="49"/>
      <c r="AI46" s="92"/>
      <c r="AJ46" s="49"/>
      <c r="AK46" s="49"/>
      <c r="AL46" s="49"/>
    </row>
    <row r="47" spans="1:38" ht="12.75" x14ac:dyDescent="0.2">
      <c r="A47" s="87" t="s">
        <v>199</v>
      </c>
      <c r="B47" s="93">
        <v>0.05</v>
      </c>
      <c r="C47" s="93">
        <v>0.1</v>
      </c>
      <c r="D47" s="93">
        <v>0.2</v>
      </c>
      <c r="E47" s="93">
        <v>0.5</v>
      </c>
      <c r="F47" s="93">
        <v>1</v>
      </c>
      <c r="G47" s="93">
        <v>2</v>
      </c>
      <c r="H47" s="93">
        <v>5</v>
      </c>
      <c r="I47" s="93">
        <v>10</v>
      </c>
      <c r="J47" s="49"/>
      <c r="K47" s="86"/>
      <c r="L47" s="87" t="s">
        <v>199</v>
      </c>
      <c r="M47" s="93">
        <v>0.05</v>
      </c>
      <c r="N47" s="93">
        <v>0.1</v>
      </c>
      <c r="O47" s="93">
        <v>0.2</v>
      </c>
      <c r="P47" s="93">
        <v>0.5</v>
      </c>
      <c r="Q47" s="93">
        <v>1</v>
      </c>
      <c r="R47" s="93">
        <v>2</v>
      </c>
      <c r="S47" s="93">
        <v>5</v>
      </c>
      <c r="T47" s="93">
        <v>10</v>
      </c>
      <c r="U47" s="93">
        <v>20</v>
      </c>
      <c r="V47" s="93">
        <v>50</v>
      </c>
      <c r="W47" s="129"/>
      <c r="X47" s="85"/>
      <c r="Y47" s="85"/>
      <c r="Z47" s="49"/>
      <c r="AA47" s="94"/>
      <c r="AB47" s="95"/>
      <c r="AC47" s="85"/>
      <c r="AD47" s="85"/>
      <c r="AE47" s="85"/>
      <c r="AF47" s="85"/>
      <c r="AG47" s="85"/>
      <c r="AH47" s="49"/>
      <c r="AI47" s="92"/>
      <c r="AJ47" s="49"/>
      <c r="AK47" s="49"/>
      <c r="AL47" s="49"/>
    </row>
    <row r="48" spans="1:38" ht="12.75" x14ac:dyDescent="0.2">
      <c r="A48" s="87" t="s">
        <v>200</v>
      </c>
      <c r="B48" s="38">
        <v>107</v>
      </c>
      <c r="C48" s="38">
        <v>31</v>
      </c>
      <c r="D48" s="38">
        <v>13</v>
      </c>
      <c r="E48" s="38">
        <v>5</v>
      </c>
      <c r="F48" s="38">
        <v>9</v>
      </c>
      <c r="G48" s="38">
        <v>5</v>
      </c>
      <c r="H48" s="38">
        <v>2</v>
      </c>
      <c r="I48" s="85"/>
      <c r="J48" s="85"/>
      <c r="K48" s="86"/>
      <c r="L48" s="87" t="s">
        <v>200</v>
      </c>
      <c r="M48" s="38">
        <v>112</v>
      </c>
      <c r="N48" s="38">
        <v>36</v>
      </c>
      <c r="O48" s="38">
        <v>5</v>
      </c>
      <c r="P48" s="38">
        <v>5</v>
      </c>
      <c r="Q48" s="38">
        <v>8</v>
      </c>
      <c r="S48" s="38">
        <v>3</v>
      </c>
      <c r="T48" s="49">
        <v>3</v>
      </c>
      <c r="U48" s="49">
        <v>8</v>
      </c>
      <c r="V48" s="85">
        <v>2</v>
      </c>
      <c r="W48" s="129"/>
      <c r="X48" s="85"/>
      <c r="Y48" s="85"/>
      <c r="Z48" s="49"/>
      <c r="AA48" s="94"/>
      <c r="AB48" s="95"/>
      <c r="AC48" s="85"/>
      <c r="AD48" s="85"/>
      <c r="AE48" s="85"/>
      <c r="AF48" s="85"/>
      <c r="AG48" s="85"/>
      <c r="AH48" s="49"/>
      <c r="AI48" s="92"/>
      <c r="AJ48" s="49"/>
      <c r="AK48" s="49"/>
      <c r="AL48" s="49"/>
    </row>
    <row r="49" spans="1:38" ht="12.75" x14ac:dyDescent="0.2">
      <c r="A49" s="87" t="s">
        <v>141</v>
      </c>
      <c r="B49" s="70">
        <f t="shared" ref="B49:H49" si="18">B48*B47</f>
        <v>5.3500000000000005</v>
      </c>
      <c r="C49" s="70">
        <f t="shared" si="18"/>
        <v>3.1</v>
      </c>
      <c r="D49" s="70">
        <f t="shared" si="18"/>
        <v>2.6</v>
      </c>
      <c r="E49" s="70">
        <f t="shared" si="18"/>
        <v>2.5</v>
      </c>
      <c r="F49" s="70">
        <f t="shared" si="18"/>
        <v>9</v>
      </c>
      <c r="G49" s="70">
        <f t="shared" si="18"/>
        <v>10</v>
      </c>
      <c r="H49" s="70">
        <f t="shared" si="18"/>
        <v>10</v>
      </c>
      <c r="I49" s="70">
        <f>J48*I47</f>
        <v>0</v>
      </c>
      <c r="J49" s="70">
        <f>SUM(B49:I49)</f>
        <v>42.55</v>
      </c>
      <c r="K49" s="86"/>
      <c r="L49" s="87" t="s">
        <v>141</v>
      </c>
      <c r="M49" s="70">
        <f t="shared" ref="M49:V49" si="19">M48*M47</f>
        <v>5.6000000000000005</v>
      </c>
      <c r="N49" s="70">
        <f t="shared" si="19"/>
        <v>3.6</v>
      </c>
      <c r="O49" s="70">
        <f t="shared" si="19"/>
        <v>1</v>
      </c>
      <c r="P49" s="70">
        <f t="shared" si="19"/>
        <v>2.5</v>
      </c>
      <c r="Q49" s="70">
        <f t="shared" si="19"/>
        <v>8</v>
      </c>
      <c r="R49" s="70">
        <f t="shared" si="19"/>
        <v>0</v>
      </c>
      <c r="S49" s="70">
        <f t="shared" si="19"/>
        <v>15</v>
      </c>
      <c r="T49" s="70">
        <f t="shared" si="19"/>
        <v>30</v>
      </c>
      <c r="U49" s="70">
        <f t="shared" si="19"/>
        <v>160</v>
      </c>
      <c r="V49" s="70">
        <f t="shared" si="19"/>
        <v>100</v>
      </c>
      <c r="W49" s="130"/>
      <c r="X49" s="70">
        <f>SUM(M49:V49)</f>
        <v>325.7</v>
      </c>
      <c r="Y49" s="96">
        <f>X49-J49</f>
        <v>283.14999999999998</v>
      </c>
      <c r="Z49" s="94">
        <v>78.8</v>
      </c>
      <c r="AA49" s="94">
        <v>57.6</v>
      </c>
      <c r="AB49" s="97">
        <f>Y49+AA49</f>
        <v>340.75</v>
      </c>
      <c r="AC49" s="85">
        <v>78.8</v>
      </c>
      <c r="AD49" s="96">
        <f>Z49-AC49</f>
        <v>0</v>
      </c>
      <c r="AE49" s="96">
        <f>Y49-Z49</f>
        <v>204.34999999999997</v>
      </c>
      <c r="AF49" s="85">
        <v>4</v>
      </c>
      <c r="AG49" s="96">
        <f>AE49-AF49</f>
        <v>200.34999999999997</v>
      </c>
      <c r="AH49" s="49"/>
      <c r="AI49" s="98">
        <f>(SUM(Z49:AA49)/(1+10/100))*(10/100)</f>
        <v>12.4</v>
      </c>
      <c r="AJ49" s="49"/>
      <c r="AK49" s="49"/>
      <c r="AL49" s="49"/>
    </row>
    <row r="51" spans="1:38" ht="38.25" x14ac:dyDescent="0.2">
      <c r="A51" s="83" t="s">
        <v>135</v>
      </c>
      <c r="B51" s="84">
        <v>45943</v>
      </c>
      <c r="C51" s="85"/>
      <c r="D51" s="85"/>
      <c r="E51" s="85"/>
      <c r="F51" s="85"/>
      <c r="G51" s="85"/>
      <c r="H51" s="85"/>
      <c r="I51" s="85"/>
      <c r="J51" s="85"/>
      <c r="K51" s="86"/>
      <c r="L51" s="83" t="s">
        <v>136</v>
      </c>
      <c r="M51" s="84">
        <v>45943</v>
      </c>
      <c r="N51" s="85"/>
      <c r="O51" s="85"/>
      <c r="P51" s="85"/>
      <c r="Q51" s="85"/>
      <c r="R51" s="85"/>
      <c r="S51" s="85"/>
      <c r="T51" s="85"/>
      <c r="U51" s="85"/>
      <c r="V51" s="85"/>
      <c r="W51" s="88" t="s">
        <v>333</v>
      </c>
      <c r="X51" s="87" t="s">
        <v>141</v>
      </c>
      <c r="Y51" s="88" t="s">
        <v>192</v>
      </c>
      <c r="Z51" s="89" t="s">
        <v>142</v>
      </c>
      <c r="AA51" s="90" t="s">
        <v>193</v>
      </c>
      <c r="AB51" s="91" t="s">
        <v>194</v>
      </c>
      <c r="AC51" s="88" t="s">
        <v>312</v>
      </c>
      <c r="AD51" s="87" t="s">
        <v>195</v>
      </c>
      <c r="AE51" s="87" t="s">
        <v>196</v>
      </c>
      <c r="AF51" s="88" t="s">
        <v>313</v>
      </c>
      <c r="AG51" s="87" t="s">
        <v>198</v>
      </c>
      <c r="AH51" s="49"/>
      <c r="AI51" s="92"/>
      <c r="AJ51" s="49"/>
      <c r="AK51" s="49"/>
      <c r="AL51" s="49"/>
    </row>
    <row r="52" spans="1:38" ht="12.75" x14ac:dyDescent="0.2">
      <c r="A52" s="87" t="s">
        <v>199</v>
      </c>
      <c r="B52" s="93">
        <v>0.05</v>
      </c>
      <c r="C52" s="93">
        <v>0.1</v>
      </c>
      <c r="D52" s="93">
        <v>0.2</v>
      </c>
      <c r="E52" s="93">
        <v>0.5</v>
      </c>
      <c r="F52" s="93">
        <v>1</v>
      </c>
      <c r="G52" s="93">
        <v>2</v>
      </c>
      <c r="H52" s="93">
        <v>5</v>
      </c>
      <c r="I52" s="93">
        <v>10</v>
      </c>
      <c r="J52" s="49"/>
      <c r="K52" s="86"/>
      <c r="L52" s="87" t="s">
        <v>199</v>
      </c>
      <c r="M52" s="93">
        <v>0.05</v>
      </c>
      <c r="N52" s="93">
        <v>0.1</v>
      </c>
      <c r="O52" s="93">
        <v>0.2</v>
      </c>
      <c r="P52" s="93">
        <v>0.5</v>
      </c>
      <c r="Q52" s="93">
        <v>1</v>
      </c>
      <c r="R52" s="93">
        <v>2</v>
      </c>
      <c r="S52" s="93">
        <v>5</v>
      </c>
      <c r="T52" s="93">
        <v>10</v>
      </c>
      <c r="U52" s="93">
        <v>20</v>
      </c>
      <c r="V52" s="93">
        <v>50</v>
      </c>
      <c r="W52" s="129"/>
      <c r="X52" s="85"/>
      <c r="Y52" s="85"/>
      <c r="Z52" s="49"/>
      <c r="AA52" s="94"/>
      <c r="AB52" s="95"/>
      <c r="AC52" s="85"/>
      <c r="AD52" s="85"/>
      <c r="AE52" s="85"/>
      <c r="AF52" s="85"/>
      <c r="AG52" s="85"/>
      <c r="AH52" s="49"/>
      <c r="AI52" s="92"/>
      <c r="AJ52" s="49"/>
      <c r="AK52" s="49"/>
      <c r="AL52" s="49"/>
    </row>
    <row r="53" spans="1:38" ht="12.75" x14ac:dyDescent="0.2">
      <c r="A53" s="87" t="s">
        <v>200</v>
      </c>
      <c r="B53" s="38">
        <v>112</v>
      </c>
      <c r="C53" s="38">
        <v>36</v>
      </c>
      <c r="D53" s="38">
        <v>5</v>
      </c>
      <c r="E53" s="38">
        <v>5</v>
      </c>
      <c r="F53" s="38">
        <v>8</v>
      </c>
      <c r="H53" s="38">
        <v>2</v>
      </c>
      <c r="I53" s="85"/>
      <c r="J53" s="85"/>
      <c r="K53" s="86"/>
      <c r="L53" s="87" t="s">
        <v>200</v>
      </c>
      <c r="M53" s="38">
        <v>119</v>
      </c>
      <c r="N53" s="38">
        <v>13</v>
      </c>
      <c r="O53" s="38">
        <v>0</v>
      </c>
      <c r="P53" s="38">
        <v>2</v>
      </c>
      <c r="Q53" s="38">
        <v>21</v>
      </c>
      <c r="R53" s="38">
        <v>9</v>
      </c>
      <c r="S53" s="38">
        <v>11</v>
      </c>
      <c r="T53" s="49">
        <v>6</v>
      </c>
      <c r="U53" s="49">
        <v>2</v>
      </c>
      <c r="V53" s="85">
        <v>1</v>
      </c>
      <c r="W53" s="129"/>
      <c r="X53" s="85"/>
      <c r="Y53" s="85"/>
      <c r="Z53" s="49"/>
      <c r="AA53" s="94"/>
      <c r="AB53" s="95"/>
      <c r="AC53" s="85"/>
      <c r="AD53" s="85"/>
      <c r="AE53" s="85"/>
      <c r="AF53" s="85"/>
      <c r="AG53" s="85"/>
      <c r="AH53" s="49"/>
      <c r="AI53" s="92"/>
      <c r="AJ53" s="49"/>
      <c r="AK53" s="49"/>
      <c r="AL53" s="49"/>
    </row>
    <row r="54" spans="1:38" ht="12.75" x14ac:dyDescent="0.2">
      <c r="A54" s="87" t="s">
        <v>141</v>
      </c>
      <c r="B54" s="70">
        <f t="shared" ref="B54:H54" si="20">B53*B52</f>
        <v>5.6000000000000005</v>
      </c>
      <c r="C54" s="70">
        <f t="shared" si="20"/>
        <v>3.6</v>
      </c>
      <c r="D54" s="70">
        <f t="shared" si="20"/>
        <v>1</v>
      </c>
      <c r="E54" s="70">
        <f t="shared" si="20"/>
        <v>2.5</v>
      </c>
      <c r="F54" s="70">
        <f t="shared" si="20"/>
        <v>8</v>
      </c>
      <c r="G54" s="70">
        <f t="shared" si="20"/>
        <v>0</v>
      </c>
      <c r="H54" s="70">
        <f t="shared" si="20"/>
        <v>10</v>
      </c>
      <c r="I54" s="70">
        <f>J53*I52</f>
        <v>0</v>
      </c>
      <c r="J54" s="70">
        <f>SUM(B54:I54)</f>
        <v>30.700000000000003</v>
      </c>
      <c r="K54" s="86"/>
      <c r="L54" s="87" t="s">
        <v>141</v>
      </c>
      <c r="M54" s="70">
        <f t="shared" ref="M54:V54" si="21">M53*M52</f>
        <v>5.95</v>
      </c>
      <c r="N54" s="70">
        <f t="shared" si="21"/>
        <v>1.3</v>
      </c>
      <c r="O54" s="70">
        <f t="shared" si="21"/>
        <v>0</v>
      </c>
      <c r="P54" s="70">
        <f t="shared" si="21"/>
        <v>1</v>
      </c>
      <c r="Q54" s="70">
        <f t="shared" si="21"/>
        <v>21</v>
      </c>
      <c r="R54" s="70">
        <f t="shared" si="21"/>
        <v>18</v>
      </c>
      <c r="S54" s="70">
        <f t="shared" si="21"/>
        <v>55</v>
      </c>
      <c r="T54" s="70">
        <f t="shared" si="21"/>
        <v>60</v>
      </c>
      <c r="U54" s="70">
        <f t="shared" si="21"/>
        <v>40</v>
      </c>
      <c r="V54" s="70">
        <f t="shared" si="21"/>
        <v>50</v>
      </c>
      <c r="W54" s="130"/>
      <c r="X54" s="70">
        <f>SUM(M54:V54)</f>
        <v>252.25</v>
      </c>
      <c r="Y54" s="96">
        <f>X54-J54</f>
        <v>221.55</v>
      </c>
      <c r="Z54" s="94">
        <v>124.6</v>
      </c>
      <c r="AA54" s="94">
        <v>14</v>
      </c>
      <c r="AB54" s="97">
        <f>Y54+AA54</f>
        <v>235.55</v>
      </c>
      <c r="AC54" s="85">
        <v>120</v>
      </c>
      <c r="AD54" s="96">
        <f>Z54-AC54</f>
        <v>4.5999999999999943</v>
      </c>
      <c r="AE54" s="96">
        <f>Y54-Z54</f>
        <v>96.950000000000017</v>
      </c>
      <c r="AF54" s="85">
        <v>25</v>
      </c>
      <c r="AG54" s="96">
        <f>AE54-AF54</f>
        <v>71.950000000000017</v>
      </c>
      <c r="AH54" s="49"/>
      <c r="AI54" s="98">
        <f>(SUM(Z54:AA54)/(1+10/100))*(10/100)</f>
        <v>12.6</v>
      </c>
      <c r="AJ54" s="49"/>
      <c r="AK54" s="49"/>
      <c r="AL54" s="49"/>
    </row>
    <row r="56" spans="1:38" ht="38.25" x14ac:dyDescent="0.2">
      <c r="A56" s="83" t="s">
        <v>135</v>
      </c>
      <c r="B56" s="84">
        <v>45944</v>
      </c>
      <c r="C56" s="85"/>
      <c r="D56" s="85"/>
      <c r="E56" s="85"/>
      <c r="F56" s="85"/>
      <c r="G56" s="85"/>
      <c r="H56" s="85"/>
      <c r="I56" s="85"/>
      <c r="J56" s="85"/>
      <c r="K56" s="86"/>
      <c r="L56" s="83" t="s">
        <v>136</v>
      </c>
      <c r="M56" s="84">
        <v>45944</v>
      </c>
      <c r="N56" s="85"/>
      <c r="O56" s="85"/>
      <c r="P56" s="85"/>
      <c r="Q56" s="85"/>
      <c r="R56" s="85"/>
      <c r="S56" s="85"/>
      <c r="T56" s="85"/>
      <c r="U56" s="85"/>
      <c r="V56" s="85"/>
      <c r="W56" s="88" t="s">
        <v>333</v>
      </c>
      <c r="X56" s="87" t="s">
        <v>141</v>
      </c>
      <c r="Y56" s="88" t="s">
        <v>192</v>
      </c>
      <c r="Z56" s="89" t="s">
        <v>142</v>
      </c>
      <c r="AA56" s="90" t="s">
        <v>193</v>
      </c>
      <c r="AB56" s="91" t="s">
        <v>194</v>
      </c>
      <c r="AC56" s="88" t="s">
        <v>312</v>
      </c>
      <c r="AD56" s="87" t="s">
        <v>195</v>
      </c>
      <c r="AE56" s="87" t="s">
        <v>196</v>
      </c>
      <c r="AF56" s="88" t="s">
        <v>313</v>
      </c>
      <c r="AG56" s="87" t="s">
        <v>198</v>
      </c>
      <c r="AH56" s="49"/>
      <c r="AI56" s="92"/>
      <c r="AJ56" s="49"/>
      <c r="AK56" s="49"/>
      <c r="AL56" s="49"/>
    </row>
    <row r="57" spans="1:38" ht="12.75" x14ac:dyDescent="0.2">
      <c r="A57" s="87" t="s">
        <v>199</v>
      </c>
      <c r="B57" s="93">
        <v>0.05</v>
      </c>
      <c r="C57" s="93">
        <v>0.1</v>
      </c>
      <c r="D57" s="93">
        <v>0.2</v>
      </c>
      <c r="E57" s="93">
        <v>0.5</v>
      </c>
      <c r="F57" s="93">
        <v>1</v>
      </c>
      <c r="G57" s="93">
        <v>2</v>
      </c>
      <c r="H57" s="93">
        <v>5</v>
      </c>
      <c r="I57" s="93">
        <v>10</v>
      </c>
      <c r="J57" s="49"/>
      <c r="K57" s="86"/>
      <c r="L57" s="87" t="s">
        <v>199</v>
      </c>
      <c r="M57" s="93">
        <v>0.05</v>
      </c>
      <c r="N57" s="93">
        <v>0.1</v>
      </c>
      <c r="O57" s="93">
        <v>0.2</v>
      </c>
      <c r="P57" s="93">
        <v>0.5</v>
      </c>
      <c r="Q57" s="93">
        <v>1</v>
      </c>
      <c r="R57" s="93">
        <v>2</v>
      </c>
      <c r="S57" s="93">
        <v>5</v>
      </c>
      <c r="T57" s="93">
        <v>10</v>
      </c>
      <c r="U57" s="93">
        <v>20</v>
      </c>
      <c r="V57" s="93">
        <v>50</v>
      </c>
      <c r="W57" s="129"/>
      <c r="X57" s="85"/>
      <c r="Y57" s="85"/>
      <c r="Z57" s="49"/>
      <c r="AA57" s="94"/>
      <c r="AB57" s="95"/>
      <c r="AC57" s="85"/>
      <c r="AD57" s="85"/>
      <c r="AE57" s="85"/>
      <c r="AF57" s="85"/>
      <c r="AG57" s="85"/>
      <c r="AH57" s="49"/>
      <c r="AI57" s="92"/>
      <c r="AJ57" s="49"/>
      <c r="AK57" s="49"/>
      <c r="AL57" s="49"/>
    </row>
    <row r="58" spans="1:38" ht="12.75" x14ac:dyDescent="0.2">
      <c r="A58" s="87" t="s">
        <v>200</v>
      </c>
      <c r="B58" s="38">
        <v>119</v>
      </c>
      <c r="C58" s="38">
        <v>33</v>
      </c>
      <c r="D58" s="38">
        <v>0</v>
      </c>
      <c r="E58" s="38">
        <v>4</v>
      </c>
      <c r="F58" s="38">
        <v>9</v>
      </c>
      <c r="G58" s="38">
        <v>5</v>
      </c>
      <c r="H58" s="38">
        <v>2</v>
      </c>
      <c r="I58" s="85"/>
      <c r="J58" s="85"/>
      <c r="K58" s="86"/>
      <c r="L58" s="87" t="s">
        <v>200</v>
      </c>
      <c r="M58" s="38">
        <v>120</v>
      </c>
      <c r="N58" s="38">
        <v>40</v>
      </c>
      <c r="O58" s="38">
        <v>12</v>
      </c>
      <c r="P58" s="38">
        <v>8</v>
      </c>
      <c r="Q58" s="38">
        <v>26</v>
      </c>
      <c r="R58" s="38">
        <v>6</v>
      </c>
      <c r="S58" s="38">
        <v>5</v>
      </c>
      <c r="T58" s="49">
        <v>4</v>
      </c>
      <c r="U58" s="49">
        <v>2</v>
      </c>
      <c r="V58" s="85">
        <v>2</v>
      </c>
      <c r="W58" s="129"/>
      <c r="X58" s="85"/>
      <c r="Y58" s="85"/>
      <c r="Z58" s="49"/>
      <c r="AA58" s="94"/>
      <c r="AB58" s="95"/>
      <c r="AC58" s="85"/>
      <c r="AD58" s="85"/>
      <c r="AE58" s="85"/>
      <c r="AF58" s="85"/>
      <c r="AG58" s="85"/>
      <c r="AH58" s="49"/>
      <c r="AI58" s="92"/>
      <c r="AJ58" s="49"/>
      <c r="AK58" s="49"/>
      <c r="AL58" s="49"/>
    </row>
    <row r="59" spans="1:38" ht="12.75" x14ac:dyDescent="0.2">
      <c r="A59" s="87" t="s">
        <v>141</v>
      </c>
      <c r="B59" s="70">
        <f t="shared" ref="B59:H59" si="22">B58*B57</f>
        <v>5.95</v>
      </c>
      <c r="C59" s="70">
        <f t="shared" si="22"/>
        <v>3.3000000000000003</v>
      </c>
      <c r="D59" s="70">
        <f t="shared" si="22"/>
        <v>0</v>
      </c>
      <c r="E59" s="70">
        <f t="shared" si="22"/>
        <v>2</v>
      </c>
      <c r="F59" s="70">
        <f t="shared" si="22"/>
        <v>9</v>
      </c>
      <c r="G59" s="70">
        <f t="shared" si="22"/>
        <v>10</v>
      </c>
      <c r="H59" s="70">
        <f t="shared" si="22"/>
        <v>10</v>
      </c>
      <c r="I59" s="70">
        <f>J58*I57</f>
        <v>0</v>
      </c>
      <c r="J59" s="70">
        <f>SUM(B59:I59)</f>
        <v>40.25</v>
      </c>
      <c r="K59" s="86"/>
      <c r="L59" s="87" t="s">
        <v>141</v>
      </c>
      <c r="M59" s="70">
        <f t="shared" ref="M59:V59" si="23">M58*M57</f>
        <v>6</v>
      </c>
      <c r="N59" s="70">
        <f t="shared" si="23"/>
        <v>4</v>
      </c>
      <c r="O59" s="70">
        <f t="shared" si="23"/>
        <v>2.4000000000000004</v>
      </c>
      <c r="P59" s="70">
        <f t="shared" si="23"/>
        <v>4</v>
      </c>
      <c r="Q59" s="70">
        <f t="shared" si="23"/>
        <v>26</v>
      </c>
      <c r="R59" s="70">
        <f t="shared" si="23"/>
        <v>12</v>
      </c>
      <c r="S59" s="70">
        <f t="shared" si="23"/>
        <v>25</v>
      </c>
      <c r="T59" s="70">
        <f t="shared" si="23"/>
        <v>40</v>
      </c>
      <c r="U59" s="70">
        <f t="shared" si="23"/>
        <v>40</v>
      </c>
      <c r="V59" s="70">
        <f t="shared" si="23"/>
        <v>100</v>
      </c>
      <c r="W59" s="130"/>
      <c r="X59" s="70">
        <f>SUM(M59:V59)</f>
        <v>259.39999999999998</v>
      </c>
      <c r="Y59" s="96">
        <f>X59-J59</f>
        <v>219.14999999999998</v>
      </c>
      <c r="Z59" s="94">
        <v>81.8</v>
      </c>
      <c r="AA59" s="94">
        <v>28.2</v>
      </c>
      <c r="AB59" s="97">
        <f>Y59+AA59</f>
        <v>247.34999999999997</v>
      </c>
      <c r="AC59" s="85">
        <v>40</v>
      </c>
      <c r="AD59" s="96">
        <f>Z59-AC59</f>
        <v>41.8</v>
      </c>
      <c r="AE59" s="96">
        <f>Y59-Z59</f>
        <v>137.34999999999997</v>
      </c>
      <c r="AF59" s="85">
        <v>7.35</v>
      </c>
      <c r="AG59" s="96">
        <f>AE59-AF59</f>
        <v>129.99999999999997</v>
      </c>
      <c r="AH59" s="49"/>
      <c r="AI59" s="98">
        <f>(SUM(Z59:AA59)/(1+10/100))*(10/100)</f>
        <v>10</v>
      </c>
      <c r="AJ59" s="49"/>
      <c r="AK59" s="49"/>
      <c r="AL59" s="49"/>
    </row>
    <row r="61" spans="1:38" ht="38.25" x14ac:dyDescent="0.2">
      <c r="A61" s="83" t="s">
        <v>135</v>
      </c>
      <c r="B61" s="84">
        <v>45945</v>
      </c>
      <c r="C61" s="85"/>
      <c r="D61" s="85"/>
      <c r="E61" s="85"/>
      <c r="F61" s="85"/>
      <c r="G61" s="85"/>
      <c r="H61" s="85"/>
      <c r="I61" s="85"/>
      <c r="J61" s="85"/>
      <c r="K61" s="86"/>
      <c r="L61" s="83" t="s">
        <v>136</v>
      </c>
      <c r="M61" s="84">
        <v>45945</v>
      </c>
      <c r="N61" s="85"/>
      <c r="O61" s="85"/>
      <c r="P61" s="85"/>
      <c r="Q61" s="85"/>
      <c r="R61" s="85"/>
      <c r="S61" s="85"/>
      <c r="T61" s="85"/>
      <c r="U61" s="85"/>
      <c r="V61" s="85"/>
      <c r="W61" s="88" t="s">
        <v>333</v>
      </c>
      <c r="X61" s="87" t="s">
        <v>141</v>
      </c>
      <c r="Y61" s="88" t="s">
        <v>192</v>
      </c>
      <c r="Z61" s="89" t="s">
        <v>142</v>
      </c>
      <c r="AA61" s="90" t="s">
        <v>193</v>
      </c>
      <c r="AB61" s="91" t="s">
        <v>194</v>
      </c>
      <c r="AC61" s="88" t="s">
        <v>312</v>
      </c>
      <c r="AD61" s="87" t="s">
        <v>195</v>
      </c>
      <c r="AE61" s="87" t="s">
        <v>196</v>
      </c>
      <c r="AF61" s="88" t="s">
        <v>313</v>
      </c>
      <c r="AG61" s="87" t="s">
        <v>198</v>
      </c>
      <c r="AH61" s="49"/>
      <c r="AI61" s="92"/>
      <c r="AJ61" s="49"/>
      <c r="AK61" s="49"/>
      <c r="AL61" s="49"/>
    </row>
    <row r="62" spans="1:38" ht="12.75" x14ac:dyDescent="0.2">
      <c r="A62" s="87" t="s">
        <v>199</v>
      </c>
      <c r="B62" s="93">
        <v>0.05</v>
      </c>
      <c r="C62" s="93">
        <v>0.1</v>
      </c>
      <c r="D62" s="93">
        <v>0.2</v>
      </c>
      <c r="E62" s="93">
        <v>0.5</v>
      </c>
      <c r="F62" s="93">
        <v>1</v>
      </c>
      <c r="G62" s="93">
        <v>2</v>
      </c>
      <c r="H62" s="93">
        <v>5</v>
      </c>
      <c r="I62" s="93">
        <v>10</v>
      </c>
      <c r="J62" s="49"/>
      <c r="K62" s="86"/>
      <c r="L62" s="87" t="s">
        <v>199</v>
      </c>
      <c r="M62" s="93">
        <v>0.05</v>
      </c>
      <c r="N62" s="93">
        <v>0.1</v>
      </c>
      <c r="O62" s="93">
        <v>0.2</v>
      </c>
      <c r="P62" s="93">
        <v>0.5</v>
      </c>
      <c r="Q62" s="93">
        <v>1</v>
      </c>
      <c r="R62" s="93">
        <v>2</v>
      </c>
      <c r="S62" s="93">
        <v>5</v>
      </c>
      <c r="T62" s="93">
        <v>10</v>
      </c>
      <c r="U62" s="93">
        <v>20</v>
      </c>
      <c r="V62" s="93">
        <v>50</v>
      </c>
      <c r="W62" s="129"/>
      <c r="X62" s="85"/>
      <c r="Y62" s="85"/>
      <c r="Z62" s="49"/>
      <c r="AA62" s="94"/>
      <c r="AB62" s="95"/>
      <c r="AC62" s="85"/>
      <c r="AD62" s="85"/>
      <c r="AE62" s="85"/>
      <c r="AF62" s="85"/>
      <c r="AG62" s="85"/>
      <c r="AH62" s="49"/>
      <c r="AI62" s="92"/>
      <c r="AJ62" s="49"/>
      <c r="AK62" s="49"/>
      <c r="AL62" s="49"/>
    </row>
    <row r="63" spans="1:38" ht="12.75" x14ac:dyDescent="0.2">
      <c r="A63" s="87" t="s">
        <v>200</v>
      </c>
      <c r="B63" s="38">
        <v>120</v>
      </c>
      <c r="C63" s="38">
        <v>40</v>
      </c>
      <c r="D63" s="38">
        <v>12</v>
      </c>
      <c r="E63" s="38">
        <v>8</v>
      </c>
      <c r="F63" s="38">
        <v>10</v>
      </c>
      <c r="G63" s="38">
        <v>5</v>
      </c>
      <c r="H63" s="38">
        <v>2</v>
      </c>
      <c r="I63" s="85"/>
      <c r="J63" s="85"/>
      <c r="K63" s="86"/>
      <c r="L63" s="87" t="s">
        <v>200</v>
      </c>
      <c r="M63" s="38">
        <v>127</v>
      </c>
      <c r="N63" s="38">
        <v>49</v>
      </c>
      <c r="O63" s="38">
        <v>14</v>
      </c>
      <c r="P63" s="38">
        <v>8</v>
      </c>
      <c r="Q63" s="38">
        <v>24</v>
      </c>
      <c r="R63" s="38">
        <v>16</v>
      </c>
      <c r="S63" s="38">
        <v>3</v>
      </c>
      <c r="T63" s="49">
        <v>4</v>
      </c>
      <c r="U63" s="49">
        <v>5</v>
      </c>
      <c r="V63" s="85">
        <v>3</v>
      </c>
      <c r="W63" s="129"/>
      <c r="X63" s="85"/>
      <c r="Y63" s="85"/>
      <c r="Z63" s="49"/>
      <c r="AA63" s="94"/>
      <c r="AB63" s="95"/>
      <c r="AC63" s="85"/>
      <c r="AD63" s="85"/>
      <c r="AE63" s="85"/>
      <c r="AF63" s="85"/>
      <c r="AG63" s="85"/>
      <c r="AH63" s="49"/>
      <c r="AI63" s="92"/>
      <c r="AJ63" s="49"/>
      <c r="AK63" s="49"/>
      <c r="AL63" s="49"/>
    </row>
    <row r="64" spans="1:38" ht="12.75" x14ac:dyDescent="0.2">
      <c r="A64" s="87" t="s">
        <v>141</v>
      </c>
      <c r="B64" s="70">
        <f t="shared" ref="B64:H64" si="24">B63*B62</f>
        <v>6</v>
      </c>
      <c r="C64" s="70">
        <f t="shared" si="24"/>
        <v>4</v>
      </c>
      <c r="D64" s="70">
        <f t="shared" si="24"/>
        <v>2.4000000000000004</v>
      </c>
      <c r="E64" s="70">
        <f t="shared" si="24"/>
        <v>4</v>
      </c>
      <c r="F64" s="70">
        <f t="shared" si="24"/>
        <v>10</v>
      </c>
      <c r="G64" s="70">
        <f t="shared" si="24"/>
        <v>10</v>
      </c>
      <c r="H64" s="70">
        <f t="shared" si="24"/>
        <v>10</v>
      </c>
      <c r="I64" s="70">
        <f>J63*I62</f>
        <v>0</v>
      </c>
      <c r="J64" s="70">
        <f>SUM(B64:I64)</f>
        <v>46.4</v>
      </c>
      <c r="K64" s="86"/>
      <c r="L64" s="87" t="s">
        <v>141</v>
      </c>
      <c r="M64" s="70">
        <f t="shared" ref="M64:V64" si="25">M63*M62</f>
        <v>6.3500000000000005</v>
      </c>
      <c r="N64" s="70">
        <f t="shared" si="25"/>
        <v>4.9000000000000004</v>
      </c>
      <c r="O64" s="70">
        <f t="shared" si="25"/>
        <v>2.8000000000000003</v>
      </c>
      <c r="P64" s="70">
        <f t="shared" si="25"/>
        <v>4</v>
      </c>
      <c r="Q64" s="70">
        <f t="shared" si="25"/>
        <v>24</v>
      </c>
      <c r="R64" s="70">
        <f t="shared" si="25"/>
        <v>32</v>
      </c>
      <c r="S64" s="70">
        <f t="shared" si="25"/>
        <v>15</v>
      </c>
      <c r="T64" s="70">
        <f t="shared" si="25"/>
        <v>40</v>
      </c>
      <c r="U64" s="70">
        <f t="shared" si="25"/>
        <v>100</v>
      </c>
      <c r="V64" s="70">
        <f t="shared" si="25"/>
        <v>150</v>
      </c>
      <c r="W64" s="130"/>
      <c r="X64" s="70">
        <f>SUM(M64:V64)</f>
        <v>379.05</v>
      </c>
      <c r="Y64" s="96">
        <f>X64-J64</f>
        <v>332.65000000000003</v>
      </c>
      <c r="Z64" s="94">
        <v>159.19999999999999</v>
      </c>
      <c r="AA64" s="94">
        <v>93.1</v>
      </c>
      <c r="AB64" s="97">
        <f>Y64+AA64</f>
        <v>425.75</v>
      </c>
      <c r="AC64" s="85">
        <v>90</v>
      </c>
      <c r="AD64" s="96">
        <f>Z64-AC64</f>
        <v>69.199999999999989</v>
      </c>
      <c r="AE64" s="96">
        <f>Y64-Z64</f>
        <v>173.45000000000005</v>
      </c>
      <c r="AF64" s="85">
        <v>3.45</v>
      </c>
      <c r="AG64" s="96">
        <f>AE64-AF64</f>
        <v>170.00000000000006</v>
      </c>
      <c r="AH64" s="49"/>
      <c r="AI64" s="98">
        <f>(SUM(Z64:AA64)/(1+10/100))*(10/100)</f>
        <v>22.936363636363634</v>
      </c>
      <c r="AJ64" s="49"/>
      <c r="AK64" s="49"/>
      <c r="AL64" s="49"/>
    </row>
    <row r="66" spans="1:38" ht="38.25" x14ac:dyDescent="0.2">
      <c r="A66" s="83" t="s">
        <v>135</v>
      </c>
      <c r="B66" s="84">
        <v>45946</v>
      </c>
      <c r="C66" s="85"/>
      <c r="D66" s="85"/>
      <c r="E66" s="85"/>
      <c r="F66" s="85"/>
      <c r="G66" s="85"/>
      <c r="H66" s="85"/>
      <c r="I66" s="85"/>
      <c r="J66" s="85"/>
      <c r="K66" s="86"/>
      <c r="L66" s="83" t="s">
        <v>136</v>
      </c>
      <c r="M66" s="84">
        <v>45946</v>
      </c>
      <c r="N66" s="85"/>
      <c r="O66" s="85"/>
      <c r="P66" s="85"/>
      <c r="Q66" s="85"/>
      <c r="R66" s="85"/>
      <c r="S66" s="85"/>
      <c r="T66" s="85"/>
      <c r="U66" s="85"/>
      <c r="V66" s="85"/>
      <c r="W66" s="88" t="s">
        <v>333</v>
      </c>
      <c r="X66" s="87" t="s">
        <v>141</v>
      </c>
      <c r="Y66" s="88" t="s">
        <v>192</v>
      </c>
      <c r="Z66" s="89" t="s">
        <v>142</v>
      </c>
      <c r="AA66" s="90" t="s">
        <v>193</v>
      </c>
      <c r="AB66" s="91" t="s">
        <v>194</v>
      </c>
      <c r="AC66" s="88" t="s">
        <v>312</v>
      </c>
      <c r="AD66" s="87" t="s">
        <v>195</v>
      </c>
      <c r="AE66" s="87" t="s">
        <v>196</v>
      </c>
      <c r="AF66" s="88" t="s">
        <v>313</v>
      </c>
      <c r="AG66" s="87" t="s">
        <v>198</v>
      </c>
      <c r="AH66" s="49"/>
      <c r="AI66" s="92"/>
      <c r="AJ66" s="49"/>
      <c r="AK66" s="49"/>
      <c r="AL66" s="49"/>
    </row>
    <row r="67" spans="1:38" ht="12.75" x14ac:dyDescent="0.2">
      <c r="A67" s="87" t="s">
        <v>199</v>
      </c>
      <c r="B67" s="93">
        <v>0.05</v>
      </c>
      <c r="C67" s="93">
        <v>0.1</v>
      </c>
      <c r="D67" s="93">
        <v>0.2</v>
      </c>
      <c r="E67" s="93">
        <v>0.5</v>
      </c>
      <c r="F67" s="93">
        <v>1</v>
      </c>
      <c r="G67" s="93">
        <v>2</v>
      </c>
      <c r="H67" s="93">
        <v>5</v>
      </c>
      <c r="I67" s="93">
        <v>10</v>
      </c>
      <c r="J67" s="49"/>
      <c r="K67" s="86"/>
      <c r="L67" s="87" t="s">
        <v>199</v>
      </c>
      <c r="M67" s="93">
        <v>0.05</v>
      </c>
      <c r="N67" s="93">
        <v>0.1</v>
      </c>
      <c r="O67" s="93">
        <v>0.2</v>
      </c>
      <c r="P67" s="93">
        <v>0.5</v>
      </c>
      <c r="Q67" s="93">
        <v>1</v>
      </c>
      <c r="R67" s="93">
        <v>2</v>
      </c>
      <c r="S67" s="93">
        <v>5</v>
      </c>
      <c r="T67" s="93">
        <v>10</v>
      </c>
      <c r="U67" s="93">
        <v>20</v>
      </c>
      <c r="V67" s="93">
        <v>50</v>
      </c>
      <c r="W67" s="129"/>
      <c r="X67" s="85"/>
      <c r="Y67" s="85"/>
      <c r="Z67" s="49"/>
      <c r="AA67" s="94"/>
      <c r="AB67" s="95"/>
      <c r="AC67" s="85"/>
      <c r="AD67" s="85"/>
      <c r="AE67" s="85"/>
      <c r="AF67" s="85"/>
      <c r="AG67" s="85"/>
      <c r="AH67" s="49"/>
      <c r="AI67" s="92"/>
      <c r="AJ67" s="49"/>
      <c r="AK67" s="49"/>
      <c r="AL67" s="49"/>
    </row>
    <row r="68" spans="1:38" ht="12.75" x14ac:dyDescent="0.2">
      <c r="A68" s="87" t="s">
        <v>200</v>
      </c>
      <c r="B68" s="38">
        <v>127</v>
      </c>
      <c r="C68" s="38">
        <v>49</v>
      </c>
      <c r="D68" s="38">
        <v>14</v>
      </c>
      <c r="E68" s="38">
        <v>8</v>
      </c>
      <c r="F68" s="38">
        <v>5</v>
      </c>
      <c r="G68" s="38">
        <v>5</v>
      </c>
      <c r="H68" s="38">
        <v>2</v>
      </c>
      <c r="I68" s="85"/>
      <c r="J68" s="85"/>
      <c r="K68" s="86"/>
      <c r="L68" s="87" t="s">
        <v>200</v>
      </c>
      <c r="M68" s="38">
        <v>109</v>
      </c>
      <c r="N68" s="38">
        <v>47</v>
      </c>
      <c r="O68" s="38">
        <v>11</v>
      </c>
      <c r="P68" s="38">
        <v>2</v>
      </c>
      <c r="Q68" s="38">
        <v>7</v>
      </c>
      <c r="R68" s="38">
        <v>7</v>
      </c>
      <c r="S68" s="38">
        <v>7</v>
      </c>
      <c r="T68" s="49">
        <v>2</v>
      </c>
      <c r="U68" s="49">
        <v>7</v>
      </c>
      <c r="V68" s="85">
        <v>2</v>
      </c>
      <c r="W68" s="129"/>
      <c r="X68" s="85"/>
      <c r="Y68" s="85"/>
      <c r="Z68" s="49"/>
      <c r="AA68" s="94"/>
      <c r="AB68" s="95"/>
      <c r="AC68" s="85"/>
      <c r="AD68" s="85"/>
      <c r="AE68" s="85"/>
      <c r="AF68" s="85"/>
      <c r="AG68" s="85"/>
      <c r="AH68" s="49"/>
      <c r="AI68" s="92"/>
      <c r="AJ68" s="49"/>
      <c r="AK68" s="49"/>
      <c r="AL68" s="49"/>
    </row>
    <row r="69" spans="1:38" ht="12.75" x14ac:dyDescent="0.2">
      <c r="A69" s="87" t="s">
        <v>141</v>
      </c>
      <c r="B69" s="70">
        <f t="shared" ref="B69:H69" si="26">B68*B67</f>
        <v>6.3500000000000005</v>
      </c>
      <c r="C69" s="70">
        <f t="shared" si="26"/>
        <v>4.9000000000000004</v>
      </c>
      <c r="D69" s="70">
        <f t="shared" si="26"/>
        <v>2.8000000000000003</v>
      </c>
      <c r="E69" s="70">
        <f t="shared" si="26"/>
        <v>4</v>
      </c>
      <c r="F69" s="70">
        <f t="shared" si="26"/>
        <v>5</v>
      </c>
      <c r="G69" s="70">
        <f t="shared" si="26"/>
        <v>10</v>
      </c>
      <c r="H69" s="70">
        <f t="shared" si="26"/>
        <v>10</v>
      </c>
      <c r="I69" s="70">
        <f>J68*I67</f>
        <v>0</v>
      </c>
      <c r="J69" s="70">
        <f>SUM(B69:I69)</f>
        <v>43.05</v>
      </c>
      <c r="K69" s="86"/>
      <c r="L69" s="87" t="s">
        <v>141</v>
      </c>
      <c r="M69" s="70">
        <f t="shared" ref="M69:O69" si="27">M68*M67</f>
        <v>5.45</v>
      </c>
      <c r="N69" s="70">
        <f t="shared" si="27"/>
        <v>4.7</v>
      </c>
      <c r="O69" s="70">
        <f t="shared" si="27"/>
        <v>2.2000000000000002</v>
      </c>
      <c r="P69" s="70">
        <v>1</v>
      </c>
      <c r="Q69" s="70">
        <f t="shared" ref="Q69:V69" si="28">Q68*Q67</f>
        <v>7</v>
      </c>
      <c r="R69" s="70">
        <f t="shared" si="28"/>
        <v>14</v>
      </c>
      <c r="S69" s="70">
        <f t="shared" si="28"/>
        <v>35</v>
      </c>
      <c r="T69" s="70">
        <f t="shared" si="28"/>
        <v>20</v>
      </c>
      <c r="U69" s="70">
        <f t="shared" si="28"/>
        <v>140</v>
      </c>
      <c r="V69" s="70">
        <f t="shared" si="28"/>
        <v>100</v>
      </c>
      <c r="W69" s="130"/>
      <c r="X69" s="70">
        <f>SUM(M69:V69)</f>
        <v>329.35</v>
      </c>
      <c r="Y69" s="96">
        <f>X69-J69</f>
        <v>286.3</v>
      </c>
      <c r="Z69" s="94">
        <v>191.3</v>
      </c>
      <c r="AA69" s="94">
        <v>25.3</v>
      </c>
      <c r="AB69" s="97">
        <f>Y69+AA69</f>
        <v>311.60000000000002</v>
      </c>
      <c r="AC69" s="85">
        <f>88+87</f>
        <v>175</v>
      </c>
      <c r="AD69" s="96">
        <f>Z69-AC69</f>
        <v>16.300000000000011</v>
      </c>
      <c r="AE69" s="96">
        <f>Y69-Z69</f>
        <v>95</v>
      </c>
      <c r="AF69" s="85"/>
      <c r="AG69" s="96">
        <f>AE69-AF69</f>
        <v>95</v>
      </c>
      <c r="AH69" s="49"/>
      <c r="AI69" s="98">
        <f>(SUM(Z69:AA69)/(1+10/100))*(10/100)</f>
        <v>19.690909090909091</v>
      </c>
      <c r="AJ69" s="49"/>
      <c r="AK69" s="49"/>
      <c r="AL69" s="49"/>
    </row>
    <row r="70" spans="1:38" ht="12.75" x14ac:dyDescent="0.2">
      <c r="AC70" s="38" t="s">
        <v>322</v>
      </c>
    </row>
    <row r="71" spans="1:38" ht="38.25" x14ac:dyDescent="0.2">
      <c r="A71" s="83" t="s">
        <v>135</v>
      </c>
      <c r="B71" s="84">
        <v>45947</v>
      </c>
      <c r="C71" s="85"/>
      <c r="D71" s="85"/>
      <c r="E71" s="85"/>
      <c r="F71" s="85"/>
      <c r="G71" s="85"/>
      <c r="H71" s="85"/>
      <c r="I71" s="85"/>
      <c r="J71" s="85"/>
      <c r="K71" s="86"/>
      <c r="L71" s="83" t="s">
        <v>136</v>
      </c>
      <c r="M71" s="84">
        <v>45947</v>
      </c>
      <c r="N71" s="85"/>
      <c r="O71" s="85"/>
      <c r="P71" s="85"/>
      <c r="Q71" s="85"/>
      <c r="R71" s="85"/>
      <c r="S71" s="85"/>
      <c r="T71" s="85"/>
      <c r="U71" s="85"/>
      <c r="V71" s="85"/>
      <c r="W71" s="88" t="s">
        <v>333</v>
      </c>
      <c r="X71" s="87" t="s">
        <v>141</v>
      </c>
      <c r="Y71" s="88" t="s">
        <v>192</v>
      </c>
      <c r="Z71" s="89" t="s">
        <v>142</v>
      </c>
      <c r="AA71" s="90" t="s">
        <v>193</v>
      </c>
      <c r="AB71" s="91" t="s">
        <v>194</v>
      </c>
      <c r="AC71" s="88" t="s">
        <v>312</v>
      </c>
      <c r="AD71" s="87" t="s">
        <v>195</v>
      </c>
      <c r="AE71" s="87" t="s">
        <v>196</v>
      </c>
      <c r="AF71" s="88" t="s">
        <v>313</v>
      </c>
      <c r="AG71" s="87" t="s">
        <v>198</v>
      </c>
      <c r="AH71" s="49"/>
      <c r="AI71" s="92"/>
      <c r="AJ71" s="49"/>
      <c r="AK71" s="49"/>
      <c r="AL71" s="49"/>
    </row>
    <row r="72" spans="1:38" ht="12.75" x14ac:dyDescent="0.2">
      <c r="A72" s="87" t="s">
        <v>199</v>
      </c>
      <c r="B72" s="93">
        <v>0.05</v>
      </c>
      <c r="C72" s="93">
        <v>0.1</v>
      </c>
      <c r="D72" s="93">
        <v>0.2</v>
      </c>
      <c r="E72" s="93">
        <v>0.5</v>
      </c>
      <c r="F72" s="93">
        <v>1</v>
      </c>
      <c r="G72" s="93">
        <v>2</v>
      </c>
      <c r="H72" s="93">
        <v>5</v>
      </c>
      <c r="I72" s="93">
        <v>10</v>
      </c>
      <c r="J72" s="49"/>
      <c r="K72" s="86"/>
      <c r="L72" s="87" t="s">
        <v>199</v>
      </c>
      <c r="M72" s="93">
        <v>0.05</v>
      </c>
      <c r="N72" s="93">
        <v>0.1</v>
      </c>
      <c r="O72" s="93">
        <v>0.2</v>
      </c>
      <c r="P72" s="93">
        <v>0.5</v>
      </c>
      <c r="Q72" s="93">
        <v>1</v>
      </c>
      <c r="R72" s="93">
        <v>2</v>
      </c>
      <c r="S72" s="93">
        <v>5</v>
      </c>
      <c r="T72" s="93">
        <v>10</v>
      </c>
      <c r="U72" s="93">
        <v>20</v>
      </c>
      <c r="V72" s="93">
        <v>50</v>
      </c>
      <c r="W72" s="129"/>
      <c r="X72" s="85"/>
      <c r="Y72" s="85"/>
      <c r="Z72" s="49"/>
      <c r="AA72" s="94"/>
      <c r="AB72" s="95"/>
      <c r="AC72" s="85"/>
      <c r="AD72" s="85"/>
      <c r="AE72" s="85"/>
      <c r="AF72" s="85"/>
      <c r="AG72" s="85"/>
      <c r="AH72" s="49"/>
      <c r="AI72" s="92"/>
      <c r="AJ72" s="49"/>
      <c r="AK72" s="49"/>
      <c r="AL72" s="49"/>
    </row>
    <row r="73" spans="1:38" ht="12.75" x14ac:dyDescent="0.2">
      <c r="A73" s="87" t="s">
        <v>200</v>
      </c>
      <c r="B73" s="38">
        <v>109</v>
      </c>
      <c r="C73" s="38">
        <v>47</v>
      </c>
      <c r="D73" s="38">
        <v>11</v>
      </c>
      <c r="E73" s="38">
        <v>2</v>
      </c>
      <c r="F73" s="38">
        <v>7</v>
      </c>
      <c r="G73" s="38">
        <v>7</v>
      </c>
      <c r="H73" s="38">
        <v>2</v>
      </c>
      <c r="I73" s="85"/>
      <c r="J73" s="85"/>
      <c r="K73" s="86"/>
      <c r="L73" s="87" t="s">
        <v>200</v>
      </c>
      <c r="M73" s="38">
        <v>105</v>
      </c>
      <c r="N73" s="38">
        <v>48</v>
      </c>
      <c r="O73" s="38">
        <v>23</v>
      </c>
      <c r="Q73" s="38">
        <v>7</v>
      </c>
      <c r="R73" s="38">
        <v>2</v>
      </c>
      <c r="S73" s="38">
        <v>7</v>
      </c>
      <c r="T73" s="49">
        <v>1</v>
      </c>
      <c r="U73" s="49">
        <v>8</v>
      </c>
      <c r="V73" s="85">
        <v>1</v>
      </c>
      <c r="W73" s="129"/>
      <c r="X73" s="85"/>
      <c r="Y73" s="85"/>
      <c r="Z73" s="49"/>
      <c r="AA73" s="94"/>
      <c r="AB73" s="95"/>
      <c r="AC73" s="85"/>
      <c r="AD73" s="85"/>
      <c r="AE73" s="85"/>
      <c r="AF73" s="85"/>
      <c r="AG73" s="85"/>
      <c r="AH73" s="49"/>
      <c r="AI73" s="92"/>
      <c r="AJ73" s="49"/>
      <c r="AK73" s="49"/>
      <c r="AL73" s="49"/>
    </row>
    <row r="74" spans="1:38" ht="12.75" x14ac:dyDescent="0.2">
      <c r="A74" s="87" t="s">
        <v>141</v>
      </c>
      <c r="B74" s="70">
        <f t="shared" ref="B74:H74" si="29">B73*B72</f>
        <v>5.45</v>
      </c>
      <c r="C74" s="70">
        <f t="shared" si="29"/>
        <v>4.7</v>
      </c>
      <c r="D74" s="70">
        <f t="shared" si="29"/>
        <v>2.2000000000000002</v>
      </c>
      <c r="E74" s="70">
        <f t="shared" si="29"/>
        <v>1</v>
      </c>
      <c r="F74" s="70">
        <f t="shared" si="29"/>
        <v>7</v>
      </c>
      <c r="G74" s="70">
        <f t="shared" si="29"/>
        <v>14</v>
      </c>
      <c r="H74" s="70">
        <f t="shared" si="29"/>
        <v>10</v>
      </c>
      <c r="I74" s="70">
        <f>J73*I72</f>
        <v>0</v>
      </c>
      <c r="J74" s="70">
        <f>SUM(B74:I74)</f>
        <v>44.35</v>
      </c>
      <c r="K74" s="86"/>
      <c r="L74" s="87" t="s">
        <v>141</v>
      </c>
      <c r="M74" s="70">
        <f t="shared" ref="M74:V74" si="30">M73*M72</f>
        <v>5.25</v>
      </c>
      <c r="N74" s="70">
        <f t="shared" si="30"/>
        <v>4.8000000000000007</v>
      </c>
      <c r="O74" s="70">
        <f t="shared" si="30"/>
        <v>4.6000000000000005</v>
      </c>
      <c r="P74" s="70">
        <f t="shared" si="30"/>
        <v>0</v>
      </c>
      <c r="Q74" s="70">
        <f t="shared" si="30"/>
        <v>7</v>
      </c>
      <c r="R74" s="70">
        <f t="shared" si="30"/>
        <v>4</v>
      </c>
      <c r="S74" s="70">
        <f t="shared" si="30"/>
        <v>35</v>
      </c>
      <c r="T74" s="70">
        <f t="shared" si="30"/>
        <v>10</v>
      </c>
      <c r="U74" s="70">
        <f t="shared" si="30"/>
        <v>160</v>
      </c>
      <c r="V74" s="70">
        <f t="shared" si="30"/>
        <v>50</v>
      </c>
      <c r="W74" s="130"/>
      <c r="X74" s="70">
        <f>SUM(M74:V74)</f>
        <v>280.64999999999998</v>
      </c>
      <c r="Y74" s="96">
        <f>X74-J74</f>
        <v>236.29999999999998</v>
      </c>
      <c r="Z74" s="94">
        <v>131.9</v>
      </c>
      <c r="AA74" s="94">
        <v>65.3</v>
      </c>
      <c r="AB74" s="97">
        <f>Y74+AA74</f>
        <v>301.59999999999997</v>
      </c>
      <c r="AC74" s="85">
        <v>80</v>
      </c>
      <c r="AD74" s="96">
        <f>Z74-AC74</f>
        <v>51.900000000000006</v>
      </c>
      <c r="AE74" s="96">
        <f>Y74-Z74</f>
        <v>104.39999999999998</v>
      </c>
      <c r="AF74" s="85"/>
      <c r="AG74" s="96">
        <f>AE74-AF74</f>
        <v>104.39999999999998</v>
      </c>
      <c r="AH74" s="49"/>
      <c r="AI74" s="98">
        <f>(SUM(Z74:AA74)/(1+10/100))*(10/100)</f>
        <v>17.927272727272726</v>
      </c>
      <c r="AJ74" s="49"/>
      <c r="AK74" s="49"/>
      <c r="AL74" s="49"/>
    </row>
    <row r="76" spans="1:38" ht="38.25" x14ac:dyDescent="0.2">
      <c r="A76" s="83" t="s">
        <v>135</v>
      </c>
      <c r="B76" s="84">
        <v>45948</v>
      </c>
      <c r="C76" s="85"/>
      <c r="D76" s="85"/>
      <c r="E76" s="85"/>
      <c r="F76" s="85"/>
      <c r="G76" s="85"/>
      <c r="H76" s="85"/>
      <c r="I76" s="85"/>
      <c r="J76" s="85"/>
      <c r="K76" s="86"/>
      <c r="L76" s="83" t="s">
        <v>136</v>
      </c>
      <c r="M76" s="84">
        <v>45948</v>
      </c>
      <c r="N76" s="85"/>
      <c r="O76" s="85"/>
      <c r="P76" s="85"/>
      <c r="Q76" s="85"/>
      <c r="R76" s="85"/>
      <c r="S76" s="85"/>
      <c r="T76" s="85"/>
      <c r="U76" s="85"/>
      <c r="V76" s="85"/>
      <c r="W76" s="88" t="s">
        <v>333</v>
      </c>
      <c r="X76" s="87" t="s">
        <v>141</v>
      </c>
      <c r="Y76" s="88" t="s">
        <v>192</v>
      </c>
      <c r="Z76" s="89" t="s">
        <v>142</v>
      </c>
      <c r="AA76" s="90" t="s">
        <v>193</v>
      </c>
      <c r="AB76" s="91" t="s">
        <v>194</v>
      </c>
      <c r="AC76" s="88" t="s">
        <v>312</v>
      </c>
      <c r="AD76" s="87" t="s">
        <v>195</v>
      </c>
      <c r="AE76" s="87" t="s">
        <v>196</v>
      </c>
      <c r="AF76" s="88" t="s">
        <v>313</v>
      </c>
      <c r="AG76" s="87" t="s">
        <v>198</v>
      </c>
      <c r="AH76" s="49"/>
      <c r="AI76" s="92"/>
      <c r="AJ76" s="49"/>
      <c r="AK76" s="49"/>
      <c r="AL76" s="49"/>
    </row>
    <row r="77" spans="1:38" ht="12.75" x14ac:dyDescent="0.2">
      <c r="A77" s="87" t="s">
        <v>199</v>
      </c>
      <c r="B77" s="93">
        <v>0.05</v>
      </c>
      <c r="C77" s="93">
        <v>0.1</v>
      </c>
      <c r="D77" s="93">
        <v>0.2</v>
      </c>
      <c r="E77" s="93">
        <v>0.5</v>
      </c>
      <c r="F77" s="93">
        <v>1</v>
      </c>
      <c r="G77" s="93">
        <v>2</v>
      </c>
      <c r="H77" s="93">
        <v>5</v>
      </c>
      <c r="I77" s="93">
        <v>10</v>
      </c>
      <c r="J77" s="49"/>
      <c r="K77" s="86"/>
      <c r="L77" s="87" t="s">
        <v>199</v>
      </c>
      <c r="M77" s="93">
        <v>0.05</v>
      </c>
      <c r="N77" s="93">
        <v>0.1</v>
      </c>
      <c r="O77" s="93">
        <v>0.2</v>
      </c>
      <c r="P77" s="93">
        <v>0.5</v>
      </c>
      <c r="Q77" s="93">
        <v>1</v>
      </c>
      <c r="R77" s="93">
        <v>2</v>
      </c>
      <c r="S77" s="93">
        <v>5</v>
      </c>
      <c r="T77" s="93">
        <v>10</v>
      </c>
      <c r="U77" s="93">
        <v>20</v>
      </c>
      <c r="V77" s="93">
        <v>50</v>
      </c>
      <c r="W77" s="129"/>
      <c r="X77" s="85"/>
      <c r="Y77" s="85"/>
      <c r="Z77" s="49"/>
      <c r="AA77" s="94"/>
      <c r="AB77" s="95"/>
      <c r="AC77" s="85"/>
      <c r="AD77" s="85"/>
      <c r="AE77" s="85"/>
      <c r="AF77" s="85"/>
      <c r="AG77" s="85"/>
      <c r="AH77" s="49"/>
      <c r="AI77" s="92"/>
      <c r="AJ77" s="49"/>
      <c r="AK77" s="49"/>
      <c r="AL77" s="49"/>
    </row>
    <row r="78" spans="1:38" ht="12.75" x14ac:dyDescent="0.2">
      <c r="A78" s="87" t="s">
        <v>200</v>
      </c>
      <c r="B78" s="38">
        <v>105</v>
      </c>
      <c r="C78" s="38">
        <v>48</v>
      </c>
      <c r="D78" s="38">
        <v>23</v>
      </c>
      <c r="F78" s="38">
        <v>7</v>
      </c>
      <c r="G78" s="38">
        <v>2</v>
      </c>
      <c r="H78" s="38">
        <v>2</v>
      </c>
      <c r="I78" s="85"/>
      <c r="J78" s="85"/>
      <c r="K78" s="86"/>
      <c r="L78" s="87" t="s">
        <v>200</v>
      </c>
      <c r="M78" s="38">
        <v>104</v>
      </c>
      <c r="N78" s="38">
        <v>48</v>
      </c>
      <c r="O78" s="38">
        <v>8</v>
      </c>
      <c r="P78" s="38">
        <v>3</v>
      </c>
      <c r="Q78" s="38">
        <v>9</v>
      </c>
      <c r="R78" s="38">
        <v>3</v>
      </c>
      <c r="S78" s="38">
        <v>10</v>
      </c>
      <c r="T78" s="49">
        <v>3</v>
      </c>
      <c r="U78" s="49">
        <v>15</v>
      </c>
      <c r="V78" s="85">
        <v>2</v>
      </c>
      <c r="W78" s="129"/>
      <c r="X78" s="85"/>
      <c r="Y78" s="85"/>
      <c r="Z78" s="49"/>
      <c r="AA78" s="94"/>
      <c r="AB78" s="95"/>
      <c r="AC78" s="85"/>
      <c r="AD78" s="85"/>
      <c r="AE78" s="85"/>
      <c r="AF78" s="85"/>
      <c r="AG78" s="85"/>
      <c r="AH78" s="49"/>
      <c r="AI78" s="92"/>
      <c r="AJ78" s="49"/>
      <c r="AK78" s="49"/>
      <c r="AL78" s="49"/>
    </row>
    <row r="79" spans="1:38" ht="12.75" x14ac:dyDescent="0.2">
      <c r="A79" s="87" t="s">
        <v>141</v>
      </c>
      <c r="B79" s="70">
        <f t="shared" ref="B79:H79" si="31">B78*B77</f>
        <v>5.25</v>
      </c>
      <c r="C79" s="70">
        <f t="shared" si="31"/>
        <v>4.8000000000000007</v>
      </c>
      <c r="D79" s="70">
        <f t="shared" si="31"/>
        <v>4.6000000000000005</v>
      </c>
      <c r="E79" s="70">
        <f t="shared" si="31"/>
        <v>0</v>
      </c>
      <c r="F79" s="70">
        <f t="shared" si="31"/>
        <v>7</v>
      </c>
      <c r="G79" s="70">
        <f t="shared" si="31"/>
        <v>4</v>
      </c>
      <c r="H79" s="70">
        <f t="shared" si="31"/>
        <v>10</v>
      </c>
      <c r="I79" s="70">
        <f>J78*I77</f>
        <v>0</v>
      </c>
      <c r="J79" s="70">
        <f>SUM(B79:I79)</f>
        <v>35.650000000000006</v>
      </c>
      <c r="K79" s="86"/>
      <c r="L79" s="87" t="s">
        <v>141</v>
      </c>
      <c r="M79" s="70">
        <f t="shared" ref="M79:V79" si="32">M78*M77</f>
        <v>5.2</v>
      </c>
      <c r="N79" s="70">
        <f t="shared" si="32"/>
        <v>4.8000000000000007</v>
      </c>
      <c r="O79" s="70">
        <f t="shared" si="32"/>
        <v>1.6</v>
      </c>
      <c r="P79" s="70">
        <f t="shared" si="32"/>
        <v>1.5</v>
      </c>
      <c r="Q79" s="70">
        <f t="shared" si="32"/>
        <v>9</v>
      </c>
      <c r="R79" s="70">
        <f t="shared" si="32"/>
        <v>6</v>
      </c>
      <c r="S79" s="70">
        <f t="shared" si="32"/>
        <v>50</v>
      </c>
      <c r="T79" s="70">
        <f t="shared" si="32"/>
        <v>30</v>
      </c>
      <c r="U79" s="70">
        <f t="shared" si="32"/>
        <v>300</v>
      </c>
      <c r="V79" s="70">
        <f t="shared" si="32"/>
        <v>100</v>
      </c>
      <c r="W79" s="130"/>
      <c r="X79" s="70">
        <f>SUM(M79:V79)</f>
        <v>508.1</v>
      </c>
      <c r="Y79" s="96">
        <f>X79-J79</f>
        <v>472.45000000000005</v>
      </c>
      <c r="Z79" s="94">
        <v>302.2</v>
      </c>
      <c r="AA79" s="94">
        <v>91.7</v>
      </c>
      <c r="AB79" s="97">
        <f>Y79+AA79</f>
        <v>564.15000000000009</v>
      </c>
      <c r="AC79" s="85">
        <v>200</v>
      </c>
      <c r="AD79" s="96">
        <f>Z79-AC79</f>
        <v>102.19999999999999</v>
      </c>
      <c r="AE79" s="96">
        <f>Y79-Z79</f>
        <v>170.25000000000006</v>
      </c>
      <c r="AF79" s="85">
        <v>20</v>
      </c>
      <c r="AG79" s="96">
        <f>AE79-AF79</f>
        <v>150.25000000000006</v>
      </c>
      <c r="AH79" s="49"/>
      <c r="AI79" s="98">
        <f>(SUM(Z79:AA79)/(1+10/100))*(10/100)</f>
        <v>35.809090909090905</v>
      </c>
      <c r="AJ79" s="49"/>
      <c r="AK79" s="49"/>
      <c r="AL79" s="49"/>
    </row>
    <row r="81" spans="1:38" ht="38.25" x14ac:dyDescent="0.2">
      <c r="A81" s="83" t="s">
        <v>135</v>
      </c>
      <c r="B81" s="84">
        <v>45950</v>
      </c>
      <c r="C81" s="85"/>
      <c r="D81" s="85"/>
      <c r="E81" s="85"/>
      <c r="F81" s="85"/>
      <c r="G81" s="85"/>
      <c r="H81" s="85"/>
      <c r="I81" s="85"/>
      <c r="J81" s="85"/>
      <c r="K81" s="86"/>
      <c r="L81" s="83" t="s">
        <v>136</v>
      </c>
      <c r="M81" s="84">
        <v>45950</v>
      </c>
      <c r="N81" s="85"/>
      <c r="O81" s="85"/>
      <c r="P81" s="85"/>
      <c r="Q81" s="85"/>
      <c r="R81" s="85"/>
      <c r="S81" s="85"/>
      <c r="T81" s="85"/>
      <c r="U81" s="85"/>
      <c r="V81" s="85"/>
      <c r="W81" s="88" t="s">
        <v>333</v>
      </c>
      <c r="X81" s="87" t="s">
        <v>141</v>
      </c>
      <c r="Y81" s="88" t="s">
        <v>192</v>
      </c>
      <c r="Z81" s="89" t="s">
        <v>142</v>
      </c>
      <c r="AA81" s="90" t="s">
        <v>193</v>
      </c>
      <c r="AB81" s="91" t="s">
        <v>194</v>
      </c>
      <c r="AC81" s="88" t="s">
        <v>312</v>
      </c>
      <c r="AD81" s="87" t="s">
        <v>195</v>
      </c>
      <c r="AE81" s="87" t="s">
        <v>196</v>
      </c>
      <c r="AF81" s="88" t="s">
        <v>313</v>
      </c>
      <c r="AG81" s="87" t="s">
        <v>198</v>
      </c>
      <c r="AH81" s="49"/>
      <c r="AI81" s="92"/>
      <c r="AJ81" s="49"/>
      <c r="AK81" s="49"/>
      <c r="AL81" s="49"/>
    </row>
    <row r="82" spans="1:38" ht="12.75" x14ac:dyDescent="0.2">
      <c r="A82" s="87" t="s">
        <v>199</v>
      </c>
      <c r="B82" s="93">
        <v>0.05</v>
      </c>
      <c r="C82" s="93">
        <v>0.1</v>
      </c>
      <c r="D82" s="93">
        <v>0.2</v>
      </c>
      <c r="E82" s="93">
        <v>0.5</v>
      </c>
      <c r="F82" s="93">
        <v>1</v>
      </c>
      <c r="G82" s="93">
        <v>2</v>
      </c>
      <c r="H82" s="93">
        <v>5</v>
      </c>
      <c r="I82" s="93">
        <v>10</v>
      </c>
      <c r="J82" s="49"/>
      <c r="K82" s="86"/>
      <c r="L82" s="87" t="s">
        <v>199</v>
      </c>
      <c r="M82" s="93">
        <v>0.05</v>
      </c>
      <c r="N82" s="93">
        <v>0.1</v>
      </c>
      <c r="O82" s="93">
        <v>0.2</v>
      </c>
      <c r="P82" s="93">
        <v>0.5</v>
      </c>
      <c r="Q82" s="93">
        <v>1</v>
      </c>
      <c r="R82" s="93">
        <v>2</v>
      </c>
      <c r="S82" s="93">
        <v>5</v>
      </c>
      <c r="T82" s="93">
        <v>10</v>
      </c>
      <c r="U82" s="93">
        <v>20</v>
      </c>
      <c r="V82" s="93">
        <v>50</v>
      </c>
      <c r="W82" s="129"/>
      <c r="X82" s="85"/>
      <c r="Y82" s="85"/>
      <c r="Z82" s="49"/>
      <c r="AA82" s="94"/>
      <c r="AB82" s="95"/>
      <c r="AC82" s="85"/>
      <c r="AD82" s="85"/>
      <c r="AE82" s="85"/>
      <c r="AF82" s="85"/>
      <c r="AG82" s="85"/>
      <c r="AH82" s="49"/>
      <c r="AI82" s="92"/>
      <c r="AJ82" s="49"/>
      <c r="AK82" s="49"/>
      <c r="AL82" s="49"/>
    </row>
    <row r="83" spans="1:38" ht="12.75" x14ac:dyDescent="0.2">
      <c r="A83" s="87" t="s">
        <v>200</v>
      </c>
      <c r="B83" s="38">
        <v>104</v>
      </c>
      <c r="C83" s="38">
        <v>48</v>
      </c>
      <c r="D83" s="38">
        <v>8</v>
      </c>
      <c r="E83" s="38">
        <v>3</v>
      </c>
      <c r="F83" s="38">
        <v>9</v>
      </c>
      <c r="G83" s="38">
        <v>3</v>
      </c>
      <c r="H83" s="38">
        <v>2</v>
      </c>
      <c r="I83" s="85"/>
      <c r="J83" s="85"/>
      <c r="K83" s="86"/>
      <c r="L83" s="87" t="s">
        <v>200</v>
      </c>
      <c r="M83" s="38">
        <v>104</v>
      </c>
      <c r="N83" s="38">
        <v>44</v>
      </c>
      <c r="O83" s="38">
        <v>10</v>
      </c>
      <c r="P83" s="38">
        <v>11</v>
      </c>
      <c r="Q83" s="38">
        <v>12</v>
      </c>
      <c r="R83" s="38">
        <v>5</v>
      </c>
      <c r="S83" s="38">
        <v>3</v>
      </c>
      <c r="T83" s="49">
        <v>0</v>
      </c>
      <c r="U83" s="49">
        <v>6</v>
      </c>
      <c r="V83" s="85">
        <v>3</v>
      </c>
      <c r="W83" s="129"/>
      <c r="X83" s="85"/>
      <c r="Y83" s="85"/>
      <c r="Z83" s="49"/>
      <c r="AA83" s="94"/>
      <c r="AB83" s="95"/>
      <c r="AC83" s="85"/>
      <c r="AD83" s="85"/>
      <c r="AE83" s="85"/>
      <c r="AF83" s="85"/>
      <c r="AG83" s="85"/>
      <c r="AH83" s="49"/>
      <c r="AI83" s="92"/>
      <c r="AJ83" s="49"/>
      <c r="AK83" s="49"/>
      <c r="AL83" s="49"/>
    </row>
    <row r="84" spans="1:38" ht="12.75" x14ac:dyDescent="0.2">
      <c r="A84" s="87" t="s">
        <v>141</v>
      </c>
      <c r="B84" s="70">
        <f t="shared" ref="B84:H84" si="33">B83*B82</f>
        <v>5.2</v>
      </c>
      <c r="C84" s="70">
        <f t="shared" si="33"/>
        <v>4.8000000000000007</v>
      </c>
      <c r="D84" s="70">
        <f t="shared" si="33"/>
        <v>1.6</v>
      </c>
      <c r="E84" s="70">
        <f t="shared" si="33"/>
        <v>1.5</v>
      </c>
      <c r="F84" s="70">
        <f t="shared" si="33"/>
        <v>9</v>
      </c>
      <c r="G84" s="70">
        <f t="shared" si="33"/>
        <v>6</v>
      </c>
      <c r="H84" s="70">
        <f t="shared" si="33"/>
        <v>10</v>
      </c>
      <c r="I84" s="70">
        <f>J83*I82</f>
        <v>0</v>
      </c>
      <c r="J84" s="70">
        <f>SUM(B84:I84)</f>
        <v>38.1</v>
      </c>
      <c r="K84" s="86"/>
      <c r="L84" s="87" t="s">
        <v>141</v>
      </c>
      <c r="M84" s="70">
        <f t="shared" ref="M84:V84" si="34">M83*M82</f>
        <v>5.2</v>
      </c>
      <c r="N84" s="70">
        <f t="shared" si="34"/>
        <v>4.4000000000000004</v>
      </c>
      <c r="O84" s="70">
        <f t="shared" si="34"/>
        <v>2</v>
      </c>
      <c r="P84" s="70">
        <f t="shared" si="34"/>
        <v>5.5</v>
      </c>
      <c r="Q84" s="70">
        <f t="shared" si="34"/>
        <v>12</v>
      </c>
      <c r="R84" s="70">
        <f t="shared" si="34"/>
        <v>10</v>
      </c>
      <c r="S84" s="70">
        <f t="shared" si="34"/>
        <v>15</v>
      </c>
      <c r="T84" s="70">
        <f t="shared" si="34"/>
        <v>0</v>
      </c>
      <c r="U84" s="70">
        <f t="shared" si="34"/>
        <v>120</v>
      </c>
      <c r="V84" s="70">
        <f t="shared" si="34"/>
        <v>150</v>
      </c>
      <c r="W84" s="130"/>
      <c r="X84" s="70">
        <f>SUM(M84:V84)</f>
        <v>324.10000000000002</v>
      </c>
      <c r="Y84" s="96">
        <f>X84-J84</f>
        <v>286</v>
      </c>
      <c r="Z84" s="94">
        <v>163.9</v>
      </c>
      <c r="AA84" s="94">
        <v>72.5</v>
      </c>
      <c r="AB84" s="97">
        <f>Y84+AA84</f>
        <v>358.5</v>
      </c>
      <c r="AC84" s="85">
        <f>85+41</f>
        <v>126</v>
      </c>
      <c r="AD84" s="96">
        <f>Z84-AC84</f>
        <v>37.900000000000006</v>
      </c>
      <c r="AE84" s="96">
        <f>Y84-Z84</f>
        <v>122.1</v>
      </c>
      <c r="AF84" s="85">
        <v>72</v>
      </c>
      <c r="AG84" s="96">
        <f>AE84-AF84</f>
        <v>50.099999999999994</v>
      </c>
      <c r="AH84" s="49"/>
      <c r="AI84" s="98">
        <f>(SUM(Z84:AA84)/(1+10/100))*(10/100)</f>
        <v>21.490909090909092</v>
      </c>
      <c r="AJ84" s="49"/>
      <c r="AK84" s="49"/>
      <c r="AL84" s="49"/>
    </row>
    <row r="85" spans="1:38" ht="12.75" x14ac:dyDescent="0.2">
      <c r="AD85" s="38">
        <v>-10</v>
      </c>
    </row>
    <row r="86" spans="1:38" ht="38.25" x14ac:dyDescent="0.2">
      <c r="A86" s="83" t="s">
        <v>135</v>
      </c>
      <c r="B86" s="84"/>
      <c r="C86" s="85"/>
      <c r="D86" s="85"/>
      <c r="E86" s="85"/>
      <c r="F86" s="85"/>
      <c r="G86" s="85"/>
      <c r="H86" s="85"/>
      <c r="I86" s="85"/>
      <c r="J86" s="85"/>
      <c r="K86" s="86"/>
      <c r="L86" s="83" t="s">
        <v>136</v>
      </c>
      <c r="M86" s="84">
        <v>45951</v>
      </c>
      <c r="N86" s="85"/>
      <c r="O86" s="85"/>
      <c r="P86" s="85"/>
      <c r="Q86" s="85"/>
      <c r="R86" s="85"/>
      <c r="S86" s="85"/>
      <c r="T86" s="85"/>
      <c r="U86" s="85"/>
      <c r="V86" s="85"/>
      <c r="W86" s="88" t="s">
        <v>333</v>
      </c>
      <c r="X86" s="87" t="s">
        <v>141</v>
      </c>
      <c r="Y86" s="88" t="s">
        <v>192</v>
      </c>
      <c r="Z86" s="89" t="s">
        <v>142</v>
      </c>
      <c r="AA86" s="90" t="s">
        <v>193</v>
      </c>
      <c r="AB86" s="91" t="s">
        <v>194</v>
      </c>
      <c r="AC86" s="88" t="s">
        <v>312</v>
      </c>
      <c r="AD86" s="87" t="s">
        <v>195</v>
      </c>
      <c r="AE86" s="87" t="s">
        <v>196</v>
      </c>
      <c r="AF86" s="88" t="s">
        <v>313</v>
      </c>
      <c r="AG86" s="87" t="s">
        <v>198</v>
      </c>
      <c r="AH86" s="49"/>
      <c r="AI86" s="92"/>
      <c r="AJ86" s="49"/>
      <c r="AK86" s="49"/>
      <c r="AL86" s="49"/>
    </row>
    <row r="87" spans="1:38" ht="12.75" x14ac:dyDescent="0.2">
      <c r="A87" s="87" t="s">
        <v>199</v>
      </c>
      <c r="B87" s="93">
        <v>0.05</v>
      </c>
      <c r="C87" s="93">
        <v>0.1</v>
      </c>
      <c r="D87" s="93">
        <v>0.2</v>
      </c>
      <c r="E87" s="93">
        <v>0.5</v>
      </c>
      <c r="F87" s="93">
        <v>1</v>
      </c>
      <c r="G87" s="93">
        <v>2</v>
      </c>
      <c r="H87" s="93">
        <v>5</v>
      </c>
      <c r="I87" s="93">
        <v>10</v>
      </c>
      <c r="J87" s="49"/>
      <c r="K87" s="86"/>
      <c r="L87" s="87" t="s">
        <v>199</v>
      </c>
      <c r="M87" s="93">
        <v>0.05</v>
      </c>
      <c r="N87" s="93">
        <v>0.1</v>
      </c>
      <c r="O87" s="93">
        <v>0.2</v>
      </c>
      <c r="P87" s="93">
        <v>0.5</v>
      </c>
      <c r="Q87" s="93">
        <v>1</v>
      </c>
      <c r="R87" s="93">
        <v>2</v>
      </c>
      <c r="S87" s="93">
        <v>5</v>
      </c>
      <c r="T87" s="93">
        <v>10</v>
      </c>
      <c r="U87" s="93">
        <v>20</v>
      </c>
      <c r="V87" s="93">
        <v>50</v>
      </c>
      <c r="W87" s="129"/>
      <c r="X87" s="85"/>
      <c r="Y87" s="85"/>
      <c r="Z87" s="49"/>
      <c r="AA87" s="94"/>
      <c r="AB87" s="95"/>
      <c r="AC87" s="85"/>
      <c r="AD87" s="85"/>
      <c r="AE87" s="85"/>
      <c r="AF87" s="85"/>
      <c r="AG87" s="85"/>
      <c r="AH87" s="49"/>
      <c r="AI87" s="92"/>
      <c r="AJ87" s="49"/>
      <c r="AK87" s="49"/>
      <c r="AL87" s="49"/>
    </row>
    <row r="88" spans="1:38" ht="12.75" x14ac:dyDescent="0.2">
      <c r="A88" s="87" t="s">
        <v>200</v>
      </c>
      <c r="I88" s="85"/>
      <c r="J88" s="85"/>
      <c r="K88" s="86"/>
      <c r="L88" s="87" t="s">
        <v>200</v>
      </c>
      <c r="M88" s="38">
        <v>108</v>
      </c>
      <c r="N88" s="38">
        <v>34</v>
      </c>
      <c r="O88" s="38">
        <v>14</v>
      </c>
      <c r="P88" s="38">
        <v>5</v>
      </c>
      <c r="Q88" s="38">
        <v>10</v>
      </c>
      <c r="R88" s="38">
        <v>6</v>
      </c>
      <c r="S88" s="38">
        <v>5</v>
      </c>
      <c r="T88" s="49">
        <v>9</v>
      </c>
      <c r="U88" s="49">
        <v>3</v>
      </c>
      <c r="V88" s="85">
        <v>1</v>
      </c>
      <c r="W88" s="129"/>
      <c r="X88" s="85"/>
      <c r="Y88" s="85"/>
      <c r="Z88" s="49"/>
      <c r="AA88" s="94"/>
      <c r="AB88" s="95"/>
      <c r="AC88" s="85"/>
      <c r="AD88" s="85"/>
      <c r="AE88" s="85"/>
      <c r="AF88" s="85"/>
      <c r="AG88" s="85"/>
      <c r="AH88" s="49"/>
      <c r="AI88" s="92"/>
      <c r="AJ88" s="49"/>
      <c r="AK88" s="49"/>
      <c r="AL88" s="49"/>
    </row>
    <row r="89" spans="1:38" ht="12.75" x14ac:dyDescent="0.2">
      <c r="A89" s="87" t="s">
        <v>141</v>
      </c>
      <c r="B89" s="70">
        <f t="shared" ref="B89:H89" si="35">B88*B87</f>
        <v>0</v>
      </c>
      <c r="C89" s="70">
        <f t="shared" si="35"/>
        <v>0</v>
      </c>
      <c r="D89" s="70">
        <f t="shared" si="35"/>
        <v>0</v>
      </c>
      <c r="E89" s="70">
        <f t="shared" si="35"/>
        <v>0</v>
      </c>
      <c r="F89" s="70">
        <f t="shared" si="35"/>
        <v>0</v>
      </c>
      <c r="G89" s="70">
        <f t="shared" si="35"/>
        <v>0</v>
      </c>
      <c r="H89" s="70">
        <f t="shared" si="35"/>
        <v>0</v>
      </c>
      <c r="I89" s="70">
        <f>J88*I87</f>
        <v>0</v>
      </c>
      <c r="J89" s="70">
        <f>SUM(B89:I89)</f>
        <v>0</v>
      </c>
      <c r="K89" s="86"/>
      <c r="L89" s="87" t="s">
        <v>141</v>
      </c>
      <c r="M89" s="70">
        <f t="shared" ref="M89:V89" si="36">M88*M87</f>
        <v>5.4</v>
      </c>
      <c r="N89" s="70">
        <f t="shared" si="36"/>
        <v>3.4000000000000004</v>
      </c>
      <c r="O89" s="70">
        <f t="shared" si="36"/>
        <v>2.8000000000000003</v>
      </c>
      <c r="P89" s="70">
        <f t="shared" si="36"/>
        <v>2.5</v>
      </c>
      <c r="Q89" s="70">
        <f t="shared" si="36"/>
        <v>10</v>
      </c>
      <c r="R89" s="70">
        <f t="shared" si="36"/>
        <v>12</v>
      </c>
      <c r="S89" s="70">
        <f t="shared" si="36"/>
        <v>25</v>
      </c>
      <c r="T89" s="70">
        <f t="shared" si="36"/>
        <v>90</v>
      </c>
      <c r="U89" s="70">
        <f t="shared" si="36"/>
        <v>60</v>
      </c>
      <c r="V89" s="70">
        <f t="shared" si="36"/>
        <v>50</v>
      </c>
      <c r="W89" s="130"/>
      <c r="X89" s="70">
        <f>SUM(M89:V89)</f>
        <v>261.10000000000002</v>
      </c>
      <c r="Y89" s="96">
        <f>X89-J89</f>
        <v>261.10000000000002</v>
      </c>
      <c r="Z89" s="94">
        <v>111.6</v>
      </c>
      <c r="AA89" s="94">
        <v>59.7</v>
      </c>
      <c r="AB89" s="97">
        <f>Y89+AA89</f>
        <v>320.8</v>
      </c>
      <c r="AC89" s="85">
        <v>50</v>
      </c>
      <c r="AD89" s="96">
        <f>Z89-AC89</f>
        <v>61.599999999999994</v>
      </c>
      <c r="AE89" s="96">
        <f>Y89-Z89</f>
        <v>149.50000000000003</v>
      </c>
      <c r="AF89" s="85">
        <v>44</v>
      </c>
      <c r="AG89" s="96">
        <f>AE89-AF89</f>
        <v>105.50000000000003</v>
      </c>
      <c r="AH89" s="49"/>
      <c r="AI89" s="98">
        <f>(SUM(Z89:AA89)/(1+10/100))*(10/100)</f>
        <v>15.572727272727272</v>
      </c>
      <c r="AJ89" s="49"/>
      <c r="AK89" s="49"/>
      <c r="AL89" s="49"/>
    </row>
    <row r="91" spans="1:38" ht="38.25" x14ac:dyDescent="0.2">
      <c r="A91" s="83" t="s">
        <v>135</v>
      </c>
      <c r="B91" s="84">
        <v>45952</v>
      </c>
      <c r="C91" s="85"/>
      <c r="D91" s="85"/>
      <c r="E91" s="85"/>
      <c r="F91" s="85"/>
      <c r="G91" s="85"/>
      <c r="H91" s="85"/>
      <c r="I91" s="85"/>
      <c r="J91" s="85"/>
      <c r="K91" s="86"/>
      <c r="L91" s="83" t="s">
        <v>136</v>
      </c>
      <c r="M91" s="84">
        <v>45952</v>
      </c>
      <c r="N91" s="85"/>
      <c r="O91" s="85"/>
      <c r="P91" s="85"/>
      <c r="Q91" s="85"/>
      <c r="R91" s="85"/>
      <c r="S91" s="85"/>
      <c r="T91" s="85"/>
      <c r="U91" s="85"/>
      <c r="V91" s="85"/>
      <c r="W91" s="88" t="s">
        <v>333</v>
      </c>
      <c r="X91" s="87" t="s">
        <v>141</v>
      </c>
      <c r="Y91" s="88" t="s">
        <v>192</v>
      </c>
      <c r="Z91" s="89" t="s">
        <v>142</v>
      </c>
      <c r="AA91" s="90" t="s">
        <v>193</v>
      </c>
      <c r="AB91" s="91" t="s">
        <v>194</v>
      </c>
      <c r="AC91" s="88" t="s">
        <v>312</v>
      </c>
      <c r="AD91" s="87" t="s">
        <v>195</v>
      </c>
      <c r="AE91" s="87" t="s">
        <v>196</v>
      </c>
      <c r="AF91" s="88" t="s">
        <v>313</v>
      </c>
      <c r="AG91" s="87" t="s">
        <v>198</v>
      </c>
      <c r="AH91" s="49"/>
      <c r="AI91" s="92"/>
      <c r="AJ91" s="49"/>
      <c r="AK91" s="49"/>
      <c r="AL91" s="49"/>
    </row>
    <row r="92" spans="1:38" ht="12.75" x14ac:dyDescent="0.2">
      <c r="A92" s="87" t="s">
        <v>199</v>
      </c>
      <c r="B92" s="93">
        <v>0.05</v>
      </c>
      <c r="C92" s="93">
        <v>0.1</v>
      </c>
      <c r="D92" s="93">
        <v>0.2</v>
      </c>
      <c r="E92" s="93">
        <v>0.5</v>
      </c>
      <c r="F92" s="93">
        <v>1</v>
      </c>
      <c r="G92" s="93">
        <v>2</v>
      </c>
      <c r="H92" s="93">
        <v>5</v>
      </c>
      <c r="I92" s="93">
        <v>10</v>
      </c>
      <c r="J92" s="49"/>
      <c r="K92" s="86"/>
      <c r="L92" s="87" t="s">
        <v>199</v>
      </c>
      <c r="M92" s="93">
        <v>0.05</v>
      </c>
      <c r="N92" s="93">
        <v>0.1</v>
      </c>
      <c r="O92" s="93">
        <v>0.2</v>
      </c>
      <c r="P92" s="93">
        <v>0.5</v>
      </c>
      <c r="Q92" s="93">
        <v>1</v>
      </c>
      <c r="R92" s="93">
        <v>2</v>
      </c>
      <c r="S92" s="93">
        <v>5</v>
      </c>
      <c r="T92" s="93">
        <v>10</v>
      </c>
      <c r="U92" s="93">
        <v>20</v>
      </c>
      <c r="V92" s="93">
        <v>50</v>
      </c>
      <c r="W92" s="129"/>
      <c r="X92" s="85"/>
      <c r="Y92" s="85"/>
      <c r="Z92" s="49"/>
      <c r="AA92" s="94"/>
      <c r="AB92" s="95"/>
      <c r="AC92" s="85"/>
      <c r="AD92" s="85"/>
      <c r="AE92" s="85"/>
      <c r="AF92" s="85"/>
      <c r="AG92" s="85"/>
      <c r="AH92" s="49"/>
      <c r="AI92" s="92"/>
      <c r="AJ92" s="49"/>
      <c r="AK92" s="49"/>
      <c r="AL92" s="49"/>
    </row>
    <row r="93" spans="1:38" ht="12.75" x14ac:dyDescent="0.2">
      <c r="A93" s="87" t="s">
        <v>200</v>
      </c>
      <c r="B93" s="38">
        <v>108</v>
      </c>
      <c r="C93" s="38">
        <v>34</v>
      </c>
      <c r="D93" s="38">
        <v>14</v>
      </c>
      <c r="E93" s="38">
        <v>5</v>
      </c>
      <c r="F93" s="38">
        <v>6</v>
      </c>
      <c r="G93" s="38">
        <v>5</v>
      </c>
      <c r="H93" s="38">
        <v>2</v>
      </c>
      <c r="I93" s="85"/>
      <c r="J93" s="85"/>
      <c r="K93" s="86"/>
      <c r="L93" s="87" t="s">
        <v>200</v>
      </c>
      <c r="M93" s="38">
        <v>104</v>
      </c>
      <c r="N93" s="38">
        <v>22</v>
      </c>
      <c r="O93" s="38">
        <v>7</v>
      </c>
      <c r="P93" s="38">
        <v>18</v>
      </c>
      <c r="Q93" s="38">
        <v>23</v>
      </c>
      <c r="R93" s="38">
        <v>23</v>
      </c>
      <c r="S93" s="38">
        <v>6</v>
      </c>
      <c r="T93" s="49">
        <v>4</v>
      </c>
      <c r="U93" s="49">
        <v>5</v>
      </c>
      <c r="V93" s="85">
        <v>3</v>
      </c>
      <c r="W93" s="129"/>
      <c r="X93" s="85"/>
      <c r="Y93" s="85"/>
      <c r="Z93" s="49"/>
      <c r="AA93" s="94"/>
      <c r="AB93" s="95"/>
      <c r="AC93" s="85"/>
      <c r="AD93" s="85"/>
      <c r="AE93" s="85"/>
      <c r="AF93" s="85"/>
      <c r="AG93" s="85"/>
      <c r="AH93" s="49"/>
      <c r="AI93" s="92"/>
      <c r="AJ93" s="49"/>
      <c r="AK93" s="49"/>
      <c r="AL93" s="49"/>
    </row>
    <row r="94" spans="1:38" ht="12.75" x14ac:dyDescent="0.2">
      <c r="A94" s="87" t="s">
        <v>141</v>
      </c>
      <c r="B94" s="70">
        <f t="shared" ref="B94:H94" si="37">B93*B92</f>
        <v>5.4</v>
      </c>
      <c r="C94" s="70">
        <f t="shared" si="37"/>
        <v>3.4000000000000004</v>
      </c>
      <c r="D94" s="70">
        <f t="shared" si="37"/>
        <v>2.8000000000000003</v>
      </c>
      <c r="E94" s="70">
        <f t="shared" si="37"/>
        <v>2.5</v>
      </c>
      <c r="F94" s="70">
        <f t="shared" si="37"/>
        <v>6</v>
      </c>
      <c r="G94" s="70">
        <f t="shared" si="37"/>
        <v>10</v>
      </c>
      <c r="H94" s="70">
        <f t="shared" si="37"/>
        <v>10</v>
      </c>
      <c r="I94" s="70">
        <f>J93*I92</f>
        <v>0</v>
      </c>
      <c r="J94" s="70">
        <f>SUM(B94:I94)</f>
        <v>40.1</v>
      </c>
      <c r="K94" s="86"/>
      <c r="L94" s="87" t="s">
        <v>141</v>
      </c>
      <c r="M94" s="70">
        <f t="shared" ref="M94:V94" si="38">M93*M92</f>
        <v>5.2</v>
      </c>
      <c r="N94" s="70">
        <f t="shared" si="38"/>
        <v>2.2000000000000002</v>
      </c>
      <c r="O94" s="70">
        <f t="shared" si="38"/>
        <v>1.4000000000000001</v>
      </c>
      <c r="P94" s="70">
        <f t="shared" si="38"/>
        <v>9</v>
      </c>
      <c r="Q94" s="70">
        <f t="shared" si="38"/>
        <v>23</v>
      </c>
      <c r="R94" s="70">
        <f t="shared" si="38"/>
        <v>46</v>
      </c>
      <c r="S94" s="70">
        <f t="shared" si="38"/>
        <v>30</v>
      </c>
      <c r="T94" s="70">
        <f t="shared" si="38"/>
        <v>40</v>
      </c>
      <c r="U94" s="70">
        <f t="shared" si="38"/>
        <v>100</v>
      </c>
      <c r="V94" s="70">
        <f t="shared" si="38"/>
        <v>150</v>
      </c>
      <c r="W94" s="130"/>
      <c r="X94" s="70">
        <f>SUM(M94:V94)</f>
        <v>406.8</v>
      </c>
      <c r="Y94" s="96">
        <f>X94-J94</f>
        <v>366.7</v>
      </c>
      <c r="Z94" s="94">
        <v>110.2</v>
      </c>
      <c r="AA94" s="94">
        <v>217.4</v>
      </c>
      <c r="AB94" s="97">
        <f>Y94+AA94</f>
        <v>584.1</v>
      </c>
      <c r="AC94" s="85">
        <v>70</v>
      </c>
      <c r="AD94" s="96">
        <f>Z94-AC94</f>
        <v>40.200000000000003</v>
      </c>
      <c r="AE94" s="96">
        <f>Y94-Z94</f>
        <v>256.5</v>
      </c>
      <c r="AF94" s="85">
        <v>100</v>
      </c>
      <c r="AG94" s="96">
        <f>AE94-AF94</f>
        <v>156.5</v>
      </c>
      <c r="AH94" s="49"/>
      <c r="AI94" s="98">
        <f>(SUM(Z94:AA94)/(1+10/100))*(10/100)</f>
        <v>29.781818181818181</v>
      </c>
      <c r="AJ94" s="49"/>
      <c r="AK94" s="49"/>
      <c r="AL94" s="49"/>
    </row>
    <row r="96" spans="1:38" ht="38.25" x14ac:dyDescent="0.2">
      <c r="A96" s="83" t="s">
        <v>135</v>
      </c>
      <c r="B96" s="84">
        <v>45953</v>
      </c>
      <c r="C96" s="85"/>
      <c r="D96" s="85"/>
      <c r="E96" s="85"/>
      <c r="F96" s="85"/>
      <c r="G96" s="85"/>
      <c r="H96" s="85"/>
      <c r="I96" s="85"/>
      <c r="J96" s="85"/>
      <c r="K96" s="86"/>
      <c r="L96" s="83" t="s">
        <v>136</v>
      </c>
      <c r="M96" s="84">
        <v>45953</v>
      </c>
      <c r="N96" s="85"/>
      <c r="O96" s="85"/>
      <c r="P96" s="85"/>
      <c r="Q96" s="85"/>
      <c r="R96" s="85"/>
      <c r="S96" s="85"/>
      <c r="T96" s="85"/>
      <c r="U96" s="85"/>
      <c r="V96" s="85"/>
      <c r="W96" s="88" t="s">
        <v>333</v>
      </c>
      <c r="X96" s="87" t="s">
        <v>141</v>
      </c>
      <c r="Y96" s="88" t="s">
        <v>192</v>
      </c>
      <c r="Z96" s="89" t="s">
        <v>142</v>
      </c>
      <c r="AA96" s="90" t="s">
        <v>193</v>
      </c>
      <c r="AB96" s="91" t="s">
        <v>194</v>
      </c>
      <c r="AC96" s="88" t="s">
        <v>312</v>
      </c>
      <c r="AD96" s="87" t="s">
        <v>195</v>
      </c>
      <c r="AE96" s="87" t="s">
        <v>196</v>
      </c>
      <c r="AF96" s="88" t="s">
        <v>313</v>
      </c>
      <c r="AG96" s="87" t="s">
        <v>198</v>
      </c>
      <c r="AH96" s="49"/>
      <c r="AI96" s="92"/>
      <c r="AJ96" s="49"/>
      <c r="AK96" s="49"/>
      <c r="AL96" s="49"/>
    </row>
    <row r="97" spans="1:38" ht="12.75" x14ac:dyDescent="0.2">
      <c r="A97" s="87" t="s">
        <v>199</v>
      </c>
      <c r="B97" s="93">
        <v>0.05</v>
      </c>
      <c r="C97" s="93">
        <v>0.1</v>
      </c>
      <c r="D97" s="93">
        <v>0.2</v>
      </c>
      <c r="E97" s="93">
        <v>0.5</v>
      </c>
      <c r="F97" s="93">
        <v>1</v>
      </c>
      <c r="G97" s="93">
        <v>2</v>
      </c>
      <c r="H97" s="93">
        <v>5</v>
      </c>
      <c r="I97" s="93">
        <v>10</v>
      </c>
      <c r="J97" s="49"/>
      <c r="K97" s="86"/>
      <c r="L97" s="87" t="s">
        <v>199</v>
      </c>
      <c r="M97" s="93">
        <v>0.05</v>
      </c>
      <c r="N97" s="93">
        <v>0.1</v>
      </c>
      <c r="O97" s="93">
        <v>0.2</v>
      </c>
      <c r="P97" s="93">
        <v>0.5</v>
      </c>
      <c r="Q97" s="93">
        <v>1</v>
      </c>
      <c r="R97" s="93">
        <v>2</v>
      </c>
      <c r="S97" s="93">
        <v>5</v>
      </c>
      <c r="T97" s="93">
        <v>10</v>
      </c>
      <c r="U97" s="93">
        <v>20</v>
      </c>
      <c r="V97" s="93">
        <v>50</v>
      </c>
      <c r="W97" s="129"/>
      <c r="X97" s="85"/>
      <c r="Y97" s="85"/>
      <c r="Z97" s="49"/>
      <c r="AA97" s="94"/>
      <c r="AB97" s="95"/>
      <c r="AC97" s="85"/>
      <c r="AD97" s="85"/>
      <c r="AE97" s="85"/>
      <c r="AF97" s="85"/>
      <c r="AG97" s="85"/>
      <c r="AH97" s="49"/>
      <c r="AI97" s="92"/>
      <c r="AJ97" s="49"/>
      <c r="AK97" s="49"/>
      <c r="AL97" s="49"/>
    </row>
    <row r="98" spans="1:38" ht="12.75" x14ac:dyDescent="0.2">
      <c r="A98" s="87" t="s">
        <v>200</v>
      </c>
      <c r="B98" s="38">
        <v>104</v>
      </c>
      <c r="C98" s="38">
        <v>22</v>
      </c>
      <c r="D98" s="38">
        <v>7</v>
      </c>
      <c r="E98" s="38">
        <v>18</v>
      </c>
      <c r="F98" s="38">
        <v>10</v>
      </c>
      <c r="G98" s="38">
        <v>5</v>
      </c>
      <c r="H98" s="38">
        <v>1</v>
      </c>
      <c r="I98" s="85"/>
      <c r="J98" s="85"/>
      <c r="K98" s="86"/>
      <c r="L98" s="87" t="s">
        <v>200</v>
      </c>
      <c r="M98" s="38">
        <v>104</v>
      </c>
      <c r="N98" s="38">
        <v>31</v>
      </c>
      <c r="O98" s="38">
        <v>8</v>
      </c>
      <c r="P98" s="38">
        <v>14</v>
      </c>
      <c r="Q98" s="38">
        <v>10</v>
      </c>
      <c r="R98" s="38">
        <v>11</v>
      </c>
      <c r="S98" s="38">
        <v>16</v>
      </c>
      <c r="T98" s="49">
        <v>6</v>
      </c>
      <c r="U98" s="49">
        <v>6</v>
      </c>
      <c r="V98" s="85"/>
      <c r="W98" s="129"/>
      <c r="X98" s="85"/>
      <c r="Y98" s="85"/>
      <c r="Z98" s="49"/>
      <c r="AA98" s="94"/>
      <c r="AB98" s="95"/>
      <c r="AC98" s="85"/>
      <c r="AD98" s="85"/>
      <c r="AE98" s="85"/>
      <c r="AF98" s="85"/>
      <c r="AG98" s="85"/>
      <c r="AH98" s="49"/>
      <c r="AI98" s="92"/>
      <c r="AJ98" s="49"/>
      <c r="AK98" s="49"/>
      <c r="AL98" s="49"/>
    </row>
    <row r="99" spans="1:38" ht="12.75" x14ac:dyDescent="0.2">
      <c r="A99" s="87" t="s">
        <v>141</v>
      </c>
      <c r="B99" s="70">
        <f t="shared" ref="B99:H99" si="39">B98*B97</f>
        <v>5.2</v>
      </c>
      <c r="C99" s="70">
        <f t="shared" si="39"/>
        <v>2.2000000000000002</v>
      </c>
      <c r="D99" s="70">
        <f t="shared" si="39"/>
        <v>1.4000000000000001</v>
      </c>
      <c r="E99" s="70">
        <f t="shared" si="39"/>
        <v>9</v>
      </c>
      <c r="F99" s="70">
        <f t="shared" si="39"/>
        <v>10</v>
      </c>
      <c r="G99" s="70">
        <f t="shared" si="39"/>
        <v>10</v>
      </c>
      <c r="H99" s="70">
        <f t="shared" si="39"/>
        <v>5</v>
      </c>
      <c r="I99" s="70">
        <f>J98*I97</f>
        <v>0</v>
      </c>
      <c r="J99" s="70">
        <f>SUM(B99:I99)</f>
        <v>42.8</v>
      </c>
      <c r="K99" s="86"/>
      <c r="L99" s="87" t="s">
        <v>141</v>
      </c>
      <c r="M99" s="70">
        <f t="shared" ref="M99:V99" si="40">M98*M97</f>
        <v>5.2</v>
      </c>
      <c r="N99" s="70">
        <f t="shared" si="40"/>
        <v>3.1</v>
      </c>
      <c r="O99" s="70">
        <f t="shared" si="40"/>
        <v>1.6</v>
      </c>
      <c r="P99" s="70">
        <f t="shared" si="40"/>
        <v>7</v>
      </c>
      <c r="Q99" s="70">
        <f t="shared" si="40"/>
        <v>10</v>
      </c>
      <c r="R99" s="70">
        <f t="shared" si="40"/>
        <v>22</v>
      </c>
      <c r="S99" s="70">
        <f t="shared" si="40"/>
        <v>80</v>
      </c>
      <c r="T99" s="70">
        <f t="shared" si="40"/>
        <v>60</v>
      </c>
      <c r="U99" s="70">
        <f t="shared" si="40"/>
        <v>120</v>
      </c>
      <c r="V99" s="70">
        <f t="shared" si="40"/>
        <v>0</v>
      </c>
      <c r="W99" s="130"/>
      <c r="X99" s="70">
        <f>SUM(M99:V99)</f>
        <v>308.89999999999998</v>
      </c>
      <c r="Y99" s="96">
        <f>X99-J99</f>
        <v>266.09999999999997</v>
      </c>
      <c r="Z99" s="94">
        <v>151.9</v>
      </c>
      <c r="AA99" s="94">
        <v>37.299999999999997</v>
      </c>
      <c r="AB99" s="97">
        <f>Y99+AA99</f>
        <v>303.39999999999998</v>
      </c>
      <c r="AC99" s="85">
        <v>70</v>
      </c>
      <c r="AD99" s="96">
        <f>Z99-AC99</f>
        <v>81.900000000000006</v>
      </c>
      <c r="AE99" s="96">
        <f>Y99-Z99</f>
        <v>114.19999999999996</v>
      </c>
      <c r="AF99" s="85">
        <v>40</v>
      </c>
      <c r="AG99" s="96">
        <f>AE99-AF99</f>
        <v>74.19999999999996</v>
      </c>
      <c r="AH99" s="49"/>
      <c r="AI99" s="98">
        <f>(SUM(Z99:AA99)/(1+10/100))*(10/100)</f>
        <v>17.2</v>
      </c>
      <c r="AJ99" s="49"/>
      <c r="AK99" s="49"/>
      <c r="AL99" s="49"/>
    </row>
    <row r="101" spans="1:38" ht="38.25" x14ac:dyDescent="0.2">
      <c r="A101" s="83" t="s">
        <v>135</v>
      </c>
      <c r="B101" s="84">
        <v>45954</v>
      </c>
      <c r="C101" s="85"/>
      <c r="D101" s="85"/>
      <c r="E101" s="85"/>
      <c r="F101" s="85"/>
      <c r="G101" s="85"/>
      <c r="H101" s="85"/>
      <c r="I101" s="85"/>
      <c r="J101" s="85"/>
      <c r="K101" s="86"/>
      <c r="L101" s="83" t="s">
        <v>136</v>
      </c>
      <c r="M101" s="84">
        <v>45954</v>
      </c>
      <c r="N101" s="85"/>
      <c r="O101" s="85"/>
      <c r="P101" s="85"/>
      <c r="Q101" s="85"/>
      <c r="R101" s="85"/>
      <c r="S101" s="85"/>
      <c r="T101" s="85"/>
      <c r="U101" s="85"/>
      <c r="V101" s="85"/>
      <c r="W101" s="88" t="s">
        <v>333</v>
      </c>
      <c r="X101" s="87" t="s">
        <v>141</v>
      </c>
      <c r="Y101" s="88" t="s">
        <v>192</v>
      </c>
      <c r="Z101" s="89" t="s">
        <v>142</v>
      </c>
      <c r="AA101" s="90" t="s">
        <v>193</v>
      </c>
      <c r="AB101" s="91" t="s">
        <v>194</v>
      </c>
      <c r="AC101" s="88" t="s">
        <v>312</v>
      </c>
      <c r="AD101" s="87" t="s">
        <v>195</v>
      </c>
      <c r="AE101" s="87" t="s">
        <v>196</v>
      </c>
      <c r="AF101" s="88" t="s">
        <v>313</v>
      </c>
      <c r="AG101" s="87" t="s">
        <v>198</v>
      </c>
      <c r="AH101" s="49"/>
      <c r="AI101" s="92"/>
      <c r="AJ101" s="49"/>
      <c r="AK101" s="49"/>
      <c r="AL101" s="49"/>
    </row>
    <row r="102" spans="1:38" ht="12.75" x14ac:dyDescent="0.2">
      <c r="A102" s="87" t="s">
        <v>199</v>
      </c>
      <c r="B102" s="93">
        <v>0.05</v>
      </c>
      <c r="C102" s="93">
        <v>0.1</v>
      </c>
      <c r="D102" s="93">
        <v>0.2</v>
      </c>
      <c r="E102" s="93">
        <v>0.5</v>
      </c>
      <c r="F102" s="93">
        <v>1</v>
      </c>
      <c r="G102" s="93">
        <v>2</v>
      </c>
      <c r="H102" s="93">
        <v>5</v>
      </c>
      <c r="I102" s="93">
        <v>10</v>
      </c>
      <c r="J102" s="49"/>
      <c r="K102" s="86"/>
      <c r="L102" s="87" t="s">
        <v>199</v>
      </c>
      <c r="M102" s="93">
        <v>0.05</v>
      </c>
      <c r="N102" s="93">
        <v>0.1</v>
      </c>
      <c r="O102" s="93">
        <v>0.2</v>
      </c>
      <c r="P102" s="93">
        <v>0.5</v>
      </c>
      <c r="Q102" s="93">
        <v>1</v>
      </c>
      <c r="R102" s="93">
        <v>2</v>
      </c>
      <c r="S102" s="93">
        <v>5</v>
      </c>
      <c r="T102" s="93">
        <v>10</v>
      </c>
      <c r="U102" s="93">
        <v>20</v>
      </c>
      <c r="V102" s="93">
        <v>50</v>
      </c>
      <c r="W102" s="129"/>
      <c r="X102" s="85"/>
      <c r="Y102" s="85"/>
      <c r="Z102" s="49"/>
      <c r="AA102" s="94"/>
      <c r="AB102" s="95"/>
      <c r="AC102" s="85"/>
      <c r="AD102" s="85"/>
      <c r="AE102" s="85"/>
      <c r="AF102" s="85"/>
      <c r="AG102" s="85"/>
      <c r="AH102" s="49"/>
      <c r="AI102" s="92"/>
      <c r="AJ102" s="49"/>
      <c r="AK102" s="49"/>
      <c r="AL102" s="49"/>
    </row>
    <row r="103" spans="1:38" ht="12.75" x14ac:dyDescent="0.2">
      <c r="A103" s="87" t="s">
        <v>200</v>
      </c>
      <c r="B103" s="38">
        <v>104</v>
      </c>
      <c r="C103" s="38">
        <v>31</v>
      </c>
      <c r="D103" s="38">
        <v>8</v>
      </c>
      <c r="E103" s="38">
        <v>14</v>
      </c>
      <c r="F103" s="38">
        <v>10</v>
      </c>
      <c r="G103" s="38">
        <v>6</v>
      </c>
      <c r="H103" s="38">
        <v>2</v>
      </c>
      <c r="I103" s="85"/>
      <c r="J103" s="85"/>
      <c r="K103" s="86"/>
      <c r="L103" s="87" t="s">
        <v>200</v>
      </c>
      <c r="M103" s="38">
        <v>108</v>
      </c>
      <c r="N103" s="38">
        <v>49</v>
      </c>
      <c r="O103" s="38">
        <v>5</v>
      </c>
      <c r="P103" s="38">
        <v>3</v>
      </c>
      <c r="Q103" s="38">
        <v>12</v>
      </c>
      <c r="R103" s="38">
        <v>7</v>
      </c>
      <c r="S103" s="38">
        <v>4</v>
      </c>
      <c r="T103" s="49">
        <v>4</v>
      </c>
      <c r="U103" s="49">
        <v>10</v>
      </c>
      <c r="V103" s="85">
        <v>2</v>
      </c>
      <c r="W103" s="129"/>
      <c r="X103" s="85"/>
      <c r="Y103" s="85"/>
      <c r="Z103" s="49"/>
      <c r="AA103" s="94"/>
      <c r="AB103" s="95"/>
      <c r="AC103" s="85"/>
      <c r="AD103" s="85"/>
      <c r="AE103" s="85"/>
      <c r="AF103" s="85"/>
      <c r="AG103" s="85"/>
      <c r="AH103" s="49"/>
      <c r="AI103" s="92"/>
      <c r="AJ103" s="49"/>
      <c r="AK103" s="49"/>
      <c r="AL103" s="49"/>
    </row>
    <row r="104" spans="1:38" ht="12.75" x14ac:dyDescent="0.2">
      <c r="A104" s="87" t="s">
        <v>141</v>
      </c>
      <c r="B104" s="70">
        <f t="shared" ref="B104:H104" si="41">B103*B102</f>
        <v>5.2</v>
      </c>
      <c r="C104" s="70">
        <f t="shared" si="41"/>
        <v>3.1</v>
      </c>
      <c r="D104" s="70">
        <f t="shared" si="41"/>
        <v>1.6</v>
      </c>
      <c r="E104" s="70">
        <f t="shared" si="41"/>
        <v>7</v>
      </c>
      <c r="F104" s="70">
        <f t="shared" si="41"/>
        <v>10</v>
      </c>
      <c r="G104" s="70">
        <f t="shared" si="41"/>
        <v>12</v>
      </c>
      <c r="H104" s="70">
        <f t="shared" si="41"/>
        <v>10</v>
      </c>
      <c r="I104" s="70">
        <f>J103*I102</f>
        <v>0</v>
      </c>
      <c r="J104" s="70">
        <f>SUM(B104:I104)</f>
        <v>48.9</v>
      </c>
      <c r="K104" s="86"/>
      <c r="L104" s="87" t="s">
        <v>141</v>
      </c>
      <c r="M104" s="70">
        <f t="shared" ref="M104:V104" si="42">M103*M102</f>
        <v>5.4</v>
      </c>
      <c r="N104" s="70">
        <f t="shared" si="42"/>
        <v>4.9000000000000004</v>
      </c>
      <c r="O104" s="70">
        <f t="shared" si="42"/>
        <v>1</v>
      </c>
      <c r="P104" s="70">
        <f t="shared" si="42"/>
        <v>1.5</v>
      </c>
      <c r="Q104" s="70">
        <f t="shared" si="42"/>
        <v>12</v>
      </c>
      <c r="R104" s="70">
        <f t="shared" si="42"/>
        <v>14</v>
      </c>
      <c r="S104" s="70">
        <f t="shared" si="42"/>
        <v>20</v>
      </c>
      <c r="T104" s="70">
        <f t="shared" si="42"/>
        <v>40</v>
      </c>
      <c r="U104" s="70">
        <f t="shared" si="42"/>
        <v>200</v>
      </c>
      <c r="V104" s="70">
        <f t="shared" si="42"/>
        <v>100</v>
      </c>
      <c r="W104" s="130"/>
      <c r="X104" s="70">
        <f>SUM(M104:V104)</f>
        <v>398.8</v>
      </c>
      <c r="Y104" s="96">
        <f>X104-J104</f>
        <v>349.90000000000003</v>
      </c>
      <c r="Z104" s="94">
        <v>140.9</v>
      </c>
      <c r="AA104" s="94">
        <v>92.7</v>
      </c>
      <c r="AB104" s="97">
        <f>Y104+AA104</f>
        <v>442.6</v>
      </c>
      <c r="AC104" s="85">
        <v>60</v>
      </c>
      <c r="AD104" s="96">
        <f>Z104-AC104</f>
        <v>80.900000000000006</v>
      </c>
      <c r="AE104" s="96">
        <f>Y104-Z104</f>
        <v>209.00000000000003</v>
      </c>
      <c r="AF104" s="85">
        <v>100</v>
      </c>
      <c r="AG104" s="96">
        <f>AE104-AF104</f>
        <v>109.00000000000003</v>
      </c>
      <c r="AH104" s="49"/>
      <c r="AI104" s="98">
        <f>(SUM(Z104:AA104)/(1+10/100))*(10/100)</f>
        <v>21.236363636363638</v>
      </c>
      <c r="AJ104" s="49"/>
      <c r="AK104" s="49"/>
      <c r="AL104" s="49"/>
    </row>
    <row r="106" spans="1:38" ht="38.25" x14ac:dyDescent="0.2">
      <c r="A106" s="83" t="s">
        <v>135</v>
      </c>
      <c r="B106" s="84">
        <v>45955</v>
      </c>
      <c r="C106" s="85"/>
      <c r="D106" s="85"/>
      <c r="E106" s="85"/>
      <c r="F106" s="85"/>
      <c r="G106" s="85"/>
      <c r="H106" s="85"/>
      <c r="I106" s="85"/>
      <c r="J106" s="85"/>
      <c r="K106" s="86"/>
      <c r="L106" s="83" t="s">
        <v>136</v>
      </c>
      <c r="M106" s="84">
        <v>45955</v>
      </c>
      <c r="N106" s="85"/>
      <c r="O106" s="85"/>
      <c r="P106" s="85"/>
      <c r="Q106" s="85"/>
      <c r="R106" s="85"/>
      <c r="S106" s="85"/>
      <c r="T106" s="85"/>
      <c r="U106" s="85"/>
      <c r="V106" s="85"/>
      <c r="W106" s="88" t="s">
        <v>333</v>
      </c>
      <c r="X106" s="87" t="s">
        <v>141</v>
      </c>
      <c r="Y106" s="88" t="s">
        <v>192</v>
      </c>
      <c r="Z106" s="89" t="s">
        <v>142</v>
      </c>
      <c r="AA106" s="90" t="s">
        <v>193</v>
      </c>
      <c r="AB106" s="91" t="s">
        <v>194</v>
      </c>
      <c r="AC106" s="88" t="s">
        <v>312</v>
      </c>
      <c r="AD106" s="87" t="s">
        <v>195</v>
      </c>
      <c r="AE106" s="87" t="s">
        <v>196</v>
      </c>
      <c r="AF106" s="88" t="s">
        <v>313</v>
      </c>
      <c r="AG106" s="87" t="s">
        <v>198</v>
      </c>
      <c r="AH106" s="49"/>
      <c r="AI106" s="92"/>
      <c r="AJ106" s="49"/>
      <c r="AK106" s="49"/>
      <c r="AL106" s="49"/>
    </row>
    <row r="107" spans="1:38" ht="12.75" x14ac:dyDescent="0.2">
      <c r="A107" s="87" t="s">
        <v>199</v>
      </c>
      <c r="B107" s="93">
        <v>0.05</v>
      </c>
      <c r="C107" s="93">
        <v>0.1</v>
      </c>
      <c r="D107" s="93">
        <v>0.2</v>
      </c>
      <c r="E107" s="93">
        <v>0.5</v>
      </c>
      <c r="F107" s="93">
        <v>1</v>
      </c>
      <c r="G107" s="93">
        <v>2</v>
      </c>
      <c r="H107" s="93">
        <v>5</v>
      </c>
      <c r="I107" s="93">
        <v>10</v>
      </c>
      <c r="J107" s="49"/>
      <c r="K107" s="86"/>
      <c r="L107" s="87" t="s">
        <v>199</v>
      </c>
      <c r="M107" s="93">
        <v>0.05</v>
      </c>
      <c r="N107" s="93">
        <v>0.1</v>
      </c>
      <c r="O107" s="93">
        <v>0.2</v>
      </c>
      <c r="P107" s="93">
        <v>0.5</v>
      </c>
      <c r="Q107" s="93">
        <v>1</v>
      </c>
      <c r="R107" s="93">
        <v>2</v>
      </c>
      <c r="S107" s="93">
        <v>5</v>
      </c>
      <c r="T107" s="93">
        <v>10</v>
      </c>
      <c r="U107" s="93">
        <v>20</v>
      </c>
      <c r="V107" s="93">
        <v>50</v>
      </c>
      <c r="W107" s="129"/>
      <c r="X107" s="85"/>
      <c r="Y107" s="85"/>
      <c r="Z107" s="49"/>
      <c r="AA107" s="94"/>
      <c r="AB107" s="95"/>
      <c r="AC107" s="85"/>
      <c r="AD107" s="85"/>
      <c r="AE107" s="85"/>
      <c r="AF107" s="85"/>
      <c r="AG107" s="85"/>
      <c r="AH107" s="49"/>
      <c r="AI107" s="92"/>
      <c r="AJ107" s="49"/>
      <c r="AK107" s="49"/>
      <c r="AL107" s="49"/>
    </row>
    <row r="108" spans="1:38" ht="12.75" x14ac:dyDescent="0.2">
      <c r="A108" s="87" t="s">
        <v>200</v>
      </c>
      <c r="B108" s="38">
        <v>108</v>
      </c>
      <c r="C108" s="38">
        <v>49</v>
      </c>
      <c r="D108" s="38">
        <v>5</v>
      </c>
      <c r="E108" s="38">
        <v>3</v>
      </c>
      <c r="F108" s="38">
        <v>10</v>
      </c>
      <c r="G108" s="38">
        <v>5</v>
      </c>
      <c r="H108" s="38">
        <v>2</v>
      </c>
      <c r="I108" s="85"/>
      <c r="J108" s="85"/>
      <c r="K108" s="86"/>
      <c r="L108" s="87" t="s">
        <v>200</v>
      </c>
      <c r="M108" s="38">
        <v>106</v>
      </c>
      <c r="N108" s="38">
        <v>20</v>
      </c>
      <c r="O108" s="38">
        <v>1</v>
      </c>
      <c r="P108" s="38">
        <v>0</v>
      </c>
      <c r="Q108" s="38">
        <v>3</v>
      </c>
      <c r="R108" s="38">
        <v>5</v>
      </c>
      <c r="S108" s="38">
        <v>5</v>
      </c>
      <c r="T108" s="49"/>
      <c r="U108" s="49">
        <v>9</v>
      </c>
      <c r="V108" s="85">
        <v>1</v>
      </c>
      <c r="W108" s="129"/>
      <c r="X108" s="85"/>
      <c r="Y108" s="85"/>
      <c r="Z108" s="49"/>
      <c r="AA108" s="94"/>
      <c r="AB108" s="95"/>
      <c r="AC108" s="85"/>
      <c r="AD108" s="85"/>
      <c r="AE108" s="85"/>
      <c r="AF108" s="85"/>
      <c r="AG108" s="85"/>
      <c r="AH108" s="49"/>
      <c r="AI108" s="92"/>
      <c r="AJ108" s="49"/>
      <c r="AK108" s="49"/>
      <c r="AL108" s="49"/>
    </row>
    <row r="109" spans="1:38" ht="12.75" x14ac:dyDescent="0.2">
      <c r="A109" s="87" t="s">
        <v>141</v>
      </c>
      <c r="B109" s="70">
        <v>5.4</v>
      </c>
      <c r="C109" s="70">
        <v>4.9000000000000004</v>
      </c>
      <c r="D109" s="70">
        <f t="shared" ref="D109:H109" si="43">D108*D107</f>
        <v>1</v>
      </c>
      <c r="E109" s="70">
        <f t="shared" si="43"/>
        <v>1.5</v>
      </c>
      <c r="F109" s="70">
        <f t="shared" si="43"/>
        <v>10</v>
      </c>
      <c r="G109" s="70">
        <f t="shared" si="43"/>
        <v>10</v>
      </c>
      <c r="H109" s="70">
        <f t="shared" si="43"/>
        <v>10</v>
      </c>
      <c r="I109" s="70">
        <f>J108*I107</f>
        <v>0</v>
      </c>
      <c r="J109" s="70">
        <f>SUM(B109:I109)</f>
        <v>42.8</v>
      </c>
      <c r="K109" s="86"/>
      <c r="L109" s="87" t="s">
        <v>141</v>
      </c>
      <c r="M109" s="70">
        <f t="shared" ref="M109:V109" si="44">M108*M107</f>
        <v>5.3000000000000007</v>
      </c>
      <c r="N109" s="70">
        <f t="shared" si="44"/>
        <v>2</v>
      </c>
      <c r="O109" s="70">
        <f t="shared" si="44"/>
        <v>0.2</v>
      </c>
      <c r="P109" s="70">
        <f t="shared" si="44"/>
        <v>0</v>
      </c>
      <c r="Q109" s="70">
        <f t="shared" si="44"/>
        <v>3</v>
      </c>
      <c r="R109" s="70">
        <f t="shared" si="44"/>
        <v>10</v>
      </c>
      <c r="S109" s="70">
        <f t="shared" si="44"/>
        <v>25</v>
      </c>
      <c r="T109" s="70">
        <f t="shared" si="44"/>
        <v>0</v>
      </c>
      <c r="U109" s="70">
        <f t="shared" si="44"/>
        <v>180</v>
      </c>
      <c r="V109" s="70">
        <f t="shared" si="44"/>
        <v>50</v>
      </c>
      <c r="W109" s="130"/>
      <c r="X109" s="70">
        <f>SUM(M109:V109)</f>
        <v>275.5</v>
      </c>
      <c r="Y109" s="96">
        <f>X109-J109</f>
        <v>232.7</v>
      </c>
      <c r="Z109" s="94">
        <v>134.30000000000001</v>
      </c>
      <c r="AA109" s="94">
        <v>194.5</v>
      </c>
      <c r="AB109" s="97">
        <f>Y109+AA109</f>
        <v>427.2</v>
      </c>
      <c r="AC109" s="85">
        <v>100</v>
      </c>
      <c r="AD109" s="96">
        <f>Z109-AC109</f>
        <v>34.300000000000011</v>
      </c>
      <c r="AE109" s="96">
        <f>Y109-Z109</f>
        <v>98.399999999999977</v>
      </c>
      <c r="AF109" s="85"/>
      <c r="AG109" s="96">
        <f>AE109-AF109</f>
        <v>98.399999999999977</v>
      </c>
      <c r="AH109" s="49"/>
      <c r="AI109" s="98">
        <f>(SUM(Z109:AA109)/(1+10/100))*(10/100)</f>
        <v>29.890909090909091</v>
      </c>
      <c r="AJ109" s="49"/>
      <c r="AK109" s="49"/>
      <c r="AL109" s="49"/>
    </row>
    <row r="111" spans="1:38" ht="38.25" x14ac:dyDescent="0.2">
      <c r="A111" s="83" t="s">
        <v>135</v>
      </c>
      <c r="B111" s="84">
        <v>45957</v>
      </c>
      <c r="C111" s="85"/>
      <c r="D111" s="85"/>
      <c r="E111" s="85"/>
      <c r="F111" s="85"/>
      <c r="G111" s="85"/>
      <c r="H111" s="85"/>
      <c r="I111" s="85"/>
      <c r="J111" s="85"/>
      <c r="K111" s="86"/>
      <c r="L111" s="83" t="s">
        <v>136</v>
      </c>
      <c r="M111" s="84">
        <v>45957</v>
      </c>
      <c r="N111" s="85"/>
      <c r="O111" s="85"/>
      <c r="P111" s="85"/>
      <c r="Q111" s="85"/>
      <c r="R111" s="85"/>
      <c r="S111" s="85"/>
      <c r="T111" s="85"/>
      <c r="U111" s="85"/>
      <c r="V111" s="85"/>
      <c r="W111" s="88" t="s">
        <v>333</v>
      </c>
      <c r="X111" s="87" t="s">
        <v>141</v>
      </c>
      <c r="Y111" s="88" t="s">
        <v>192</v>
      </c>
      <c r="Z111" s="89" t="s">
        <v>142</v>
      </c>
      <c r="AA111" s="90" t="s">
        <v>193</v>
      </c>
      <c r="AB111" s="91" t="s">
        <v>194</v>
      </c>
      <c r="AC111" s="88" t="s">
        <v>312</v>
      </c>
      <c r="AD111" s="87" t="s">
        <v>195</v>
      </c>
      <c r="AE111" s="87" t="s">
        <v>196</v>
      </c>
      <c r="AF111" s="88" t="s">
        <v>313</v>
      </c>
      <c r="AG111" s="87" t="s">
        <v>198</v>
      </c>
      <c r="AH111" s="49"/>
      <c r="AI111" s="92"/>
      <c r="AJ111" s="49"/>
      <c r="AK111" s="49"/>
      <c r="AL111" s="49"/>
    </row>
    <row r="112" spans="1:38" ht="12.75" x14ac:dyDescent="0.2">
      <c r="A112" s="87" t="s">
        <v>199</v>
      </c>
      <c r="B112" s="93">
        <v>0.05</v>
      </c>
      <c r="C112" s="93">
        <v>0.1</v>
      </c>
      <c r="D112" s="93">
        <v>0.2</v>
      </c>
      <c r="E112" s="93">
        <v>0.5</v>
      </c>
      <c r="F112" s="93">
        <v>1</v>
      </c>
      <c r="G112" s="93">
        <v>2</v>
      </c>
      <c r="H112" s="93">
        <v>5</v>
      </c>
      <c r="I112" s="93">
        <v>10</v>
      </c>
      <c r="J112" s="49"/>
      <c r="K112" s="86"/>
      <c r="L112" s="87" t="s">
        <v>199</v>
      </c>
      <c r="M112" s="93">
        <v>0.05</v>
      </c>
      <c r="N112" s="93">
        <v>0.1</v>
      </c>
      <c r="O112" s="93">
        <v>0.2</v>
      </c>
      <c r="P112" s="93">
        <v>0.5</v>
      </c>
      <c r="Q112" s="93">
        <v>1</v>
      </c>
      <c r="R112" s="93">
        <v>2</v>
      </c>
      <c r="S112" s="93">
        <v>5</v>
      </c>
      <c r="T112" s="93">
        <v>10</v>
      </c>
      <c r="U112" s="93">
        <v>20</v>
      </c>
      <c r="V112" s="93">
        <v>50</v>
      </c>
      <c r="W112" s="129"/>
      <c r="X112" s="85"/>
      <c r="Y112" s="85"/>
      <c r="Z112" s="49"/>
      <c r="AA112" s="94"/>
      <c r="AB112" s="95"/>
      <c r="AC112" s="85"/>
      <c r="AD112" s="85"/>
      <c r="AE112" s="85"/>
      <c r="AF112" s="85"/>
      <c r="AG112" s="85"/>
      <c r="AH112" s="49"/>
      <c r="AI112" s="92"/>
      <c r="AJ112" s="49"/>
      <c r="AK112" s="49"/>
      <c r="AL112" s="49"/>
    </row>
    <row r="113" spans="1:38" ht="12.75" x14ac:dyDescent="0.2">
      <c r="A113" s="87" t="s">
        <v>200</v>
      </c>
      <c r="B113" s="38">
        <v>106</v>
      </c>
      <c r="C113" s="38">
        <v>20</v>
      </c>
      <c r="D113" s="38">
        <v>1</v>
      </c>
      <c r="E113" s="38">
        <v>0</v>
      </c>
      <c r="F113" s="38">
        <v>3</v>
      </c>
      <c r="G113" s="38">
        <v>5</v>
      </c>
      <c r="H113" s="38">
        <v>2</v>
      </c>
      <c r="I113" s="85"/>
      <c r="J113" s="85"/>
      <c r="K113" s="86"/>
      <c r="L113" s="87" t="s">
        <v>200</v>
      </c>
      <c r="M113" s="38">
        <v>106</v>
      </c>
      <c r="N113" s="38">
        <v>19</v>
      </c>
      <c r="O113" s="38">
        <v>17</v>
      </c>
      <c r="P113" s="38">
        <v>9</v>
      </c>
      <c r="Q113" s="38">
        <v>14</v>
      </c>
      <c r="R113" s="38">
        <v>9</v>
      </c>
      <c r="S113" s="38">
        <v>8</v>
      </c>
      <c r="T113" s="49">
        <v>5</v>
      </c>
      <c r="U113" s="49">
        <v>7</v>
      </c>
      <c r="V113" s="85">
        <v>0</v>
      </c>
      <c r="W113" s="129"/>
      <c r="X113" s="85"/>
      <c r="Y113" s="85"/>
      <c r="Z113" s="49"/>
      <c r="AA113" s="94"/>
      <c r="AB113" s="95"/>
      <c r="AC113" s="85"/>
      <c r="AD113" s="85"/>
      <c r="AE113" s="85"/>
      <c r="AF113" s="85"/>
      <c r="AG113" s="85"/>
      <c r="AH113" s="49"/>
      <c r="AI113" s="92"/>
      <c r="AJ113" s="49"/>
      <c r="AK113" s="49"/>
      <c r="AL113" s="49"/>
    </row>
    <row r="114" spans="1:38" ht="12.75" x14ac:dyDescent="0.2">
      <c r="A114" s="87" t="s">
        <v>141</v>
      </c>
      <c r="B114" s="70">
        <f t="shared" ref="B114:H114" si="45">B113*B112</f>
        <v>5.3000000000000007</v>
      </c>
      <c r="C114" s="70">
        <f t="shared" si="45"/>
        <v>2</v>
      </c>
      <c r="D114" s="70">
        <f t="shared" si="45"/>
        <v>0.2</v>
      </c>
      <c r="E114" s="70">
        <f t="shared" si="45"/>
        <v>0</v>
      </c>
      <c r="F114" s="70">
        <f t="shared" si="45"/>
        <v>3</v>
      </c>
      <c r="G114" s="70">
        <f t="shared" si="45"/>
        <v>10</v>
      </c>
      <c r="H114" s="70">
        <f t="shared" si="45"/>
        <v>10</v>
      </c>
      <c r="I114" s="70">
        <f>J113*I112</f>
        <v>0</v>
      </c>
      <c r="J114" s="70">
        <f>SUM(B114:I114)</f>
        <v>30.5</v>
      </c>
      <c r="K114" s="86"/>
      <c r="L114" s="87" t="s">
        <v>141</v>
      </c>
      <c r="M114" s="70">
        <f t="shared" ref="M114:V114" si="46">M113*M112</f>
        <v>5.3000000000000007</v>
      </c>
      <c r="N114" s="70">
        <f t="shared" si="46"/>
        <v>1.9000000000000001</v>
      </c>
      <c r="O114" s="70">
        <f t="shared" si="46"/>
        <v>3.4000000000000004</v>
      </c>
      <c r="P114" s="70">
        <f t="shared" si="46"/>
        <v>4.5</v>
      </c>
      <c r="Q114" s="70">
        <f t="shared" si="46"/>
        <v>14</v>
      </c>
      <c r="R114" s="70">
        <f t="shared" si="46"/>
        <v>18</v>
      </c>
      <c r="S114" s="70">
        <f t="shared" si="46"/>
        <v>40</v>
      </c>
      <c r="T114" s="70">
        <f t="shared" si="46"/>
        <v>50</v>
      </c>
      <c r="U114" s="70">
        <f t="shared" si="46"/>
        <v>140</v>
      </c>
      <c r="V114" s="70">
        <f t="shared" si="46"/>
        <v>0</v>
      </c>
      <c r="W114" s="130"/>
      <c r="X114" s="70">
        <f>SUM(M114:V114)</f>
        <v>277.10000000000002</v>
      </c>
      <c r="Y114" s="96">
        <f>X114-J114</f>
        <v>246.60000000000002</v>
      </c>
      <c r="Z114" s="94">
        <v>163.4</v>
      </c>
      <c r="AA114" s="94">
        <v>27.7</v>
      </c>
      <c r="AB114" s="97">
        <f>Y114+AA114</f>
        <v>274.3</v>
      </c>
      <c r="AC114" s="85">
        <v>163.4</v>
      </c>
      <c r="AD114" s="96">
        <f>Z114-AC114</f>
        <v>0</v>
      </c>
      <c r="AE114" s="96">
        <f>Y114-Z114</f>
        <v>83.200000000000017</v>
      </c>
      <c r="AF114" s="85">
        <v>83.2</v>
      </c>
      <c r="AG114" s="96">
        <f>AE114-AF114</f>
        <v>0</v>
      </c>
      <c r="AH114" s="49"/>
      <c r="AI114" s="98">
        <f>(SUM(Z114:AA114)/(1+10/100))*(10/100)</f>
        <v>17.372727272727271</v>
      </c>
      <c r="AJ114" s="49"/>
      <c r="AK114" s="49"/>
      <c r="AL114" s="49"/>
    </row>
    <row r="116" spans="1:38" ht="38.25" x14ac:dyDescent="0.2">
      <c r="A116" s="83" t="s">
        <v>135</v>
      </c>
      <c r="B116" s="84">
        <v>45958</v>
      </c>
      <c r="C116" s="85"/>
      <c r="D116" s="85"/>
      <c r="E116" s="85"/>
      <c r="F116" s="85"/>
      <c r="G116" s="85"/>
      <c r="H116" s="85"/>
      <c r="I116" s="85"/>
      <c r="J116" s="85"/>
      <c r="K116" s="86"/>
      <c r="L116" s="83" t="s">
        <v>136</v>
      </c>
      <c r="M116" s="84">
        <v>45958</v>
      </c>
      <c r="N116" s="85"/>
      <c r="O116" s="85"/>
      <c r="P116" s="85"/>
      <c r="Q116" s="85"/>
      <c r="R116" s="85"/>
      <c r="S116" s="85"/>
      <c r="T116" s="85"/>
      <c r="U116" s="85"/>
      <c r="V116" s="85"/>
      <c r="W116" s="88" t="s">
        <v>333</v>
      </c>
      <c r="X116" s="87" t="s">
        <v>141</v>
      </c>
      <c r="Y116" s="88" t="s">
        <v>192</v>
      </c>
      <c r="Z116" s="89" t="s">
        <v>142</v>
      </c>
      <c r="AA116" s="90" t="s">
        <v>193</v>
      </c>
      <c r="AB116" s="91" t="s">
        <v>194</v>
      </c>
      <c r="AC116" s="88" t="s">
        <v>312</v>
      </c>
      <c r="AD116" s="87" t="s">
        <v>195</v>
      </c>
      <c r="AE116" s="87" t="s">
        <v>196</v>
      </c>
      <c r="AF116" s="88" t="s">
        <v>313</v>
      </c>
      <c r="AG116" s="87" t="s">
        <v>198</v>
      </c>
      <c r="AH116" s="49"/>
      <c r="AI116" s="92"/>
      <c r="AJ116" s="49"/>
      <c r="AK116" s="49"/>
      <c r="AL116" s="49"/>
    </row>
    <row r="117" spans="1:38" ht="12.75" x14ac:dyDescent="0.2">
      <c r="A117" s="87" t="s">
        <v>199</v>
      </c>
      <c r="B117" s="93">
        <v>0.05</v>
      </c>
      <c r="C117" s="93">
        <v>0.1</v>
      </c>
      <c r="D117" s="93">
        <v>0.2</v>
      </c>
      <c r="E117" s="93">
        <v>0.5</v>
      </c>
      <c r="F117" s="93">
        <v>1</v>
      </c>
      <c r="G117" s="93">
        <v>2</v>
      </c>
      <c r="H117" s="93">
        <v>5</v>
      </c>
      <c r="I117" s="93">
        <v>10</v>
      </c>
      <c r="J117" s="49"/>
      <c r="K117" s="86"/>
      <c r="L117" s="87" t="s">
        <v>199</v>
      </c>
      <c r="M117" s="93">
        <v>0.05</v>
      </c>
      <c r="N117" s="93">
        <v>0.1</v>
      </c>
      <c r="O117" s="93">
        <v>0.2</v>
      </c>
      <c r="P117" s="93">
        <v>0.5</v>
      </c>
      <c r="Q117" s="93">
        <v>1</v>
      </c>
      <c r="R117" s="93">
        <v>2</v>
      </c>
      <c r="S117" s="93">
        <v>5</v>
      </c>
      <c r="T117" s="93">
        <v>10</v>
      </c>
      <c r="U117" s="93">
        <v>20</v>
      </c>
      <c r="V117" s="93">
        <v>50</v>
      </c>
      <c r="W117" s="129"/>
      <c r="X117" s="85"/>
      <c r="Y117" s="85"/>
      <c r="Z117" s="49"/>
      <c r="AA117" s="94"/>
      <c r="AB117" s="95"/>
      <c r="AC117" s="85"/>
      <c r="AD117" s="85"/>
      <c r="AE117" s="85"/>
      <c r="AF117" s="85"/>
      <c r="AG117" s="85"/>
      <c r="AH117" s="49"/>
      <c r="AI117" s="92"/>
      <c r="AJ117" s="49"/>
      <c r="AK117" s="49"/>
      <c r="AL117" s="49"/>
    </row>
    <row r="118" spans="1:38" ht="12.75" x14ac:dyDescent="0.2">
      <c r="A118" s="87" t="s">
        <v>200</v>
      </c>
      <c r="B118" s="38">
        <v>106</v>
      </c>
      <c r="C118" s="38">
        <v>19</v>
      </c>
      <c r="D118" s="38">
        <v>17</v>
      </c>
      <c r="E118" s="38">
        <v>9</v>
      </c>
      <c r="F118" s="38">
        <v>10</v>
      </c>
      <c r="G118" s="38">
        <v>4</v>
      </c>
      <c r="H118" s="38">
        <v>2</v>
      </c>
      <c r="I118" s="85"/>
      <c r="J118" s="85"/>
      <c r="K118" s="86"/>
      <c r="L118" s="87" t="s">
        <v>200</v>
      </c>
      <c r="M118" s="38">
        <v>106</v>
      </c>
      <c r="N118" s="38">
        <v>28</v>
      </c>
      <c r="O118" s="38">
        <v>27</v>
      </c>
      <c r="P118" s="38">
        <v>8</v>
      </c>
      <c r="Q118" s="38">
        <v>12</v>
      </c>
      <c r="R118" s="38">
        <v>14</v>
      </c>
      <c r="S118" s="38">
        <v>16</v>
      </c>
      <c r="T118" s="49">
        <v>6</v>
      </c>
      <c r="U118" s="49">
        <v>4</v>
      </c>
      <c r="V118" s="85">
        <v>2</v>
      </c>
      <c r="W118" s="129"/>
      <c r="X118" s="85"/>
      <c r="Y118" s="85"/>
      <c r="Z118" s="49"/>
      <c r="AA118" s="94"/>
      <c r="AB118" s="95"/>
      <c r="AC118" s="85"/>
      <c r="AD118" s="85"/>
      <c r="AE118" s="85"/>
      <c r="AF118" s="85"/>
      <c r="AG118" s="85"/>
      <c r="AH118" s="49"/>
      <c r="AI118" s="92"/>
      <c r="AJ118" s="49"/>
      <c r="AK118" s="49"/>
      <c r="AL118" s="49"/>
    </row>
    <row r="119" spans="1:38" ht="12.75" x14ac:dyDescent="0.2">
      <c r="A119" s="87" t="s">
        <v>141</v>
      </c>
      <c r="B119" s="70">
        <f t="shared" ref="B119:H119" si="47">B118*B117</f>
        <v>5.3000000000000007</v>
      </c>
      <c r="C119" s="70">
        <f t="shared" si="47"/>
        <v>1.9000000000000001</v>
      </c>
      <c r="D119" s="70">
        <f t="shared" si="47"/>
        <v>3.4000000000000004</v>
      </c>
      <c r="E119" s="70">
        <f t="shared" si="47"/>
        <v>4.5</v>
      </c>
      <c r="F119" s="70">
        <f t="shared" si="47"/>
        <v>10</v>
      </c>
      <c r="G119" s="70">
        <f t="shared" si="47"/>
        <v>8</v>
      </c>
      <c r="H119" s="70">
        <f t="shared" si="47"/>
        <v>10</v>
      </c>
      <c r="I119" s="70">
        <f>J118*I117</f>
        <v>0</v>
      </c>
      <c r="J119" s="70">
        <f>SUM(B119:I119)</f>
        <v>43.1</v>
      </c>
      <c r="K119" s="86"/>
      <c r="L119" s="87" t="s">
        <v>141</v>
      </c>
      <c r="M119" s="70">
        <f t="shared" ref="M119:V119" si="48">M118*M117</f>
        <v>5.3000000000000007</v>
      </c>
      <c r="N119" s="70">
        <f t="shared" si="48"/>
        <v>2.8000000000000003</v>
      </c>
      <c r="O119" s="70">
        <f t="shared" si="48"/>
        <v>5.4</v>
      </c>
      <c r="P119" s="70">
        <f t="shared" si="48"/>
        <v>4</v>
      </c>
      <c r="Q119" s="70">
        <f t="shared" si="48"/>
        <v>12</v>
      </c>
      <c r="R119" s="70">
        <f t="shared" si="48"/>
        <v>28</v>
      </c>
      <c r="S119" s="70">
        <f t="shared" si="48"/>
        <v>80</v>
      </c>
      <c r="T119" s="70">
        <f t="shared" si="48"/>
        <v>60</v>
      </c>
      <c r="U119" s="70">
        <f t="shared" si="48"/>
        <v>80</v>
      </c>
      <c r="V119" s="70">
        <f t="shared" si="48"/>
        <v>100</v>
      </c>
      <c r="W119" s="130"/>
      <c r="X119" s="70">
        <f>SUM(M119:V119)</f>
        <v>377.5</v>
      </c>
      <c r="Y119" s="96">
        <f>X119-J119</f>
        <v>334.4</v>
      </c>
      <c r="Z119" s="94">
        <v>248.2</v>
      </c>
      <c r="AA119" s="94">
        <v>65.8</v>
      </c>
      <c r="AB119" s="97">
        <f>Y119+AA119</f>
        <v>400.2</v>
      </c>
      <c r="AC119" s="85">
        <v>90.5</v>
      </c>
      <c r="AD119" s="96">
        <f>Z119-AC119</f>
        <v>157.69999999999999</v>
      </c>
      <c r="AE119" s="96">
        <f>Y119-Z119</f>
        <v>86.199999999999989</v>
      </c>
      <c r="AF119" s="85"/>
      <c r="AG119" s="96">
        <f>AE119-AF119</f>
        <v>86.199999999999989</v>
      </c>
      <c r="AH119" s="49"/>
      <c r="AI119" s="98">
        <f>(SUM(Z119:AA119)/(1+10/100))*(10/100)</f>
        <v>28.545454545454547</v>
      </c>
      <c r="AJ119" s="49"/>
      <c r="AK119" s="49"/>
      <c r="AL119" s="49"/>
    </row>
    <row r="121" spans="1:38" ht="38.25" x14ac:dyDescent="0.2">
      <c r="A121" s="83" t="s">
        <v>135</v>
      </c>
      <c r="B121" s="84">
        <v>45959</v>
      </c>
      <c r="C121" s="85"/>
      <c r="D121" s="85"/>
      <c r="E121" s="85"/>
      <c r="F121" s="85"/>
      <c r="G121" s="85"/>
      <c r="H121" s="85"/>
      <c r="I121" s="85"/>
      <c r="J121" s="85"/>
      <c r="K121" s="86"/>
      <c r="L121" s="83" t="s">
        <v>136</v>
      </c>
      <c r="M121" s="84">
        <v>45959</v>
      </c>
      <c r="N121" s="85"/>
      <c r="O121" s="85"/>
      <c r="P121" s="85"/>
      <c r="Q121" s="85"/>
      <c r="R121" s="85"/>
      <c r="S121" s="85"/>
      <c r="T121" s="85"/>
      <c r="U121" s="85"/>
      <c r="V121" s="85"/>
      <c r="W121" s="88" t="s">
        <v>333</v>
      </c>
      <c r="X121" s="87" t="s">
        <v>141</v>
      </c>
      <c r="Y121" s="88" t="s">
        <v>192</v>
      </c>
      <c r="Z121" s="89" t="s">
        <v>142</v>
      </c>
      <c r="AA121" s="90" t="s">
        <v>193</v>
      </c>
      <c r="AB121" s="91" t="s">
        <v>194</v>
      </c>
      <c r="AC121" s="88" t="s">
        <v>312</v>
      </c>
      <c r="AD121" s="87" t="s">
        <v>195</v>
      </c>
      <c r="AE121" s="87" t="s">
        <v>196</v>
      </c>
      <c r="AF121" s="88" t="s">
        <v>313</v>
      </c>
      <c r="AG121" s="87" t="s">
        <v>198</v>
      </c>
      <c r="AH121" s="49"/>
      <c r="AI121" s="92"/>
      <c r="AJ121" s="49"/>
      <c r="AK121" s="49"/>
      <c r="AL121" s="49"/>
    </row>
    <row r="122" spans="1:38" ht="12.75" x14ac:dyDescent="0.2">
      <c r="A122" s="87" t="s">
        <v>199</v>
      </c>
      <c r="B122" s="93">
        <v>0.05</v>
      </c>
      <c r="C122" s="93">
        <v>0.1</v>
      </c>
      <c r="D122" s="93">
        <v>0.2</v>
      </c>
      <c r="E122" s="93">
        <v>0.5</v>
      </c>
      <c r="F122" s="93">
        <v>1</v>
      </c>
      <c r="G122" s="93">
        <v>2</v>
      </c>
      <c r="H122" s="93">
        <v>5</v>
      </c>
      <c r="I122" s="93">
        <v>10</v>
      </c>
      <c r="J122" s="49"/>
      <c r="K122" s="86"/>
      <c r="L122" s="87" t="s">
        <v>199</v>
      </c>
      <c r="M122" s="93">
        <v>0.05</v>
      </c>
      <c r="N122" s="93">
        <v>0.1</v>
      </c>
      <c r="O122" s="93">
        <v>0.2</v>
      </c>
      <c r="P122" s="93">
        <v>0.5</v>
      </c>
      <c r="Q122" s="93">
        <v>1</v>
      </c>
      <c r="R122" s="93">
        <v>2</v>
      </c>
      <c r="S122" s="93">
        <v>5</v>
      </c>
      <c r="T122" s="93">
        <v>10</v>
      </c>
      <c r="U122" s="93">
        <v>20</v>
      </c>
      <c r="V122" s="93">
        <v>50</v>
      </c>
      <c r="W122" s="129"/>
      <c r="X122" s="85"/>
      <c r="Y122" s="85"/>
      <c r="Z122" s="49"/>
      <c r="AA122" s="94"/>
      <c r="AB122" s="95"/>
      <c r="AC122" s="85"/>
      <c r="AD122" s="85"/>
      <c r="AE122" s="85"/>
      <c r="AF122" s="85"/>
      <c r="AG122" s="85"/>
      <c r="AH122" s="49"/>
      <c r="AI122" s="92"/>
      <c r="AJ122" s="49"/>
      <c r="AK122" s="49"/>
      <c r="AL122" s="49"/>
    </row>
    <row r="123" spans="1:38" ht="12.75" x14ac:dyDescent="0.2">
      <c r="A123" s="87" t="s">
        <v>200</v>
      </c>
      <c r="B123" s="38">
        <v>106</v>
      </c>
      <c r="C123" s="38">
        <v>28</v>
      </c>
      <c r="D123" s="38">
        <v>27</v>
      </c>
      <c r="E123" s="38">
        <v>8</v>
      </c>
      <c r="F123" s="38">
        <v>10</v>
      </c>
      <c r="G123" s="38">
        <v>10</v>
      </c>
      <c r="H123" s="38"/>
      <c r="I123" s="85"/>
      <c r="J123" s="85"/>
      <c r="K123" s="86"/>
      <c r="L123" s="87" t="s">
        <v>200</v>
      </c>
      <c r="M123" s="38">
        <v>106</v>
      </c>
      <c r="N123" s="38">
        <v>37</v>
      </c>
      <c r="O123" s="38">
        <v>34</v>
      </c>
      <c r="P123" s="38">
        <v>8</v>
      </c>
      <c r="Q123" s="38">
        <v>17</v>
      </c>
      <c r="R123" s="38">
        <v>5</v>
      </c>
      <c r="S123" s="38">
        <v>13</v>
      </c>
      <c r="T123" s="49"/>
      <c r="U123" s="49">
        <v>3</v>
      </c>
      <c r="V123" s="85">
        <v>3</v>
      </c>
      <c r="W123" s="129"/>
      <c r="X123" s="85"/>
      <c r="Y123" s="85"/>
      <c r="Z123" s="49"/>
      <c r="AA123" s="94"/>
      <c r="AB123" s="95"/>
      <c r="AC123" s="85"/>
      <c r="AD123" s="85"/>
      <c r="AE123" s="85"/>
      <c r="AF123" s="85"/>
      <c r="AG123" s="85"/>
      <c r="AH123" s="49"/>
      <c r="AI123" s="92"/>
      <c r="AJ123" s="49"/>
      <c r="AK123" s="49"/>
      <c r="AL123" s="49"/>
    </row>
    <row r="124" spans="1:38" ht="12.75" x14ac:dyDescent="0.2">
      <c r="A124" s="87" t="s">
        <v>141</v>
      </c>
      <c r="B124" s="70">
        <f t="shared" ref="B124:H124" si="49">B123*B122</f>
        <v>5.3000000000000007</v>
      </c>
      <c r="C124" s="70">
        <f t="shared" si="49"/>
        <v>2.8000000000000003</v>
      </c>
      <c r="D124" s="70">
        <f t="shared" si="49"/>
        <v>5.4</v>
      </c>
      <c r="E124" s="70">
        <f t="shared" si="49"/>
        <v>4</v>
      </c>
      <c r="F124" s="70">
        <f t="shared" si="49"/>
        <v>10</v>
      </c>
      <c r="G124" s="70">
        <f t="shared" si="49"/>
        <v>20</v>
      </c>
      <c r="H124" s="70">
        <f t="shared" si="49"/>
        <v>0</v>
      </c>
      <c r="I124" s="70">
        <f>J123*I122</f>
        <v>0</v>
      </c>
      <c r="J124" s="70">
        <f>SUM(B124:I124)</f>
        <v>47.5</v>
      </c>
      <c r="K124" s="86"/>
      <c r="L124" s="87" t="s">
        <v>141</v>
      </c>
      <c r="M124" s="70">
        <f t="shared" ref="M124:V124" si="50">M123*M122</f>
        <v>5.3000000000000007</v>
      </c>
      <c r="N124" s="70">
        <f t="shared" si="50"/>
        <v>3.7</v>
      </c>
      <c r="O124" s="70">
        <f t="shared" si="50"/>
        <v>6.8000000000000007</v>
      </c>
      <c r="P124" s="70">
        <f t="shared" si="50"/>
        <v>4</v>
      </c>
      <c r="Q124" s="70">
        <f t="shared" si="50"/>
        <v>17</v>
      </c>
      <c r="R124" s="70">
        <f t="shared" si="50"/>
        <v>10</v>
      </c>
      <c r="S124" s="70">
        <f t="shared" si="50"/>
        <v>65</v>
      </c>
      <c r="T124" s="70">
        <f t="shared" si="50"/>
        <v>0</v>
      </c>
      <c r="U124" s="70">
        <f t="shared" si="50"/>
        <v>60</v>
      </c>
      <c r="V124" s="70">
        <f t="shared" si="50"/>
        <v>150</v>
      </c>
      <c r="W124" s="130"/>
      <c r="X124" s="70">
        <f>SUM(M124:V124)</f>
        <v>321.8</v>
      </c>
      <c r="Y124" s="96">
        <f>X124-J124</f>
        <v>274.3</v>
      </c>
      <c r="Z124" s="94">
        <v>188</v>
      </c>
      <c r="AA124" s="94">
        <v>77.5</v>
      </c>
      <c r="AB124" s="97">
        <f>Y124+AA124</f>
        <v>351.8</v>
      </c>
      <c r="AC124" s="85">
        <v>88</v>
      </c>
      <c r="AD124" s="96">
        <f>Z124-AC124</f>
        <v>100</v>
      </c>
      <c r="AE124" s="96">
        <f>Y124-Z124</f>
        <v>86.300000000000011</v>
      </c>
      <c r="AF124" s="85">
        <v>10</v>
      </c>
      <c r="AG124" s="96">
        <f>AE124-AF124</f>
        <v>76.300000000000011</v>
      </c>
      <c r="AH124" s="49"/>
      <c r="AI124" s="98">
        <f>(SUM(Z124:AA124)/(1+10/100))*(10/100)</f>
        <v>24.136363636363637</v>
      </c>
      <c r="AJ124" s="49"/>
      <c r="AK124" s="49"/>
      <c r="AL124" s="49"/>
    </row>
    <row r="126" spans="1:38" ht="38.25" x14ac:dyDescent="0.2">
      <c r="A126" s="83" t="s">
        <v>135</v>
      </c>
      <c r="B126" s="84">
        <v>45960</v>
      </c>
      <c r="C126" s="85"/>
      <c r="D126" s="85"/>
      <c r="E126" s="85"/>
      <c r="F126" s="85"/>
      <c r="G126" s="85"/>
      <c r="H126" s="85"/>
      <c r="I126" s="85"/>
      <c r="J126" s="85"/>
      <c r="K126" s="86"/>
      <c r="L126" s="83" t="s">
        <v>136</v>
      </c>
      <c r="M126" s="84">
        <v>45960</v>
      </c>
      <c r="N126" s="85"/>
      <c r="O126" s="85"/>
      <c r="P126" s="85"/>
      <c r="Q126" s="85"/>
      <c r="R126" s="85"/>
      <c r="S126" s="85"/>
      <c r="T126" s="85"/>
      <c r="U126" s="85"/>
      <c r="V126" s="85"/>
      <c r="W126" s="88" t="s">
        <v>333</v>
      </c>
      <c r="X126" s="87" t="s">
        <v>141</v>
      </c>
      <c r="Y126" s="88" t="s">
        <v>192</v>
      </c>
      <c r="Z126" s="89" t="s">
        <v>142</v>
      </c>
      <c r="AA126" s="90" t="s">
        <v>193</v>
      </c>
      <c r="AB126" s="91" t="s">
        <v>194</v>
      </c>
      <c r="AC126" s="88" t="s">
        <v>312</v>
      </c>
      <c r="AD126" s="87" t="s">
        <v>195</v>
      </c>
      <c r="AE126" s="87" t="s">
        <v>196</v>
      </c>
      <c r="AF126" s="88" t="s">
        <v>313</v>
      </c>
      <c r="AG126" s="87" t="s">
        <v>198</v>
      </c>
      <c r="AH126" s="49"/>
      <c r="AI126" s="92"/>
      <c r="AJ126" s="49"/>
      <c r="AK126" s="49"/>
      <c r="AL126" s="49"/>
    </row>
    <row r="127" spans="1:38" ht="12.75" x14ac:dyDescent="0.2">
      <c r="A127" s="87" t="s">
        <v>199</v>
      </c>
      <c r="B127" s="93">
        <v>0.05</v>
      </c>
      <c r="C127" s="93">
        <v>0.1</v>
      </c>
      <c r="D127" s="93">
        <v>0.2</v>
      </c>
      <c r="E127" s="93">
        <v>0.5</v>
      </c>
      <c r="F127" s="93">
        <v>1</v>
      </c>
      <c r="G127" s="93">
        <v>2</v>
      </c>
      <c r="H127" s="93">
        <v>5</v>
      </c>
      <c r="I127" s="93">
        <v>10</v>
      </c>
      <c r="J127" s="49"/>
      <c r="K127" s="86"/>
      <c r="L127" s="87" t="s">
        <v>199</v>
      </c>
      <c r="M127" s="93">
        <v>0.05</v>
      </c>
      <c r="N127" s="93">
        <v>0.1</v>
      </c>
      <c r="O127" s="93">
        <v>0.2</v>
      </c>
      <c r="P127" s="93">
        <v>0.5</v>
      </c>
      <c r="Q127" s="93">
        <v>1</v>
      </c>
      <c r="R127" s="93">
        <v>2</v>
      </c>
      <c r="S127" s="93">
        <v>5</v>
      </c>
      <c r="T127" s="93">
        <v>10</v>
      </c>
      <c r="U127" s="93">
        <v>20</v>
      </c>
      <c r="V127" s="93">
        <v>50</v>
      </c>
      <c r="W127" s="129"/>
      <c r="X127" s="85"/>
      <c r="Y127" s="85"/>
      <c r="Z127" s="49"/>
      <c r="AA127" s="94"/>
      <c r="AB127" s="95"/>
      <c r="AC127" s="85"/>
      <c r="AD127" s="85"/>
      <c r="AE127" s="85"/>
      <c r="AF127" s="85"/>
      <c r="AG127" s="85"/>
      <c r="AH127" s="49"/>
      <c r="AI127" s="92"/>
      <c r="AJ127" s="49"/>
      <c r="AK127" s="49"/>
      <c r="AL127" s="49"/>
    </row>
    <row r="128" spans="1:38" ht="12.75" x14ac:dyDescent="0.2">
      <c r="A128" s="87" t="s">
        <v>200</v>
      </c>
      <c r="B128" s="38">
        <v>106</v>
      </c>
      <c r="C128" s="38">
        <v>37</v>
      </c>
      <c r="D128" s="38">
        <v>34</v>
      </c>
      <c r="E128" s="38">
        <v>8</v>
      </c>
      <c r="F128" s="38">
        <v>9</v>
      </c>
      <c r="G128" s="38">
        <v>5</v>
      </c>
      <c r="H128" s="38">
        <v>2</v>
      </c>
      <c r="I128" s="85"/>
      <c r="J128" s="85"/>
      <c r="K128" s="86"/>
      <c r="L128" s="87" t="s">
        <v>200</v>
      </c>
      <c r="M128" s="38">
        <v>114</v>
      </c>
      <c r="N128" s="38">
        <v>49</v>
      </c>
      <c r="O128" s="38">
        <v>39</v>
      </c>
      <c r="P128" s="38">
        <v>11</v>
      </c>
      <c r="Q128" s="38">
        <v>15</v>
      </c>
      <c r="R128" s="38">
        <v>10</v>
      </c>
      <c r="S128" s="38">
        <v>9</v>
      </c>
      <c r="T128" s="49">
        <v>3</v>
      </c>
      <c r="U128" s="49">
        <v>5</v>
      </c>
      <c r="V128" s="85">
        <v>2</v>
      </c>
      <c r="W128" s="129"/>
      <c r="X128" s="85"/>
      <c r="Y128" s="85"/>
      <c r="Z128" s="49"/>
      <c r="AA128" s="94"/>
      <c r="AB128" s="95"/>
      <c r="AC128" s="85"/>
      <c r="AD128" s="85"/>
      <c r="AE128" s="85"/>
      <c r="AF128" s="85"/>
      <c r="AG128" s="85"/>
      <c r="AH128" s="49"/>
      <c r="AI128" s="92"/>
      <c r="AJ128" s="49"/>
      <c r="AK128" s="49"/>
      <c r="AL128" s="49"/>
    </row>
    <row r="129" spans="1:38" ht="12.75" x14ac:dyDescent="0.2">
      <c r="A129" s="87" t="s">
        <v>141</v>
      </c>
      <c r="B129" s="70">
        <f t="shared" ref="B129:H129" si="51">B128*B127</f>
        <v>5.3000000000000007</v>
      </c>
      <c r="C129" s="70">
        <f t="shared" si="51"/>
        <v>3.7</v>
      </c>
      <c r="D129" s="70">
        <f t="shared" si="51"/>
        <v>6.8000000000000007</v>
      </c>
      <c r="E129" s="70">
        <f t="shared" si="51"/>
        <v>4</v>
      </c>
      <c r="F129" s="70">
        <f t="shared" si="51"/>
        <v>9</v>
      </c>
      <c r="G129" s="70">
        <f t="shared" si="51"/>
        <v>10</v>
      </c>
      <c r="H129" s="70">
        <f t="shared" si="51"/>
        <v>10</v>
      </c>
      <c r="I129" s="70">
        <f>J128*I127</f>
        <v>0</v>
      </c>
      <c r="J129" s="70">
        <f>SUM(B129:I129)</f>
        <v>48.8</v>
      </c>
      <c r="K129" s="86"/>
      <c r="L129" s="87" t="s">
        <v>141</v>
      </c>
      <c r="M129" s="70">
        <f t="shared" ref="M129:O129" si="52">M128*M127</f>
        <v>5.7</v>
      </c>
      <c r="N129" s="70">
        <f t="shared" si="52"/>
        <v>4.9000000000000004</v>
      </c>
      <c r="O129" s="70">
        <f t="shared" si="52"/>
        <v>7.8000000000000007</v>
      </c>
      <c r="P129" s="70">
        <v>5.5</v>
      </c>
      <c r="Q129" s="70">
        <f t="shared" ref="Q129:V129" si="53">Q128*Q127</f>
        <v>15</v>
      </c>
      <c r="R129" s="70">
        <f t="shared" si="53"/>
        <v>20</v>
      </c>
      <c r="S129" s="70">
        <f t="shared" si="53"/>
        <v>45</v>
      </c>
      <c r="T129" s="70">
        <f t="shared" si="53"/>
        <v>30</v>
      </c>
      <c r="U129" s="70">
        <f t="shared" si="53"/>
        <v>100</v>
      </c>
      <c r="V129" s="70">
        <f t="shared" si="53"/>
        <v>100</v>
      </c>
      <c r="W129" s="130"/>
      <c r="X129" s="70">
        <f>SUM(M129:V129)</f>
        <v>333.9</v>
      </c>
      <c r="Y129" s="96">
        <f>X129-J129</f>
        <v>285.09999999999997</v>
      </c>
      <c r="Z129" s="94">
        <v>197</v>
      </c>
      <c r="AA129" s="94">
        <v>75.099999999999994</v>
      </c>
      <c r="AB129" s="97">
        <f>Y129+AA129</f>
        <v>360.19999999999993</v>
      </c>
      <c r="AC129" s="85">
        <v>137</v>
      </c>
      <c r="AD129" s="96">
        <f>Z129-AC129</f>
        <v>60</v>
      </c>
      <c r="AE129" s="96">
        <f>Y129-Z129</f>
        <v>88.099999999999966</v>
      </c>
      <c r="AF129" s="85">
        <v>38.1</v>
      </c>
      <c r="AG129" s="96">
        <f>AE129-AF129</f>
        <v>49.999999999999964</v>
      </c>
      <c r="AH129" s="49"/>
      <c r="AI129" s="98">
        <f>(SUM(Z129:AA129)/(1+10/100))*(10/100)</f>
        <v>24.736363636363638</v>
      </c>
      <c r="AJ129" s="49"/>
      <c r="AK129" s="49"/>
      <c r="AL129" s="49"/>
    </row>
    <row r="131" spans="1:38" ht="38.25" x14ac:dyDescent="0.2">
      <c r="A131" s="83" t="s">
        <v>135</v>
      </c>
      <c r="B131" s="84">
        <v>45961</v>
      </c>
      <c r="C131" s="85"/>
      <c r="D131" s="85"/>
      <c r="E131" s="85"/>
      <c r="F131" s="85"/>
      <c r="G131" s="85"/>
      <c r="H131" s="85"/>
      <c r="I131" s="85"/>
      <c r="J131" s="85"/>
      <c r="K131" s="86"/>
      <c r="L131" s="83" t="s">
        <v>136</v>
      </c>
      <c r="M131" s="84">
        <v>45961</v>
      </c>
      <c r="N131" s="85"/>
      <c r="O131" s="85"/>
      <c r="P131" s="85"/>
      <c r="Q131" s="85"/>
      <c r="R131" s="85"/>
      <c r="S131" s="85"/>
      <c r="T131" s="85"/>
      <c r="U131" s="85"/>
      <c r="V131" s="85"/>
      <c r="W131" s="88" t="s">
        <v>333</v>
      </c>
      <c r="X131" s="87" t="s">
        <v>141</v>
      </c>
      <c r="Y131" s="88" t="s">
        <v>192</v>
      </c>
      <c r="Z131" s="89" t="s">
        <v>142</v>
      </c>
      <c r="AA131" s="90" t="s">
        <v>193</v>
      </c>
      <c r="AB131" s="91" t="s">
        <v>194</v>
      </c>
      <c r="AC131" s="88" t="s">
        <v>312</v>
      </c>
      <c r="AD131" s="87" t="s">
        <v>195</v>
      </c>
      <c r="AE131" s="87" t="s">
        <v>196</v>
      </c>
      <c r="AF131" s="88" t="s">
        <v>313</v>
      </c>
      <c r="AG131" s="87" t="s">
        <v>198</v>
      </c>
      <c r="AH131" s="49"/>
      <c r="AI131" s="92"/>
      <c r="AJ131" s="49"/>
      <c r="AK131" s="49"/>
      <c r="AL131" s="49"/>
    </row>
    <row r="132" spans="1:38" ht="12.75" x14ac:dyDescent="0.2">
      <c r="A132" s="87" t="s">
        <v>199</v>
      </c>
      <c r="B132" s="93">
        <v>0.05</v>
      </c>
      <c r="C132" s="93">
        <v>0.1</v>
      </c>
      <c r="D132" s="93">
        <v>0.2</v>
      </c>
      <c r="E132" s="93">
        <v>0.5</v>
      </c>
      <c r="F132" s="93">
        <v>1</v>
      </c>
      <c r="G132" s="93">
        <v>2</v>
      </c>
      <c r="H132" s="93">
        <v>5</v>
      </c>
      <c r="I132" s="93">
        <v>10</v>
      </c>
      <c r="J132" s="49"/>
      <c r="K132" s="86"/>
      <c r="L132" s="87" t="s">
        <v>199</v>
      </c>
      <c r="M132" s="93">
        <v>0.05</v>
      </c>
      <c r="N132" s="93">
        <v>0.1</v>
      </c>
      <c r="O132" s="93">
        <v>0.2</v>
      </c>
      <c r="P132" s="93">
        <v>0.5</v>
      </c>
      <c r="Q132" s="93">
        <v>1</v>
      </c>
      <c r="R132" s="93">
        <v>2</v>
      </c>
      <c r="S132" s="93">
        <v>5</v>
      </c>
      <c r="T132" s="93">
        <v>10</v>
      </c>
      <c r="U132" s="93">
        <v>20</v>
      </c>
      <c r="V132" s="93">
        <v>50</v>
      </c>
      <c r="W132" s="129"/>
      <c r="X132" s="85"/>
      <c r="Y132" s="85"/>
      <c r="Z132" s="49"/>
      <c r="AA132" s="94"/>
      <c r="AB132" s="95"/>
      <c r="AC132" s="85"/>
      <c r="AD132" s="85"/>
      <c r="AE132" s="85"/>
      <c r="AF132" s="85"/>
      <c r="AG132" s="85"/>
      <c r="AH132" s="49"/>
      <c r="AI132" s="92"/>
      <c r="AJ132" s="49"/>
      <c r="AK132" s="49"/>
      <c r="AL132" s="49"/>
    </row>
    <row r="133" spans="1:38" ht="12.75" x14ac:dyDescent="0.2">
      <c r="A133" s="87" t="s">
        <v>200</v>
      </c>
      <c r="B133" s="38">
        <v>114</v>
      </c>
      <c r="C133" s="38">
        <v>49</v>
      </c>
      <c r="D133" s="38">
        <v>39</v>
      </c>
      <c r="E133" s="38">
        <v>6</v>
      </c>
      <c r="F133" s="38">
        <v>6</v>
      </c>
      <c r="G133" s="38">
        <v>6</v>
      </c>
      <c r="H133" s="38">
        <v>2</v>
      </c>
      <c r="I133" s="85"/>
      <c r="J133" s="85"/>
      <c r="K133" s="86"/>
      <c r="L133" s="87" t="s">
        <v>200</v>
      </c>
      <c r="M133" s="38">
        <v>113</v>
      </c>
      <c r="N133" s="38">
        <v>47</v>
      </c>
      <c r="O133" s="38">
        <v>29</v>
      </c>
      <c r="P133" s="38">
        <v>6</v>
      </c>
      <c r="Q133" s="38">
        <v>3</v>
      </c>
      <c r="R133" s="38">
        <v>11</v>
      </c>
      <c r="S133" s="38">
        <v>8</v>
      </c>
      <c r="T133" s="49">
        <v>1</v>
      </c>
      <c r="U133" s="49">
        <v>5</v>
      </c>
      <c r="V133" s="85">
        <v>6</v>
      </c>
      <c r="W133" s="129"/>
      <c r="X133" s="85"/>
      <c r="Y133" s="85"/>
      <c r="Z133" s="49"/>
      <c r="AA133" s="94"/>
      <c r="AB133" s="95"/>
      <c r="AC133" s="85"/>
      <c r="AD133" s="85"/>
      <c r="AE133" s="85"/>
      <c r="AF133" s="85"/>
      <c r="AG133" s="85"/>
      <c r="AH133" s="49"/>
      <c r="AI133" s="92"/>
      <c r="AJ133" s="49"/>
      <c r="AK133" s="49"/>
      <c r="AL133" s="49"/>
    </row>
    <row r="134" spans="1:38" ht="12.75" x14ac:dyDescent="0.2">
      <c r="A134" s="87" t="s">
        <v>141</v>
      </c>
      <c r="B134" s="70">
        <f t="shared" ref="B134:H134" si="54">B133*B132</f>
        <v>5.7</v>
      </c>
      <c r="C134" s="70">
        <f t="shared" si="54"/>
        <v>4.9000000000000004</v>
      </c>
      <c r="D134" s="70">
        <f t="shared" si="54"/>
        <v>7.8000000000000007</v>
      </c>
      <c r="E134" s="70">
        <f t="shared" si="54"/>
        <v>3</v>
      </c>
      <c r="F134" s="70">
        <f t="shared" si="54"/>
        <v>6</v>
      </c>
      <c r="G134" s="70">
        <f t="shared" si="54"/>
        <v>12</v>
      </c>
      <c r="H134" s="70">
        <f t="shared" si="54"/>
        <v>10</v>
      </c>
      <c r="I134" s="70">
        <f>J133*I132</f>
        <v>0</v>
      </c>
      <c r="J134" s="70">
        <f>SUM(B134:I134)</f>
        <v>49.400000000000006</v>
      </c>
      <c r="K134" s="86"/>
      <c r="L134" s="87" t="s">
        <v>141</v>
      </c>
      <c r="M134" s="70">
        <f t="shared" ref="M134:V134" si="55">M133*M132</f>
        <v>5.65</v>
      </c>
      <c r="N134" s="70">
        <f t="shared" si="55"/>
        <v>4.7</v>
      </c>
      <c r="O134" s="70">
        <f t="shared" si="55"/>
        <v>5.8000000000000007</v>
      </c>
      <c r="P134" s="70">
        <f t="shared" si="55"/>
        <v>3</v>
      </c>
      <c r="Q134" s="70">
        <f t="shared" si="55"/>
        <v>3</v>
      </c>
      <c r="R134" s="70">
        <f t="shared" si="55"/>
        <v>22</v>
      </c>
      <c r="S134" s="70">
        <f t="shared" si="55"/>
        <v>40</v>
      </c>
      <c r="T134" s="70">
        <f t="shared" si="55"/>
        <v>10</v>
      </c>
      <c r="U134" s="70">
        <f t="shared" si="55"/>
        <v>100</v>
      </c>
      <c r="V134" s="70">
        <f t="shared" si="55"/>
        <v>300</v>
      </c>
      <c r="W134" s="130"/>
      <c r="X134" s="70">
        <f>SUM(M134:V134)</f>
        <v>494.15</v>
      </c>
      <c r="Y134" s="96">
        <f>X134-J134</f>
        <v>444.75</v>
      </c>
      <c r="Z134" s="94">
        <v>177.9</v>
      </c>
      <c r="AA134" s="94">
        <v>100.7</v>
      </c>
      <c r="AB134" s="97">
        <f>Y134+AA134</f>
        <v>545.45000000000005</v>
      </c>
      <c r="AC134" s="85">
        <v>50</v>
      </c>
      <c r="AD134" s="96">
        <f>Z134-AC134</f>
        <v>127.9</v>
      </c>
      <c r="AE134" s="96">
        <f>Y134-Z134</f>
        <v>266.85000000000002</v>
      </c>
      <c r="AF134" s="85">
        <v>43.85</v>
      </c>
      <c r="AG134" s="96">
        <f>AE134-AF134</f>
        <v>223.00000000000003</v>
      </c>
      <c r="AH134" s="49"/>
      <c r="AI134" s="98">
        <f>(SUM(Z134:AA134)/(1+10/100))*(10/100)</f>
        <v>25.327272727272728</v>
      </c>
      <c r="AJ134" s="49"/>
      <c r="AK134" s="49"/>
      <c r="AL134" s="49"/>
    </row>
    <row r="136" spans="1:38" ht="12.75" x14ac:dyDescent="0.2">
      <c r="A136" s="83"/>
      <c r="B136" s="84"/>
      <c r="C136" s="85"/>
      <c r="D136" s="85"/>
      <c r="E136" s="85"/>
      <c r="F136" s="85"/>
      <c r="G136" s="85"/>
      <c r="H136" s="85"/>
      <c r="I136" s="85"/>
      <c r="J136" s="85"/>
      <c r="K136" s="86"/>
      <c r="L136" s="83"/>
      <c r="M136" s="84"/>
      <c r="N136" s="85"/>
      <c r="O136" s="85"/>
      <c r="P136" s="85"/>
      <c r="Q136" s="85"/>
      <c r="R136" s="85"/>
      <c r="S136" s="85"/>
      <c r="T136" s="85"/>
      <c r="U136" s="85"/>
      <c r="V136" s="85"/>
      <c r="W136" s="88"/>
      <c r="X136" s="87"/>
      <c r="Y136" s="88"/>
      <c r="Z136" s="89"/>
      <c r="AA136" s="90"/>
      <c r="AB136" s="91"/>
      <c r="AC136" s="88"/>
      <c r="AD136" s="87"/>
      <c r="AE136" s="87"/>
      <c r="AF136" s="88"/>
      <c r="AG136" s="87"/>
      <c r="AH136" s="49"/>
      <c r="AI136" s="92"/>
      <c r="AJ136" s="49"/>
      <c r="AK136" s="49"/>
      <c r="AL136" s="49"/>
    </row>
    <row r="137" spans="1:38" ht="12.75" x14ac:dyDescent="0.2">
      <c r="A137" s="87"/>
      <c r="B137" s="93"/>
      <c r="C137" s="93"/>
      <c r="D137" s="93"/>
      <c r="E137" s="93"/>
      <c r="F137" s="93"/>
      <c r="G137" s="93"/>
      <c r="H137" s="93"/>
      <c r="I137" s="93"/>
      <c r="J137" s="49"/>
      <c r="K137" s="86"/>
      <c r="L137" s="87"/>
      <c r="M137" s="93"/>
      <c r="N137" s="93"/>
      <c r="O137" s="93"/>
      <c r="P137" s="93"/>
      <c r="Q137" s="93"/>
      <c r="R137" s="93"/>
      <c r="S137" s="93"/>
      <c r="T137" s="93"/>
      <c r="U137" s="93"/>
      <c r="V137" s="93"/>
      <c r="W137" s="129"/>
      <c r="X137" s="85"/>
      <c r="Y137" s="85"/>
      <c r="Z137" s="49"/>
      <c r="AA137" s="94"/>
      <c r="AB137" s="95"/>
      <c r="AC137" s="85"/>
      <c r="AD137" s="85"/>
      <c r="AE137" s="85"/>
      <c r="AF137" s="85"/>
      <c r="AG137" s="85"/>
      <c r="AH137" s="49"/>
      <c r="AI137" s="92"/>
      <c r="AJ137" s="49"/>
      <c r="AK137" s="49"/>
      <c r="AL137" s="49"/>
    </row>
    <row r="138" spans="1:38" ht="12.75" x14ac:dyDescent="0.2">
      <c r="A138" s="87"/>
      <c r="I138" s="85"/>
      <c r="J138" s="85"/>
      <c r="K138" s="86"/>
      <c r="L138" s="87"/>
      <c r="U138" s="49"/>
      <c r="V138" s="49"/>
      <c r="W138" s="129"/>
      <c r="X138" s="85"/>
      <c r="Y138" s="85"/>
      <c r="Z138" s="49"/>
      <c r="AA138" s="94"/>
      <c r="AB138" s="95"/>
      <c r="AC138" s="85"/>
      <c r="AD138" s="85"/>
      <c r="AE138" s="85"/>
      <c r="AF138" s="85"/>
      <c r="AG138" s="85"/>
      <c r="AH138" s="49"/>
      <c r="AI138" s="92"/>
      <c r="AJ138" s="49"/>
      <c r="AK138" s="49"/>
      <c r="AL138" s="49"/>
    </row>
    <row r="139" spans="1:38" ht="12.75" x14ac:dyDescent="0.2">
      <c r="A139" s="87"/>
      <c r="B139" s="70"/>
      <c r="C139" s="70"/>
      <c r="D139" s="70"/>
      <c r="E139" s="70"/>
      <c r="F139" s="70"/>
      <c r="G139" s="70"/>
      <c r="H139" s="70"/>
      <c r="I139" s="70"/>
      <c r="J139" s="70"/>
      <c r="K139" s="86"/>
      <c r="L139" s="87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130"/>
      <c r="X139" s="70"/>
      <c r="Y139" s="96"/>
      <c r="Z139" s="94"/>
      <c r="AA139" s="94"/>
      <c r="AB139" s="97"/>
      <c r="AC139" s="85"/>
      <c r="AD139" s="96"/>
      <c r="AE139" s="96"/>
      <c r="AF139" s="85"/>
      <c r="AG139" s="96"/>
      <c r="AH139" s="49"/>
      <c r="AI139" s="98"/>
      <c r="AJ139" s="49"/>
      <c r="AK139" s="49"/>
      <c r="AL139" s="49"/>
    </row>
    <row r="141" spans="1:38" ht="12.75" x14ac:dyDescent="0.2">
      <c r="Z141" s="47">
        <f t="shared" ref="Z141:AG141" si="56">SUM(Z1:Z134)</f>
        <v>4762.6000000000004</v>
      </c>
      <c r="AA141" s="47">
        <f t="shared" si="56"/>
        <v>2146.27</v>
      </c>
      <c r="AB141" s="120">
        <f t="shared" si="56"/>
        <v>10991.370000000003</v>
      </c>
      <c r="AC141" s="47">
        <f t="shared" si="56"/>
        <v>2877.7000000000003</v>
      </c>
      <c r="AD141" s="47">
        <f t="shared" si="56"/>
        <v>1874.9</v>
      </c>
      <c r="AE141" s="47">
        <f t="shared" si="56"/>
        <v>4082.4999999999995</v>
      </c>
      <c r="AF141" s="47">
        <f t="shared" si="56"/>
        <v>973.40000000000009</v>
      </c>
      <c r="AG141" s="47">
        <f t="shared" si="56"/>
        <v>3109.0999999999995</v>
      </c>
    </row>
    <row r="142" spans="1:38" ht="12.75" x14ac:dyDescent="0.2">
      <c r="AA142" s="38"/>
      <c r="AB142" s="41"/>
      <c r="AF142" s="38" t="s">
        <v>323</v>
      </c>
      <c r="AG142" s="38">
        <v>-184</v>
      </c>
    </row>
    <row r="143" spans="1:38" ht="25.5" x14ac:dyDescent="0.2">
      <c r="Z143" s="73" t="s">
        <v>334</v>
      </c>
      <c r="AA143" s="61">
        <v>3427</v>
      </c>
      <c r="AC143" s="38" t="s">
        <v>189</v>
      </c>
      <c r="AD143" s="38">
        <v>-543</v>
      </c>
      <c r="AF143" s="38" t="s">
        <v>324</v>
      </c>
      <c r="AG143" s="38">
        <v>-895.65</v>
      </c>
      <c r="AH143" s="61" t="s">
        <v>325</v>
      </c>
    </row>
    <row r="144" spans="1:38" ht="12.75" x14ac:dyDescent="0.2">
      <c r="AC144" s="49" t="s">
        <v>326</v>
      </c>
      <c r="AD144" s="38">
        <v>-248</v>
      </c>
      <c r="AE144" s="61" t="s">
        <v>325</v>
      </c>
      <c r="AF144" s="38" t="s">
        <v>211</v>
      </c>
      <c r="AG144" s="38">
        <v>-1000</v>
      </c>
    </row>
    <row r="145" spans="29:34" ht="12.75" x14ac:dyDescent="0.2">
      <c r="AC145" s="49" t="s">
        <v>309</v>
      </c>
      <c r="AD145" s="38">
        <v>-250</v>
      </c>
      <c r="AF145" s="38" t="s">
        <v>327</v>
      </c>
      <c r="AG145" s="38">
        <v>-104</v>
      </c>
    </row>
    <row r="146" spans="29:34" ht="12.75" x14ac:dyDescent="0.2">
      <c r="AC146" s="38" t="s">
        <v>262</v>
      </c>
      <c r="AD146" s="38">
        <v>-368.88</v>
      </c>
      <c r="AE146" s="61" t="s">
        <v>325</v>
      </c>
      <c r="AF146" s="38" t="s">
        <v>328</v>
      </c>
      <c r="AG146" s="38">
        <v>-200</v>
      </c>
      <c r="AH146" s="61" t="s">
        <v>325</v>
      </c>
    </row>
    <row r="147" spans="29:34" ht="12.75" x14ac:dyDescent="0.2">
      <c r="AC147" s="49" t="s">
        <v>329</v>
      </c>
      <c r="AD147" s="38">
        <v>-434</v>
      </c>
      <c r="AE147" s="38" t="s">
        <v>330</v>
      </c>
      <c r="AF147" s="38" t="s">
        <v>331</v>
      </c>
      <c r="AG147" s="38">
        <v>-600</v>
      </c>
    </row>
    <row r="149" spans="29:34" ht="12.75" x14ac:dyDescent="0.2">
      <c r="AD149" s="3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L114"/>
  <sheetViews>
    <sheetView topLeftCell="A19" workbookViewId="0">
      <selection activeCell="V24" sqref="V24"/>
    </sheetView>
  </sheetViews>
  <sheetFormatPr defaultColWidth="12.5703125" defaultRowHeight="15.75" customHeight="1" x14ac:dyDescent="0.2"/>
  <cols>
    <col min="1" max="1" width="8.85546875" customWidth="1"/>
    <col min="2" max="2" width="9.42578125" customWidth="1"/>
    <col min="3" max="4" width="6.140625" customWidth="1"/>
    <col min="5" max="5" width="5.42578125" customWidth="1"/>
    <col min="6" max="6" width="5.5703125" customWidth="1"/>
    <col min="7" max="7" width="5.140625" customWidth="1"/>
    <col min="8" max="8" width="5.85546875" customWidth="1"/>
    <col min="9" max="9" width="4.85546875" customWidth="1"/>
    <col min="10" max="10" width="5.42578125" customWidth="1"/>
    <col min="11" max="11" width="3.28515625" customWidth="1"/>
    <col min="12" max="12" width="8.140625" customWidth="1"/>
    <col min="13" max="13" width="9.85546875" customWidth="1"/>
    <col min="14" max="14" width="6.42578125" customWidth="1"/>
    <col min="15" max="16" width="5.7109375" customWidth="1"/>
    <col min="17" max="18" width="5.140625" customWidth="1"/>
    <col min="19" max="19" width="5.85546875" customWidth="1"/>
    <col min="20" max="20" width="5.42578125" customWidth="1"/>
    <col min="21" max="22" width="6.140625" customWidth="1"/>
    <col min="23" max="23" width="18.5703125" customWidth="1"/>
    <col min="24" max="24" width="6.85546875" customWidth="1"/>
    <col min="25" max="25" width="8.5703125" customWidth="1"/>
    <col min="26" max="26" width="7.7109375" customWidth="1"/>
    <col min="27" max="27" width="5.42578125" customWidth="1"/>
    <col min="28" max="28" width="7.28515625" customWidth="1"/>
    <col min="29" max="29" width="8.7109375" customWidth="1"/>
    <col min="30" max="30" width="7.28515625" customWidth="1"/>
    <col min="31" max="31" width="6.42578125" customWidth="1"/>
    <col min="32" max="32" width="7.28515625" customWidth="1"/>
    <col min="33" max="33" width="6.28515625" customWidth="1"/>
    <col min="34" max="35" width="6.42578125" customWidth="1"/>
    <col min="36" max="36" width="9.28515625" customWidth="1"/>
    <col min="37" max="37" width="8.28515625" customWidth="1"/>
  </cols>
  <sheetData>
    <row r="1" spans="1:38" x14ac:dyDescent="0.2">
      <c r="A1" s="83" t="s">
        <v>135</v>
      </c>
      <c r="B1" s="84">
        <v>45931</v>
      </c>
      <c r="C1" s="85"/>
      <c r="D1" s="85"/>
      <c r="E1" s="85"/>
      <c r="F1" s="85"/>
      <c r="G1" s="85"/>
      <c r="H1" s="85"/>
      <c r="I1" s="85"/>
      <c r="J1" s="85"/>
      <c r="K1" s="86"/>
      <c r="L1" s="83" t="s">
        <v>136</v>
      </c>
      <c r="M1" s="84">
        <v>45962</v>
      </c>
      <c r="N1" s="85"/>
      <c r="O1" s="85"/>
      <c r="P1" s="85"/>
      <c r="Q1" s="85"/>
      <c r="R1" s="85"/>
      <c r="S1" s="85"/>
      <c r="T1" s="85"/>
      <c r="U1" s="85"/>
      <c r="V1" s="85"/>
      <c r="W1" s="87" t="s">
        <v>314</v>
      </c>
      <c r="X1" s="87" t="s">
        <v>141</v>
      </c>
      <c r="Y1" s="88" t="s">
        <v>192</v>
      </c>
      <c r="Z1" s="89" t="s">
        <v>142</v>
      </c>
      <c r="AA1" s="90" t="s">
        <v>193</v>
      </c>
      <c r="AB1" s="91" t="s">
        <v>194</v>
      </c>
      <c r="AC1" s="88" t="s">
        <v>312</v>
      </c>
      <c r="AD1" s="87" t="s">
        <v>195</v>
      </c>
      <c r="AE1" s="87" t="s">
        <v>196</v>
      </c>
      <c r="AF1" s="88" t="s">
        <v>313</v>
      </c>
      <c r="AG1" s="87" t="s">
        <v>198</v>
      </c>
      <c r="AH1" s="49"/>
      <c r="AI1" s="92" t="s">
        <v>332</v>
      </c>
      <c r="AJ1" s="49"/>
      <c r="AK1" s="49"/>
      <c r="AL1" s="49"/>
    </row>
    <row r="2" spans="1:38" x14ac:dyDescent="0.2">
      <c r="A2" s="87" t="s">
        <v>199</v>
      </c>
      <c r="B2" s="93">
        <v>0.05</v>
      </c>
      <c r="C2" s="93">
        <v>0.1</v>
      </c>
      <c r="D2" s="93">
        <v>0.2</v>
      </c>
      <c r="E2" s="93">
        <v>0.5</v>
      </c>
      <c r="F2" s="93">
        <v>1</v>
      </c>
      <c r="G2" s="93">
        <v>2</v>
      </c>
      <c r="H2" s="93">
        <v>5</v>
      </c>
      <c r="I2" s="93">
        <v>10</v>
      </c>
      <c r="J2" s="49"/>
      <c r="K2" s="86"/>
      <c r="L2" s="87" t="s">
        <v>199</v>
      </c>
      <c r="M2" s="93">
        <v>0.05</v>
      </c>
      <c r="N2" s="93">
        <v>0.1</v>
      </c>
      <c r="O2" s="93">
        <v>0.2</v>
      </c>
      <c r="P2" s="93">
        <v>0.5</v>
      </c>
      <c r="Q2" s="93">
        <v>1</v>
      </c>
      <c r="R2" s="93">
        <v>2</v>
      </c>
      <c r="S2" s="93">
        <v>5</v>
      </c>
      <c r="T2" s="93">
        <v>10</v>
      </c>
      <c r="U2" s="93">
        <v>20</v>
      </c>
      <c r="V2" s="93">
        <v>50</v>
      </c>
      <c r="W2" s="85"/>
      <c r="X2" s="85"/>
      <c r="Y2" s="85"/>
      <c r="Z2" s="49"/>
      <c r="AA2" s="94"/>
      <c r="AB2" s="95"/>
      <c r="AC2" s="85"/>
      <c r="AD2" s="85"/>
      <c r="AE2" s="85"/>
      <c r="AF2" s="85"/>
      <c r="AG2" s="85"/>
      <c r="AH2" s="49"/>
      <c r="AI2" s="92"/>
      <c r="AJ2" s="49"/>
      <c r="AK2" s="49"/>
      <c r="AL2" s="49"/>
    </row>
    <row r="3" spans="1:38" x14ac:dyDescent="0.2">
      <c r="A3" s="87" t="s">
        <v>200</v>
      </c>
      <c r="B3" s="38">
        <v>113</v>
      </c>
      <c r="C3" s="38">
        <v>47</v>
      </c>
      <c r="D3" s="38">
        <v>29</v>
      </c>
      <c r="E3" s="38">
        <v>6</v>
      </c>
      <c r="F3" s="38">
        <v>3</v>
      </c>
      <c r="G3" s="38">
        <v>5</v>
      </c>
      <c r="H3" s="38">
        <v>2</v>
      </c>
      <c r="I3" s="85"/>
      <c r="J3" s="85"/>
      <c r="K3" s="86"/>
      <c r="L3" s="87" t="s">
        <v>200</v>
      </c>
      <c r="M3" s="38">
        <v>113</v>
      </c>
      <c r="N3" s="38">
        <v>42</v>
      </c>
      <c r="O3" s="38">
        <v>19</v>
      </c>
      <c r="P3" s="38">
        <v>2</v>
      </c>
      <c r="Q3" s="38">
        <v>3</v>
      </c>
      <c r="R3" s="38">
        <v>2</v>
      </c>
      <c r="S3" s="38">
        <v>7</v>
      </c>
      <c r="T3" s="38">
        <v>5</v>
      </c>
      <c r="U3" s="49">
        <v>4</v>
      </c>
      <c r="V3" s="49">
        <v>2</v>
      </c>
      <c r="W3" s="85"/>
      <c r="X3" s="85"/>
      <c r="Y3" s="85"/>
      <c r="Z3" s="49"/>
      <c r="AA3" s="94"/>
      <c r="AB3" s="95"/>
      <c r="AC3" s="85"/>
      <c r="AD3" s="85"/>
      <c r="AE3" s="85"/>
      <c r="AF3" s="85"/>
      <c r="AG3" s="85"/>
      <c r="AH3" s="49"/>
      <c r="AI3" s="92"/>
      <c r="AJ3" s="49"/>
      <c r="AK3" s="49"/>
      <c r="AL3" s="49"/>
    </row>
    <row r="4" spans="1:38" x14ac:dyDescent="0.2">
      <c r="A4" s="87" t="s">
        <v>141</v>
      </c>
      <c r="B4" s="70">
        <f t="shared" ref="B4:H4" si="0">B3*B2</f>
        <v>5.65</v>
      </c>
      <c r="C4" s="70">
        <f t="shared" si="0"/>
        <v>4.7</v>
      </c>
      <c r="D4" s="70">
        <f t="shared" si="0"/>
        <v>5.8000000000000007</v>
      </c>
      <c r="E4" s="70">
        <f t="shared" si="0"/>
        <v>3</v>
      </c>
      <c r="F4" s="70">
        <f t="shared" si="0"/>
        <v>3</v>
      </c>
      <c r="G4" s="70">
        <f t="shared" si="0"/>
        <v>10</v>
      </c>
      <c r="H4" s="70">
        <f t="shared" si="0"/>
        <v>10</v>
      </c>
      <c r="I4" s="70">
        <f>J3*I2</f>
        <v>0</v>
      </c>
      <c r="J4" s="70">
        <f>SUM(B4:I4)</f>
        <v>42.150000000000006</v>
      </c>
      <c r="K4" s="86"/>
      <c r="L4" s="87" t="s">
        <v>141</v>
      </c>
      <c r="M4" s="70">
        <f t="shared" ref="M4:V4" si="1">M3*M2</f>
        <v>5.65</v>
      </c>
      <c r="N4" s="70">
        <f t="shared" si="1"/>
        <v>4.2</v>
      </c>
      <c r="O4" s="70">
        <f t="shared" si="1"/>
        <v>3.8000000000000003</v>
      </c>
      <c r="P4" s="70">
        <f t="shared" si="1"/>
        <v>1</v>
      </c>
      <c r="Q4" s="70">
        <f t="shared" si="1"/>
        <v>3</v>
      </c>
      <c r="R4" s="70">
        <f t="shared" si="1"/>
        <v>4</v>
      </c>
      <c r="S4" s="70">
        <f t="shared" si="1"/>
        <v>35</v>
      </c>
      <c r="T4" s="70">
        <f t="shared" si="1"/>
        <v>50</v>
      </c>
      <c r="U4" s="70">
        <f t="shared" si="1"/>
        <v>80</v>
      </c>
      <c r="V4" s="70">
        <f t="shared" si="1"/>
        <v>100</v>
      </c>
      <c r="W4" s="70"/>
      <c r="X4" s="70">
        <f>SUM(M4:V4)</f>
        <v>286.64999999999998</v>
      </c>
      <c r="Y4" s="96">
        <f>X4-J4</f>
        <v>244.49999999999997</v>
      </c>
      <c r="Z4" s="94">
        <v>166.9</v>
      </c>
      <c r="AA4" s="94">
        <v>53.2</v>
      </c>
      <c r="AB4" s="97">
        <f>Y4+AA4</f>
        <v>297.7</v>
      </c>
      <c r="AC4" s="85">
        <v>90</v>
      </c>
      <c r="AD4" s="96">
        <f>Z4-AC4</f>
        <v>76.900000000000006</v>
      </c>
      <c r="AE4" s="96">
        <f>Y4-Z4</f>
        <v>77.599999999999966</v>
      </c>
      <c r="AF4" s="85">
        <v>20</v>
      </c>
      <c r="AG4" s="96">
        <f>AE4-AF4</f>
        <v>57.599999999999966</v>
      </c>
      <c r="AH4" s="49"/>
      <c r="AI4" s="98">
        <f>(SUM(Z4:AA4)/(1+10/100))*(10/100)</f>
        <v>20.009090909090911</v>
      </c>
      <c r="AJ4" s="49"/>
      <c r="AK4" s="49"/>
      <c r="AL4" s="49"/>
    </row>
    <row r="6" spans="1:38" x14ac:dyDescent="0.2">
      <c r="A6" s="83" t="s">
        <v>135</v>
      </c>
      <c r="B6" s="84">
        <v>45964</v>
      </c>
      <c r="C6" s="85"/>
      <c r="D6" s="85"/>
      <c r="E6" s="85"/>
      <c r="F6" s="85"/>
      <c r="G6" s="85"/>
      <c r="H6" s="85"/>
      <c r="I6" s="85"/>
      <c r="J6" s="85"/>
      <c r="K6" s="86"/>
      <c r="L6" s="83" t="s">
        <v>136</v>
      </c>
      <c r="M6" s="84">
        <v>45964</v>
      </c>
      <c r="N6" s="85"/>
      <c r="O6" s="85"/>
      <c r="P6" s="85"/>
      <c r="Q6" s="85"/>
      <c r="R6" s="85"/>
      <c r="S6" s="85"/>
      <c r="T6" s="85"/>
      <c r="U6" s="85"/>
      <c r="V6" s="85"/>
      <c r="W6" s="87" t="s">
        <v>314</v>
      </c>
      <c r="X6" s="87" t="s">
        <v>141</v>
      </c>
      <c r="Y6" s="88" t="s">
        <v>192</v>
      </c>
      <c r="Z6" s="89" t="s">
        <v>142</v>
      </c>
      <c r="AA6" s="90" t="s">
        <v>193</v>
      </c>
      <c r="AB6" s="91" t="s">
        <v>194</v>
      </c>
      <c r="AC6" s="88" t="s">
        <v>312</v>
      </c>
      <c r="AD6" s="87" t="s">
        <v>195</v>
      </c>
      <c r="AE6" s="87" t="s">
        <v>196</v>
      </c>
      <c r="AF6" s="88" t="s">
        <v>313</v>
      </c>
      <c r="AG6" s="87" t="s">
        <v>198</v>
      </c>
      <c r="AH6" s="49"/>
      <c r="AI6" s="92"/>
      <c r="AJ6" s="49"/>
      <c r="AK6" s="49"/>
      <c r="AL6" s="49"/>
    </row>
    <row r="7" spans="1:38" x14ac:dyDescent="0.2">
      <c r="A7" s="87" t="s">
        <v>199</v>
      </c>
      <c r="B7" s="93">
        <v>0.05</v>
      </c>
      <c r="C7" s="93">
        <v>0.1</v>
      </c>
      <c r="D7" s="93">
        <v>0.2</v>
      </c>
      <c r="E7" s="93">
        <v>0.5</v>
      </c>
      <c r="F7" s="93">
        <v>1</v>
      </c>
      <c r="G7" s="93">
        <v>2</v>
      </c>
      <c r="H7" s="93">
        <v>5</v>
      </c>
      <c r="I7" s="93">
        <v>10</v>
      </c>
      <c r="J7" s="49"/>
      <c r="K7" s="86"/>
      <c r="L7" s="87" t="s">
        <v>199</v>
      </c>
      <c r="M7" s="93">
        <v>0.05</v>
      </c>
      <c r="N7" s="93">
        <v>0.1</v>
      </c>
      <c r="O7" s="93">
        <v>0.2</v>
      </c>
      <c r="P7" s="93">
        <v>0.5</v>
      </c>
      <c r="Q7" s="93">
        <v>1</v>
      </c>
      <c r="R7" s="93">
        <v>2</v>
      </c>
      <c r="S7" s="93">
        <v>5</v>
      </c>
      <c r="T7" s="93">
        <v>10</v>
      </c>
      <c r="U7" s="93">
        <v>20</v>
      </c>
      <c r="V7" s="93">
        <v>50</v>
      </c>
      <c r="W7" s="85"/>
      <c r="X7" s="85"/>
      <c r="Y7" s="85"/>
      <c r="Z7" s="49"/>
      <c r="AA7" s="94"/>
      <c r="AB7" s="95"/>
      <c r="AC7" s="85"/>
      <c r="AD7" s="85"/>
      <c r="AE7" s="85"/>
      <c r="AF7" s="85"/>
      <c r="AG7" s="85"/>
      <c r="AH7" s="49"/>
      <c r="AI7" s="92"/>
      <c r="AJ7" s="49"/>
      <c r="AK7" s="49"/>
      <c r="AL7" s="49"/>
    </row>
    <row r="8" spans="1:38" x14ac:dyDescent="0.2">
      <c r="A8" s="87" t="s">
        <v>200</v>
      </c>
      <c r="B8" s="38">
        <v>113</v>
      </c>
      <c r="C8" s="38">
        <v>42</v>
      </c>
      <c r="D8" s="38">
        <v>19</v>
      </c>
      <c r="E8" s="38">
        <v>2</v>
      </c>
      <c r="F8" s="38">
        <v>3</v>
      </c>
      <c r="G8" s="38">
        <v>2</v>
      </c>
      <c r="H8" s="38">
        <v>2</v>
      </c>
      <c r="I8" s="85"/>
      <c r="J8" s="85"/>
      <c r="K8" s="86"/>
      <c r="L8" s="87" t="s">
        <v>200</v>
      </c>
      <c r="M8" s="38">
        <v>55</v>
      </c>
      <c r="N8" s="38">
        <v>6</v>
      </c>
      <c r="O8" s="38">
        <v>7</v>
      </c>
      <c r="P8" s="38">
        <v>3</v>
      </c>
      <c r="Q8" s="38">
        <v>4</v>
      </c>
      <c r="R8" s="38">
        <v>4</v>
      </c>
      <c r="S8" s="38">
        <v>5</v>
      </c>
      <c r="T8" s="38">
        <v>3</v>
      </c>
      <c r="U8" s="49">
        <v>10</v>
      </c>
      <c r="V8" s="49">
        <v>0</v>
      </c>
      <c r="W8" s="85"/>
      <c r="X8" s="85"/>
      <c r="Y8" s="85"/>
      <c r="Z8" s="49"/>
      <c r="AA8" s="94"/>
      <c r="AB8" s="95"/>
      <c r="AC8" s="85"/>
      <c r="AD8" s="85"/>
      <c r="AE8" s="85"/>
      <c r="AF8" s="85"/>
      <c r="AG8" s="85"/>
      <c r="AH8" s="49"/>
      <c r="AI8" s="92"/>
      <c r="AJ8" s="49"/>
      <c r="AK8" s="49"/>
      <c r="AL8" s="49"/>
    </row>
    <row r="9" spans="1:38" x14ac:dyDescent="0.2">
      <c r="A9" s="87" t="s">
        <v>141</v>
      </c>
      <c r="B9" s="70">
        <f t="shared" ref="B9:H9" si="2">B8*B7</f>
        <v>5.65</v>
      </c>
      <c r="C9" s="70">
        <f t="shared" si="2"/>
        <v>4.2</v>
      </c>
      <c r="D9" s="70">
        <f t="shared" si="2"/>
        <v>3.8000000000000003</v>
      </c>
      <c r="E9" s="70">
        <f t="shared" si="2"/>
        <v>1</v>
      </c>
      <c r="F9" s="70">
        <f t="shared" si="2"/>
        <v>3</v>
      </c>
      <c r="G9" s="70">
        <f t="shared" si="2"/>
        <v>4</v>
      </c>
      <c r="H9" s="70">
        <f t="shared" si="2"/>
        <v>10</v>
      </c>
      <c r="I9" s="70">
        <f>J8*I7</f>
        <v>0</v>
      </c>
      <c r="J9" s="70">
        <f>SUM(B9:I9)</f>
        <v>31.650000000000002</v>
      </c>
      <c r="K9" s="86"/>
      <c r="L9" s="87" t="s">
        <v>141</v>
      </c>
      <c r="M9" s="70">
        <f t="shared" ref="M9:V9" si="3">M8*M7</f>
        <v>2.75</v>
      </c>
      <c r="N9" s="70">
        <f t="shared" si="3"/>
        <v>0.60000000000000009</v>
      </c>
      <c r="O9" s="70">
        <f t="shared" si="3"/>
        <v>1.4000000000000001</v>
      </c>
      <c r="P9" s="70">
        <f t="shared" si="3"/>
        <v>1.5</v>
      </c>
      <c r="Q9" s="70">
        <f t="shared" si="3"/>
        <v>4</v>
      </c>
      <c r="R9" s="70">
        <f t="shared" si="3"/>
        <v>8</v>
      </c>
      <c r="S9" s="70">
        <f t="shared" si="3"/>
        <v>25</v>
      </c>
      <c r="T9" s="70">
        <f t="shared" si="3"/>
        <v>30</v>
      </c>
      <c r="U9" s="70">
        <f t="shared" si="3"/>
        <v>200</v>
      </c>
      <c r="V9" s="70">
        <f t="shared" si="3"/>
        <v>0</v>
      </c>
      <c r="W9" s="70"/>
      <c r="X9" s="70">
        <f>SUM(M9:V9)</f>
        <v>273.25</v>
      </c>
      <c r="Y9" s="96">
        <f>X9-J9</f>
        <v>241.6</v>
      </c>
      <c r="Z9" s="94">
        <v>147.9</v>
      </c>
      <c r="AA9" s="94">
        <v>32.6</v>
      </c>
      <c r="AB9" s="97">
        <f>Y9+AA9</f>
        <v>274.2</v>
      </c>
      <c r="AC9" s="85">
        <v>90</v>
      </c>
      <c r="AD9" s="96">
        <f>Z9-AC9</f>
        <v>57.900000000000006</v>
      </c>
      <c r="AE9" s="96">
        <f>Y9-Z9</f>
        <v>93.699999999999989</v>
      </c>
      <c r="AF9" s="85"/>
      <c r="AG9" s="96">
        <f>AE9-AF9</f>
        <v>93.699999999999989</v>
      </c>
      <c r="AH9" s="49"/>
      <c r="AI9" s="98">
        <f>(SUM(Z9:AA9)/(1+10/100))*(10/100)</f>
        <v>16.409090909090907</v>
      </c>
      <c r="AJ9" s="49"/>
      <c r="AK9" s="49"/>
      <c r="AL9" s="49"/>
    </row>
    <row r="11" spans="1:38" x14ac:dyDescent="0.2">
      <c r="A11" s="83" t="s">
        <v>135</v>
      </c>
      <c r="B11" s="84">
        <v>45965</v>
      </c>
      <c r="C11" s="85"/>
      <c r="D11" s="85"/>
      <c r="E11" s="85"/>
      <c r="F11" s="85"/>
      <c r="G11" s="85"/>
      <c r="H11" s="85"/>
      <c r="I11" s="85"/>
      <c r="J11" s="85"/>
      <c r="K11" s="86"/>
      <c r="L11" s="83" t="s">
        <v>136</v>
      </c>
      <c r="M11" s="84">
        <v>45965</v>
      </c>
      <c r="N11" s="85"/>
      <c r="O11" s="85"/>
      <c r="P11" s="85"/>
      <c r="Q11" s="85"/>
      <c r="R11" s="85"/>
      <c r="S11" s="85"/>
      <c r="T11" s="85"/>
      <c r="U11" s="85"/>
      <c r="V11" s="85"/>
      <c r="W11" s="87" t="s">
        <v>314</v>
      </c>
      <c r="X11" s="87" t="s">
        <v>141</v>
      </c>
      <c r="Y11" s="88" t="s">
        <v>192</v>
      </c>
      <c r="Z11" s="89" t="s">
        <v>142</v>
      </c>
      <c r="AA11" s="90" t="s">
        <v>193</v>
      </c>
      <c r="AB11" s="91" t="s">
        <v>194</v>
      </c>
      <c r="AC11" s="88" t="s">
        <v>312</v>
      </c>
      <c r="AD11" s="87" t="s">
        <v>195</v>
      </c>
      <c r="AE11" s="87" t="s">
        <v>196</v>
      </c>
      <c r="AF11" s="88" t="s">
        <v>313</v>
      </c>
      <c r="AG11" s="87" t="s">
        <v>198</v>
      </c>
      <c r="AH11" s="49"/>
      <c r="AI11" s="92"/>
      <c r="AJ11" s="49"/>
      <c r="AK11" s="49"/>
      <c r="AL11" s="49"/>
    </row>
    <row r="12" spans="1:38" x14ac:dyDescent="0.2">
      <c r="A12" s="87" t="s">
        <v>199</v>
      </c>
      <c r="B12" s="93">
        <v>0.05</v>
      </c>
      <c r="C12" s="93">
        <v>0.1</v>
      </c>
      <c r="D12" s="93">
        <v>0.2</v>
      </c>
      <c r="E12" s="93">
        <v>0.5</v>
      </c>
      <c r="F12" s="93">
        <v>1</v>
      </c>
      <c r="G12" s="93">
        <v>2</v>
      </c>
      <c r="H12" s="93">
        <v>5</v>
      </c>
      <c r="I12" s="93">
        <v>10</v>
      </c>
      <c r="J12" s="49"/>
      <c r="K12" s="86"/>
      <c r="L12" s="87" t="s">
        <v>199</v>
      </c>
      <c r="M12" s="93">
        <v>0.05</v>
      </c>
      <c r="N12" s="93">
        <v>0.1</v>
      </c>
      <c r="O12" s="93">
        <v>0.2</v>
      </c>
      <c r="P12" s="93">
        <v>0.5</v>
      </c>
      <c r="Q12" s="93">
        <v>1</v>
      </c>
      <c r="R12" s="93">
        <v>2</v>
      </c>
      <c r="S12" s="93">
        <v>5</v>
      </c>
      <c r="T12" s="93">
        <v>10</v>
      </c>
      <c r="U12" s="93">
        <v>20</v>
      </c>
      <c r="V12" s="93">
        <v>50</v>
      </c>
      <c r="W12" s="85"/>
      <c r="X12" s="85"/>
      <c r="Y12" s="85"/>
      <c r="Z12" s="49"/>
      <c r="AA12" s="94"/>
      <c r="AB12" s="95"/>
      <c r="AC12" s="85"/>
      <c r="AD12" s="85"/>
      <c r="AE12" s="85"/>
      <c r="AF12" s="85"/>
      <c r="AG12" s="85"/>
      <c r="AH12" s="49"/>
      <c r="AI12" s="92"/>
      <c r="AJ12" s="49"/>
      <c r="AK12" s="49"/>
      <c r="AL12" s="49"/>
    </row>
    <row r="13" spans="1:38" x14ac:dyDescent="0.2">
      <c r="A13" s="87" t="s">
        <v>200</v>
      </c>
      <c r="B13" s="38">
        <v>55</v>
      </c>
      <c r="C13" s="38">
        <v>6</v>
      </c>
      <c r="D13" s="38">
        <v>7</v>
      </c>
      <c r="E13" s="38">
        <v>3</v>
      </c>
      <c r="F13" s="38">
        <v>4</v>
      </c>
      <c r="G13" s="38">
        <v>4</v>
      </c>
      <c r="H13" s="38">
        <v>3</v>
      </c>
      <c r="I13" s="85"/>
      <c r="J13" s="85"/>
      <c r="K13" s="86"/>
      <c r="L13" s="87" t="s">
        <v>200</v>
      </c>
      <c r="M13" s="38">
        <v>56</v>
      </c>
      <c r="N13" s="38">
        <v>15</v>
      </c>
      <c r="O13" s="38">
        <v>8</v>
      </c>
      <c r="P13" s="38">
        <v>8</v>
      </c>
      <c r="Q13" s="38">
        <v>2</v>
      </c>
      <c r="R13" s="38">
        <v>5</v>
      </c>
      <c r="S13" s="38">
        <v>10</v>
      </c>
      <c r="T13" s="38">
        <v>5</v>
      </c>
      <c r="U13" s="49">
        <v>5</v>
      </c>
      <c r="V13" s="49">
        <v>3</v>
      </c>
      <c r="W13" s="85"/>
      <c r="X13" s="85"/>
      <c r="Y13" s="85"/>
      <c r="Z13" s="49"/>
      <c r="AA13" s="94"/>
      <c r="AB13" s="95"/>
      <c r="AC13" s="85"/>
      <c r="AD13" s="85"/>
      <c r="AE13" s="85"/>
      <c r="AF13" s="85"/>
      <c r="AG13" s="85"/>
      <c r="AH13" s="49"/>
      <c r="AI13" s="92"/>
      <c r="AJ13" s="49"/>
      <c r="AK13" s="49"/>
      <c r="AL13" s="49"/>
    </row>
    <row r="14" spans="1:38" x14ac:dyDescent="0.2">
      <c r="A14" s="87" t="s">
        <v>141</v>
      </c>
      <c r="B14" s="70">
        <f t="shared" ref="B14:H14" si="4">B13*B12</f>
        <v>2.75</v>
      </c>
      <c r="C14" s="70">
        <f t="shared" si="4"/>
        <v>0.60000000000000009</v>
      </c>
      <c r="D14" s="70">
        <f t="shared" si="4"/>
        <v>1.4000000000000001</v>
      </c>
      <c r="E14" s="70">
        <f t="shared" si="4"/>
        <v>1.5</v>
      </c>
      <c r="F14" s="70">
        <f t="shared" si="4"/>
        <v>4</v>
      </c>
      <c r="G14" s="70">
        <f t="shared" si="4"/>
        <v>8</v>
      </c>
      <c r="H14" s="70">
        <f t="shared" si="4"/>
        <v>15</v>
      </c>
      <c r="I14" s="70">
        <f>J13*I12</f>
        <v>0</v>
      </c>
      <c r="J14" s="70">
        <f>SUM(B14:I14)</f>
        <v>33.25</v>
      </c>
      <c r="K14" s="86"/>
      <c r="L14" s="87" t="s">
        <v>141</v>
      </c>
      <c r="M14" s="70">
        <f t="shared" ref="M14:V14" si="5">M13*M12</f>
        <v>2.8000000000000003</v>
      </c>
      <c r="N14" s="70">
        <f t="shared" si="5"/>
        <v>1.5</v>
      </c>
      <c r="O14" s="70">
        <f t="shared" si="5"/>
        <v>1.6</v>
      </c>
      <c r="P14" s="70">
        <f t="shared" si="5"/>
        <v>4</v>
      </c>
      <c r="Q14" s="70">
        <f t="shared" si="5"/>
        <v>2</v>
      </c>
      <c r="R14" s="70">
        <f t="shared" si="5"/>
        <v>10</v>
      </c>
      <c r="S14" s="70">
        <f t="shared" si="5"/>
        <v>50</v>
      </c>
      <c r="T14" s="70">
        <f t="shared" si="5"/>
        <v>50</v>
      </c>
      <c r="U14" s="70">
        <f t="shared" si="5"/>
        <v>100</v>
      </c>
      <c r="V14" s="70">
        <f t="shared" si="5"/>
        <v>150</v>
      </c>
      <c r="W14" s="70"/>
      <c r="X14" s="70">
        <f>SUM(M14:V14)</f>
        <v>371.9</v>
      </c>
      <c r="Y14" s="96">
        <f>X14-J14</f>
        <v>338.65</v>
      </c>
      <c r="Z14" s="94">
        <v>187.2</v>
      </c>
      <c r="AA14" s="94">
        <v>59.5</v>
      </c>
      <c r="AB14" s="97">
        <f>Y14+AA14</f>
        <v>398.15</v>
      </c>
      <c r="AC14" s="85">
        <v>80</v>
      </c>
      <c r="AD14" s="96">
        <f>Z14-AC14</f>
        <v>107.19999999999999</v>
      </c>
      <c r="AE14" s="96">
        <f>Y14-Z14</f>
        <v>151.44999999999999</v>
      </c>
      <c r="AF14" s="85">
        <v>30</v>
      </c>
      <c r="AG14" s="96">
        <f>AE14-AF14</f>
        <v>121.44999999999999</v>
      </c>
      <c r="AH14" s="49"/>
      <c r="AI14" s="98">
        <f>(SUM(Z14:AA14)/(1+10/100))*(10/100)</f>
        <v>22.427272727272726</v>
      </c>
      <c r="AJ14" s="49"/>
      <c r="AK14" s="49"/>
      <c r="AL14" s="49"/>
    </row>
    <row r="16" spans="1:38" x14ac:dyDescent="0.2">
      <c r="A16" s="83" t="s">
        <v>135</v>
      </c>
      <c r="B16" s="84">
        <v>45966</v>
      </c>
      <c r="C16" s="85"/>
      <c r="D16" s="85"/>
      <c r="E16" s="85"/>
      <c r="F16" s="85"/>
      <c r="G16" s="85"/>
      <c r="H16" s="85"/>
      <c r="I16" s="85"/>
      <c r="J16" s="85"/>
      <c r="K16" s="86"/>
      <c r="L16" s="83" t="s">
        <v>136</v>
      </c>
      <c r="M16" s="84">
        <v>45966</v>
      </c>
      <c r="N16" s="85"/>
      <c r="O16" s="85"/>
      <c r="P16" s="85"/>
      <c r="Q16" s="85"/>
      <c r="R16" s="85"/>
      <c r="S16" s="85"/>
      <c r="T16" s="85"/>
      <c r="U16" s="85"/>
      <c r="V16" s="85"/>
      <c r="W16" s="87" t="s">
        <v>314</v>
      </c>
      <c r="X16" s="87" t="s">
        <v>141</v>
      </c>
      <c r="Y16" s="88" t="s">
        <v>192</v>
      </c>
      <c r="Z16" s="89" t="s">
        <v>142</v>
      </c>
      <c r="AA16" s="90" t="s">
        <v>193</v>
      </c>
      <c r="AB16" s="91" t="s">
        <v>194</v>
      </c>
      <c r="AC16" s="88" t="s">
        <v>312</v>
      </c>
      <c r="AD16" s="87" t="s">
        <v>195</v>
      </c>
      <c r="AE16" s="87" t="s">
        <v>196</v>
      </c>
      <c r="AF16" s="88" t="s">
        <v>313</v>
      </c>
      <c r="AG16" s="87" t="s">
        <v>198</v>
      </c>
      <c r="AH16" s="49"/>
      <c r="AI16" s="92"/>
      <c r="AJ16" s="49"/>
      <c r="AK16" s="49"/>
      <c r="AL16" s="49"/>
    </row>
    <row r="17" spans="1:38" x14ac:dyDescent="0.2">
      <c r="A17" s="87" t="s">
        <v>199</v>
      </c>
      <c r="B17" s="93">
        <v>0.05</v>
      </c>
      <c r="C17" s="93">
        <v>0.1</v>
      </c>
      <c r="D17" s="93">
        <v>0.2</v>
      </c>
      <c r="E17" s="93">
        <v>0.5</v>
      </c>
      <c r="F17" s="93">
        <v>1</v>
      </c>
      <c r="G17" s="93">
        <v>2</v>
      </c>
      <c r="H17" s="93">
        <v>5</v>
      </c>
      <c r="I17" s="93">
        <v>10</v>
      </c>
      <c r="J17" s="49"/>
      <c r="K17" s="86"/>
      <c r="L17" s="87" t="s">
        <v>199</v>
      </c>
      <c r="M17" s="93">
        <v>0.05</v>
      </c>
      <c r="N17" s="93">
        <v>0.1</v>
      </c>
      <c r="O17" s="93">
        <v>0.2</v>
      </c>
      <c r="P17" s="93">
        <v>0.5</v>
      </c>
      <c r="Q17" s="93">
        <v>1</v>
      </c>
      <c r="R17" s="93">
        <v>2</v>
      </c>
      <c r="S17" s="93">
        <v>5</v>
      </c>
      <c r="T17" s="93">
        <v>10</v>
      </c>
      <c r="U17" s="93">
        <v>20</v>
      </c>
      <c r="V17" s="93">
        <v>50</v>
      </c>
      <c r="W17" s="85"/>
      <c r="X17" s="85"/>
      <c r="Y17" s="85"/>
      <c r="Z17" s="49"/>
      <c r="AA17" s="94"/>
      <c r="AB17" s="95"/>
      <c r="AC17" s="85"/>
      <c r="AD17" s="85"/>
      <c r="AE17" s="85"/>
      <c r="AF17" s="85"/>
      <c r="AG17" s="85"/>
      <c r="AH17" s="49"/>
      <c r="AI17" s="92"/>
      <c r="AJ17" s="49"/>
      <c r="AK17" s="49"/>
      <c r="AL17" s="49"/>
    </row>
    <row r="18" spans="1:38" x14ac:dyDescent="0.2">
      <c r="A18" s="87" t="s">
        <v>200</v>
      </c>
      <c r="B18" s="38">
        <v>56</v>
      </c>
      <c r="C18" s="38">
        <v>15</v>
      </c>
      <c r="D18" s="38">
        <v>8</v>
      </c>
      <c r="E18" s="38">
        <v>8</v>
      </c>
      <c r="F18" s="38">
        <v>2</v>
      </c>
      <c r="G18" s="38">
        <v>5</v>
      </c>
      <c r="H18" s="38">
        <v>2</v>
      </c>
      <c r="I18" s="85"/>
      <c r="J18" s="85"/>
      <c r="K18" s="86"/>
      <c r="L18" s="87" t="s">
        <v>200</v>
      </c>
      <c r="M18" s="38">
        <v>70</v>
      </c>
      <c r="N18" s="38">
        <v>6</v>
      </c>
      <c r="O18" s="38">
        <v>30</v>
      </c>
      <c r="P18" s="38">
        <v>6</v>
      </c>
      <c r="Q18" s="38">
        <v>8</v>
      </c>
      <c r="R18" s="38">
        <v>2</v>
      </c>
      <c r="S18" s="38">
        <v>14</v>
      </c>
      <c r="T18" s="38">
        <v>4</v>
      </c>
      <c r="U18" s="49">
        <v>1</v>
      </c>
      <c r="V18" s="49">
        <v>3</v>
      </c>
      <c r="W18" s="85"/>
      <c r="X18" s="85"/>
      <c r="Y18" s="85"/>
      <c r="Z18" s="49"/>
      <c r="AA18" s="94"/>
      <c r="AB18" s="95"/>
      <c r="AC18" s="85"/>
      <c r="AD18" s="85"/>
      <c r="AE18" s="85"/>
      <c r="AF18" s="85"/>
      <c r="AG18" s="85"/>
      <c r="AH18" s="49"/>
      <c r="AI18" s="92"/>
      <c r="AJ18" s="49"/>
      <c r="AK18" s="49"/>
      <c r="AL18" s="49"/>
    </row>
    <row r="19" spans="1:38" x14ac:dyDescent="0.2">
      <c r="A19" s="87" t="s">
        <v>141</v>
      </c>
      <c r="B19" s="70">
        <f t="shared" ref="B19:H19" si="6">B18*B17</f>
        <v>2.8000000000000003</v>
      </c>
      <c r="C19" s="70">
        <f t="shared" si="6"/>
        <v>1.5</v>
      </c>
      <c r="D19" s="70">
        <f t="shared" si="6"/>
        <v>1.6</v>
      </c>
      <c r="E19" s="70">
        <f t="shared" si="6"/>
        <v>4</v>
      </c>
      <c r="F19" s="70">
        <f t="shared" si="6"/>
        <v>2</v>
      </c>
      <c r="G19" s="70">
        <f t="shared" si="6"/>
        <v>10</v>
      </c>
      <c r="H19" s="70">
        <f t="shared" si="6"/>
        <v>10</v>
      </c>
      <c r="I19" s="70">
        <f>J18*I17</f>
        <v>0</v>
      </c>
      <c r="J19" s="70">
        <f>SUM(B19:I19)</f>
        <v>31.9</v>
      </c>
      <c r="K19" s="86"/>
      <c r="L19" s="87" t="s">
        <v>141</v>
      </c>
      <c r="M19" s="70">
        <f t="shared" ref="M19:V19" si="7">M18*M17</f>
        <v>3.5</v>
      </c>
      <c r="N19" s="70">
        <f t="shared" si="7"/>
        <v>0.60000000000000009</v>
      </c>
      <c r="O19" s="70">
        <f t="shared" si="7"/>
        <v>6</v>
      </c>
      <c r="P19" s="70">
        <f t="shared" si="7"/>
        <v>3</v>
      </c>
      <c r="Q19" s="70">
        <f t="shared" si="7"/>
        <v>8</v>
      </c>
      <c r="R19" s="70">
        <f t="shared" si="7"/>
        <v>4</v>
      </c>
      <c r="S19" s="70">
        <f t="shared" si="7"/>
        <v>70</v>
      </c>
      <c r="T19" s="70">
        <f t="shared" si="7"/>
        <v>40</v>
      </c>
      <c r="U19" s="70">
        <f t="shared" si="7"/>
        <v>20</v>
      </c>
      <c r="V19" s="70">
        <f t="shared" si="7"/>
        <v>150</v>
      </c>
      <c r="W19" s="70"/>
      <c r="X19" s="70">
        <f>SUM(M19:V19)</f>
        <v>305.10000000000002</v>
      </c>
      <c r="Y19" s="96">
        <f>X19-J19</f>
        <v>273.20000000000005</v>
      </c>
      <c r="Z19" s="94">
        <v>149.5</v>
      </c>
      <c r="AA19" s="94">
        <v>55.2</v>
      </c>
      <c r="AB19" s="97">
        <f>Y19+AA19</f>
        <v>328.40000000000003</v>
      </c>
      <c r="AC19" s="85">
        <v>70</v>
      </c>
      <c r="AD19" s="96">
        <f>Z19-AC19</f>
        <v>79.5</v>
      </c>
      <c r="AE19" s="96">
        <f>Y19-Z19</f>
        <v>123.70000000000005</v>
      </c>
      <c r="AF19" s="85">
        <v>23</v>
      </c>
      <c r="AG19" s="96">
        <f>AE19-AF19</f>
        <v>100.70000000000005</v>
      </c>
      <c r="AH19" s="49"/>
      <c r="AI19" s="98">
        <f>(SUM(Z19:AA19)/(1+10/100))*(10/100)</f>
        <v>18.609090909090906</v>
      </c>
      <c r="AJ19" s="49"/>
      <c r="AK19" s="49"/>
      <c r="AL19" s="49"/>
    </row>
    <row r="21" spans="1:38" x14ac:dyDescent="0.2">
      <c r="A21" s="83" t="s">
        <v>135</v>
      </c>
      <c r="B21" s="84">
        <v>45967</v>
      </c>
      <c r="C21" s="85"/>
      <c r="D21" s="85"/>
      <c r="E21" s="85"/>
      <c r="F21" s="85"/>
      <c r="G21" s="85"/>
      <c r="H21" s="85"/>
      <c r="I21" s="85"/>
      <c r="J21" s="85"/>
      <c r="K21" s="86"/>
      <c r="L21" s="83" t="s">
        <v>136</v>
      </c>
      <c r="M21" s="84">
        <v>45967</v>
      </c>
      <c r="N21" s="85"/>
      <c r="O21" s="85"/>
      <c r="P21" s="85"/>
      <c r="Q21" s="85"/>
      <c r="R21" s="85"/>
      <c r="S21" s="85"/>
      <c r="T21" s="85"/>
      <c r="U21" s="85"/>
      <c r="V21" s="85"/>
      <c r="W21" s="87" t="s">
        <v>314</v>
      </c>
      <c r="X21" s="87" t="s">
        <v>141</v>
      </c>
      <c r="Y21" s="88" t="s">
        <v>192</v>
      </c>
      <c r="Z21" s="89" t="s">
        <v>142</v>
      </c>
      <c r="AA21" s="90" t="s">
        <v>193</v>
      </c>
      <c r="AB21" s="91" t="s">
        <v>194</v>
      </c>
      <c r="AC21" s="88" t="s">
        <v>312</v>
      </c>
      <c r="AD21" s="87" t="s">
        <v>195</v>
      </c>
      <c r="AE21" s="87" t="s">
        <v>196</v>
      </c>
      <c r="AF21" s="88" t="s">
        <v>313</v>
      </c>
      <c r="AG21" s="87" t="s">
        <v>198</v>
      </c>
      <c r="AH21" s="49"/>
      <c r="AI21" s="92"/>
      <c r="AJ21" s="49"/>
      <c r="AK21" s="49"/>
      <c r="AL21" s="49"/>
    </row>
    <row r="22" spans="1:38" x14ac:dyDescent="0.2">
      <c r="A22" s="87" t="s">
        <v>199</v>
      </c>
      <c r="B22" s="93">
        <v>0.05</v>
      </c>
      <c r="C22" s="93">
        <v>0.1</v>
      </c>
      <c r="D22" s="93">
        <v>0.2</v>
      </c>
      <c r="E22" s="93">
        <v>0.5</v>
      </c>
      <c r="F22" s="93">
        <v>1</v>
      </c>
      <c r="G22" s="93">
        <v>2</v>
      </c>
      <c r="H22" s="93">
        <v>5</v>
      </c>
      <c r="I22" s="93">
        <v>10</v>
      </c>
      <c r="J22" s="49"/>
      <c r="K22" s="86"/>
      <c r="L22" s="87" t="s">
        <v>199</v>
      </c>
      <c r="M22" s="93">
        <v>0.05</v>
      </c>
      <c r="N22" s="93">
        <v>0.1</v>
      </c>
      <c r="O22" s="93">
        <v>0.2</v>
      </c>
      <c r="P22" s="93">
        <v>0.5</v>
      </c>
      <c r="Q22" s="93">
        <v>1</v>
      </c>
      <c r="R22" s="93">
        <v>2</v>
      </c>
      <c r="S22" s="93">
        <v>5</v>
      </c>
      <c r="T22" s="93">
        <v>10</v>
      </c>
      <c r="U22" s="93">
        <v>20</v>
      </c>
      <c r="V22" s="93">
        <v>50</v>
      </c>
      <c r="W22" s="85"/>
      <c r="X22" s="85"/>
      <c r="Y22" s="85"/>
      <c r="Z22" s="49"/>
      <c r="AA22" s="94"/>
      <c r="AB22" s="95"/>
      <c r="AC22" s="85"/>
      <c r="AD22" s="85"/>
      <c r="AE22" s="85"/>
      <c r="AF22" s="85"/>
      <c r="AG22" s="85"/>
      <c r="AH22" s="49"/>
      <c r="AI22" s="92"/>
      <c r="AJ22" s="49"/>
      <c r="AK22" s="49"/>
      <c r="AL22" s="49"/>
    </row>
    <row r="23" spans="1:38" x14ac:dyDescent="0.2">
      <c r="A23" s="87" t="s">
        <v>200</v>
      </c>
      <c r="B23" s="38">
        <v>70</v>
      </c>
      <c r="C23" s="38">
        <v>6</v>
      </c>
      <c r="D23" s="38">
        <v>30</v>
      </c>
      <c r="E23" s="38">
        <v>6</v>
      </c>
      <c r="F23" s="38">
        <v>8</v>
      </c>
      <c r="G23" s="38">
        <v>2</v>
      </c>
      <c r="H23" s="38">
        <v>2</v>
      </c>
      <c r="I23" s="85"/>
      <c r="J23" s="85"/>
      <c r="K23" s="86"/>
      <c r="L23" s="87" t="s">
        <v>200</v>
      </c>
      <c r="M23" s="38">
        <v>55</v>
      </c>
      <c r="N23" s="38">
        <v>18</v>
      </c>
      <c r="O23" s="38">
        <v>8</v>
      </c>
      <c r="P23" s="38">
        <v>2</v>
      </c>
      <c r="Q23" s="38">
        <v>7</v>
      </c>
      <c r="R23" s="38">
        <v>2</v>
      </c>
      <c r="S23" s="38">
        <v>6</v>
      </c>
      <c r="T23" s="38">
        <v>12</v>
      </c>
      <c r="U23" s="49">
        <v>6</v>
      </c>
      <c r="V23" s="49">
        <v>1</v>
      </c>
      <c r="W23" s="85"/>
      <c r="X23" s="85"/>
      <c r="Y23" s="85"/>
      <c r="Z23" s="49"/>
      <c r="AA23" s="94"/>
      <c r="AB23" s="95"/>
      <c r="AC23" s="85"/>
      <c r="AD23" s="85"/>
      <c r="AE23" s="85"/>
      <c r="AF23" s="85"/>
      <c r="AG23" s="85"/>
      <c r="AH23" s="49"/>
      <c r="AI23" s="92"/>
      <c r="AJ23" s="49"/>
      <c r="AK23" s="49"/>
      <c r="AL23" s="49"/>
    </row>
    <row r="24" spans="1:38" x14ac:dyDescent="0.2">
      <c r="A24" s="87" t="s">
        <v>141</v>
      </c>
      <c r="B24" s="70">
        <f t="shared" ref="B24:H24" si="8">B23*B22</f>
        <v>3.5</v>
      </c>
      <c r="C24" s="70">
        <f t="shared" si="8"/>
        <v>0.60000000000000009</v>
      </c>
      <c r="D24" s="70">
        <f t="shared" si="8"/>
        <v>6</v>
      </c>
      <c r="E24" s="70">
        <f t="shared" si="8"/>
        <v>3</v>
      </c>
      <c r="F24" s="70">
        <f t="shared" si="8"/>
        <v>8</v>
      </c>
      <c r="G24" s="70">
        <f t="shared" si="8"/>
        <v>4</v>
      </c>
      <c r="H24" s="70">
        <f t="shared" si="8"/>
        <v>10</v>
      </c>
      <c r="I24" s="70">
        <f>J23*I22</f>
        <v>0</v>
      </c>
      <c r="J24" s="70">
        <f>SUM(B24:I24)</f>
        <v>35.1</v>
      </c>
      <c r="K24" s="86"/>
      <c r="L24" s="87" t="s">
        <v>141</v>
      </c>
      <c r="M24" s="70">
        <f t="shared" ref="M24:V24" si="9">M23*M22</f>
        <v>2.75</v>
      </c>
      <c r="N24" s="70">
        <f t="shared" si="9"/>
        <v>1.8</v>
      </c>
      <c r="O24" s="70">
        <f t="shared" si="9"/>
        <v>1.6</v>
      </c>
      <c r="P24" s="70">
        <f t="shared" si="9"/>
        <v>1</v>
      </c>
      <c r="Q24" s="70">
        <f t="shared" si="9"/>
        <v>7</v>
      </c>
      <c r="R24" s="70">
        <f t="shared" si="9"/>
        <v>4</v>
      </c>
      <c r="S24" s="70">
        <f t="shared" si="9"/>
        <v>30</v>
      </c>
      <c r="T24" s="70">
        <f t="shared" si="9"/>
        <v>120</v>
      </c>
      <c r="U24" s="70">
        <f t="shared" si="9"/>
        <v>120</v>
      </c>
      <c r="V24" s="70">
        <f t="shared" si="9"/>
        <v>50</v>
      </c>
      <c r="W24" s="70"/>
      <c r="X24" s="70">
        <f>SUM(M24:V24)</f>
        <v>338.15</v>
      </c>
      <c r="Y24" s="96">
        <f>X24-J24</f>
        <v>303.04999999999995</v>
      </c>
      <c r="Z24" s="94">
        <v>179.8</v>
      </c>
      <c r="AA24" s="94">
        <v>63.7</v>
      </c>
      <c r="AB24" s="97">
        <f>Y24+AA24</f>
        <v>366.74999999999994</v>
      </c>
      <c r="AC24" s="85">
        <v>79</v>
      </c>
      <c r="AD24" s="96">
        <f>Z24-AC24</f>
        <v>100.80000000000001</v>
      </c>
      <c r="AE24" s="96">
        <f>Y24-Z24</f>
        <v>123.24999999999994</v>
      </c>
      <c r="AF24" s="85">
        <v>10</v>
      </c>
      <c r="AG24" s="96">
        <f>AE24-AF24</f>
        <v>113.24999999999994</v>
      </c>
      <c r="AH24" s="49"/>
      <c r="AI24" s="98">
        <f>(SUM(Z24:AA24)/(1+10/100))*(10/100)</f>
        <v>22.136363636363637</v>
      </c>
      <c r="AJ24" s="49"/>
      <c r="AK24" s="49"/>
      <c r="AL24" s="49"/>
    </row>
    <row r="26" spans="1:38" x14ac:dyDescent="0.2">
      <c r="A26" s="83" t="s">
        <v>135</v>
      </c>
      <c r="B26" s="84">
        <v>45968</v>
      </c>
      <c r="C26" s="85"/>
      <c r="D26" s="85"/>
      <c r="E26" s="85"/>
      <c r="F26" s="85"/>
      <c r="G26" s="85"/>
      <c r="H26" s="85"/>
      <c r="I26" s="85"/>
      <c r="J26" s="85"/>
      <c r="K26" s="86"/>
      <c r="L26" s="83" t="s">
        <v>136</v>
      </c>
      <c r="M26" s="84">
        <v>45968</v>
      </c>
      <c r="N26" s="85"/>
      <c r="O26" s="85"/>
      <c r="P26" s="85"/>
      <c r="Q26" s="85"/>
      <c r="R26" s="85"/>
      <c r="S26" s="85"/>
      <c r="T26" s="85"/>
      <c r="U26" s="85"/>
      <c r="V26" s="85"/>
      <c r="W26" s="87" t="s">
        <v>314</v>
      </c>
      <c r="X26" s="87" t="s">
        <v>141</v>
      </c>
      <c r="Y26" s="88" t="s">
        <v>192</v>
      </c>
      <c r="Z26" s="89" t="s">
        <v>142</v>
      </c>
      <c r="AA26" s="90" t="s">
        <v>193</v>
      </c>
      <c r="AB26" s="91" t="s">
        <v>194</v>
      </c>
      <c r="AC26" s="88" t="s">
        <v>312</v>
      </c>
      <c r="AD26" s="87" t="s">
        <v>195</v>
      </c>
      <c r="AE26" s="87" t="s">
        <v>196</v>
      </c>
      <c r="AF26" s="88" t="s">
        <v>313</v>
      </c>
      <c r="AG26" s="87" t="s">
        <v>198</v>
      </c>
      <c r="AH26" s="49"/>
      <c r="AI26" s="92"/>
      <c r="AJ26" s="49"/>
      <c r="AK26" s="49"/>
      <c r="AL26" s="49"/>
    </row>
    <row r="27" spans="1:38" x14ac:dyDescent="0.2">
      <c r="A27" s="87" t="s">
        <v>199</v>
      </c>
      <c r="B27" s="93">
        <v>0.05</v>
      </c>
      <c r="C27" s="93">
        <v>0.1</v>
      </c>
      <c r="D27" s="93">
        <v>0.2</v>
      </c>
      <c r="E27" s="93">
        <v>0.5</v>
      </c>
      <c r="F27" s="93">
        <v>1</v>
      </c>
      <c r="G27" s="93">
        <v>2</v>
      </c>
      <c r="H27" s="93">
        <v>5</v>
      </c>
      <c r="I27" s="93">
        <v>10</v>
      </c>
      <c r="J27" s="49"/>
      <c r="K27" s="86"/>
      <c r="L27" s="87" t="s">
        <v>199</v>
      </c>
      <c r="M27" s="93">
        <v>0.05</v>
      </c>
      <c r="N27" s="93">
        <v>0.1</v>
      </c>
      <c r="O27" s="93">
        <v>0.2</v>
      </c>
      <c r="P27" s="93">
        <v>0.5</v>
      </c>
      <c r="Q27" s="93">
        <v>1</v>
      </c>
      <c r="R27" s="93">
        <v>2</v>
      </c>
      <c r="S27" s="93">
        <v>5</v>
      </c>
      <c r="T27" s="93">
        <v>10</v>
      </c>
      <c r="U27" s="93">
        <v>20</v>
      </c>
      <c r="V27" s="93">
        <v>50</v>
      </c>
      <c r="W27" s="85"/>
      <c r="X27" s="85"/>
      <c r="Y27" s="85"/>
      <c r="Z27" s="49"/>
      <c r="AA27" s="94"/>
      <c r="AB27" s="95"/>
      <c r="AC27" s="85"/>
      <c r="AD27" s="85"/>
      <c r="AE27" s="85"/>
      <c r="AF27" s="85"/>
      <c r="AG27" s="85"/>
      <c r="AH27" s="49"/>
      <c r="AI27" s="92"/>
      <c r="AJ27" s="49"/>
      <c r="AK27" s="49"/>
      <c r="AL27" s="49"/>
    </row>
    <row r="28" spans="1:38" x14ac:dyDescent="0.2">
      <c r="A28" s="87" t="s">
        <v>200</v>
      </c>
      <c r="B28" s="38">
        <v>55</v>
      </c>
      <c r="C28" s="38">
        <v>18</v>
      </c>
      <c r="D28" s="38">
        <v>8</v>
      </c>
      <c r="E28" s="38">
        <v>2</v>
      </c>
      <c r="F28" s="38">
        <v>7</v>
      </c>
      <c r="G28" s="38">
        <v>2</v>
      </c>
      <c r="H28" s="38">
        <v>2</v>
      </c>
      <c r="I28" s="85"/>
      <c r="J28" s="85"/>
      <c r="K28" s="86"/>
      <c r="L28" s="87" t="s">
        <v>200</v>
      </c>
      <c r="M28" s="38">
        <v>57</v>
      </c>
      <c r="N28" s="38">
        <v>28</v>
      </c>
      <c r="O28" s="38">
        <v>9</v>
      </c>
      <c r="P28" s="38">
        <v>2</v>
      </c>
      <c r="Q28" s="38">
        <v>8</v>
      </c>
      <c r="R28" s="38">
        <v>4</v>
      </c>
      <c r="S28" s="38">
        <v>4</v>
      </c>
      <c r="T28" s="38">
        <v>1</v>
      </c>
      <c r="U28" s="49">
        <v>2</v>
      </c>
      <c r="V28" s="49">
        <v>5</v>
      </c>
      <c r="W28" s="85"/>
      <c r="X28" s="85"/>
      <c r="Y28" s="85"/>
      <c r="Z28" s="49"/>
      <c r="AA28" s="94"/>
      <c r="AB28" s="95"/>
      <c r="AC28" s="85"/>
      <c r="AD28" s="85"/>
      <c r="AE28" s="85"/>
      <c r="AF28" s="85"/>
      <c r="AG28" s="85"/>
      <c r="AH28" s="49"/>
      <c r="AI28" s="92"/>
      <c r="AJ28" s="49"/>
      <c r="AK28" s="49"/>
      <c r="AL28" s="49"/>
    </row>
    <row r="29" spans="1:38" x14ac:dyDescent="0.2">
      <c r="A29" s="87" t="s">
        <v>141</v>
      </c>
      <c r="B29" s="38">
        <v>2.75</v>
      </c>
      <c r="C29" s="38">
        <v>1.8</v>
      </c>
      <c r="D29" s="38">
        <v>1.6</v>
      </c>
      <c r="E29" s="38">
        <v>1</v>
      </c>
      <c r="F29" s="38">
        <v>7</v>
      </c>
      <c r="G29" s="38">
        <v>4</v>
      </c>
      <c r="H29" s="38">
        <v>10</v>
      </c>
      <c r="I29" s="70">
        <f>J28*I27</f>
        <v>0</v>
      </c>
      <c r="J29" s="70">
        <f>SUM(B29:I29)</f>
        <v>28.15</v>
      </c>
      <c r="K29" s="86"/>
      <c r="L29" s="87" t="s">
        <v>141</v>
      </c>
      <c r="M29" s="70">
        <f t="shared" ref="M29:V29" si="10">M28*M27</f>
        <v>2.85</v>
      </c>
      <c r="N29" s="70">
        <f t="shared" si="10"/>
        <v>2.8000000000000003</v>
      </c>
      <c r="O29" s="70">
        <f t="shared" si="10"/>
        <v>1.8</v>
      </c>
      <c r="P29" s="70">
        <f t="shared" si="10"/>
        <v>1</v>
      </c>
      <c r="Q29" s="70">
        <f t="shared" si="10"/>
        <v>8</v>
      </c>
      <c r="R29" s="70">
        <f t="shared" si="10"/>
        <v>8</v>
      </c>
      <c r="S29" s="70">
        <f t="shared" si="10"/>
        <v>20</v>
      </c>
      <c r="T29" s="70">
        <f t="shared" si="10"/>
        <v>10</v>
      </c>
      <c r="U29" s="70">
        <f t="shared" si="10"/>
        <v>40</v>
      </c>
      <c r="V29" s="70">
        <f t="shared" si="10"/>
        <v>250</v>
      </c>
      <c r="W29" s="70"/>
      <c r="X29" s="70">
        <f>SUM(M29:V29)</f>
        <v>344.45</v>
      </c>
      <c r="Y29" s="96">
        <f>X29-J29</f>
        <v>316.3</v>
      </c>
      <c r="Z29" s="94">
        <v>196.6</v>
      </c>
      <c r="AA29" s="94">
        <v>75.7</v>
      </c>
      <c r="AB29" s="97">
        <f>Y29+AA29</f>
        <v>392</v>
      </c>
      <c r="AC29" s="85">
        <v>50</v>
      </c>
      <c r="AD29" s="96">
        <f>Z29-AC29</f>
        <v>146.6</v>
      </c>
      <c r="AE29" s="96">
        <f>Y29-Z29</f>
        <v>119.70000000000002</v>
      </c>
      <c r="AF29" s="85">
        <v>14</v>
      </c>
      <c r="AG29" s="96">
        <f>AE29-AF29</f>
        <v>105.70000000000002</v>
      </c>
      <c r="AH29" s="49"/>
      <c r="AI29" s="98">
        <f>(SUM(Z29:AA29)/(1+10/100))*(10/100)</f>
        <v>24.754545454545454</v>
      </c>
      <c r="AJ29" s="49"/>
      <c r="AK29" s="49"/>
      <c r="AL29" s="49"/>
    </row>
    <row r="31" spans="1:38" x14ac:dyDescent="0.2">
      <c r="A31" s="83" t="s">
        <v>135</v>
      </c>
      <c r="B31" s="84">
        <v>45969</v>
      </c>
      <c r="C31" s="85"/>
      <c r="D31" s="85"/>
      <c r="E31" s="85"/>
      <c r="F31" s="85"/>
      <c r="G31" s="85"/>
      <c r="H31" s="85"/>
      <c r="I31" s="85"/>
      <c r="J31" s="85"/>
      <c r="K31" s="86"/>
      <c r="L31" s="83" t="s">
        <v>136</v>
      </c>
      <c r="M31" s="84">
        <v>45969</v>
      </c>
      <c r="N31" s="85"/>
      <c r="O31" s="85"/>
      <c r="P31" s="85"/>
      <c r="Q31" s="85"/>
      <c r="R31" s="85"/>
      <c r="S31" s="85"/>
      <c r="T31" s="85"/>
      <c r="U31" s="85"/>
      <c r="V31" s="85"/>
      <c r="W31" s="87" t="s">
        <v>314</v>
      </c>
      <c r="X31" s="87" t="s">
        <v>141</v>
      </c>
      <c r="Y31" s="88" t="s">
        <v>192</v>
      </c>
      <c r="Z31" s="89" t="s">
        <v>142</v>
      </c>
      <c r="AA31" s="90" t="s">
        <v>193</v>
      </c>
      <c r="AB31" s="91" t="s">
        <v>194</v>
      </c>
      <c r="AC31" s="88" t="s">
        <v>312</v>
      </c>
      <c r="AD31" s="87" t="s">
        <v>195</v>
      </c>
      <c r="AE31" s="87" t="s">
        <v>196</v>
      </c>
      <c r="AF31" s="88" t="s">
        <v>313</v>
      </c>
      <c r="AG31" s="87" t="s">
        <v>198</v>
      </c>
      <c r="AH31" s="49"/>
      <c r="AI31" s="92"/>
      <c r="AJ31" s="49"/>
      <c r="AK31" s="49"/>
      <c r="AL31" s="49"/>
    </row>
    <row r="32" spans="1:38" x14ac:dyDescent="0.2">
      <c r="A32" s="87" t="s">
        <v>199</v>
      </c>
      <c r="B32" s="93">
        <v>0.05</v>
      </c>
      <c r="C32" s="93">
        <v>0.1</v>
      </c>
      <c r="D32" s="93">
        <v>0.2</v>
      </c>
      <c r="E32" s="93">
        <v>0.5</v>
      </c>
      <c r="F32" s="93">
        <v>1</v>
      </c>
      <c r="G32" s="93">
        <v>2</v>
      </c>
      <c r="H32" s="93">
        <v>5</v>
      </c>
      <c r="I32" s="93">
        <v>10</v>
      </c>
      <c r="J32" s="49"/>
      <c r="K32" s="86"/>
      <c r="L32" s="87" t="s">
        <v>199</v>
      </c>
      <c r="M32" s="93">
        <v>0.05</v>
      </c>
      <c r="N32" s="93">
        <v>0.1</v>
      </c>
      <c r="O32" s="93">
        <v>0.2</v>
      </c>
      <c r="P32" s="93">
        <v>0.5</v>
      </c>
      <c r="Q32" s="93">
        <v>1</v>
      </c>
      <c r="R32" s="93">
        <v>2</v>
      </c>
      <c r="S32" s="93">
        <v>5</v>
      </c>
      <c r="T32" s="93">
        <v>10</v>
      </c>
      <c r="U32" s="93">
        <v>20</v>
      </c>
      <c r="V32" s="93">
        <v>50</v>
      </c>
      <c r="W32" s="85"/>
      <c r="X32" s="85"/>
      <c r="Y32" s="85"/>
      <c r="Z32" s="49"/>
      <c r="AA32" s="94"/>
      <c r="AB32" s="95"/>
      <c r="AC32" s="85"/>
      <c r="AD32" s="85"/>
      <c r="AE32" s="85"/>
      <c r="AF32" s="85"/>
      <c r="AG32" s="85"/>
      <c r="AH32" s="49"/>
      <c r="AI32" s="92"/>
      <c r="AJ32" s="49"/>
      <c r="AK32" s="49"/>
      <c r="AL32" s="49"/>
    </row>
    <row r="33" spans="1:38" x14ac:dyDescent="0.2">
      <c r="A33" s="87" t="s">
        <v>200</v>
      </c>
      <c r="B33" s="38">
        <v>57</v>
      </c>
      <c r="C33" s="38">
        <v>28</v>
      </c>
      <c r="D33" s="38">
        <v>9</v>
      </c>
      <c r="E33" s="38">
        <v>2</v>
      </c>
      <c r="F33" s="38">
        <v>8</v>
      </c>
      <c r="G33" s="38">
        <v>4</v>
      </c>
      <c r="H33" s="38">
        <v>2</v>
      </c>
      <c r="I33" s="85"/>
      <c r="J33" s="85"/>
      <c r="K33" s="86"/>
      <c r="L33" s="87" t="s">
        <v>200</v>
      </c>
      <c r="M33" s="38">
        <v>59</v>
      </c>
      <c r="N33" s="38">
        <v>28</v>
      </c>
      <c r="O33" s="38">
        <v>8</v>
      </c>
      <c r="P33" s="38">
        <v>9</v>
      </c>
      <c r="Q33" s="38">
        <v>18</v>
      </c>
      <c r="R33" s="38">
        <v>9</v>
      </c>
      <c r="S33" s="38">
        <v>5</v>
      </c>
      <c r="T33" s="38">
        <v>1</v>
      </c>
      <c r="U33" s="49">
        <v>2</v>
      </c>
      <c r="V33" s="49">
        <v>3</v>
      </c>
      <c r="W33" s="85"/>
      <c r="X33" s="85"/>
      <c r="Y33" s="85"/>
      <c r="Z33" s="49"/>
      <c r="AA33" s="94"/>
      <c r="AB33" s="95"/>
      <c r="AC33" s="85"/>
      <c r="AD33" s="85"/>
      <c r="AE33" s="85"/>
      <c r="AF33" s="85"/>
      <c r="AG33" s="85"/>
      <c r="AH33" s="49"/>
      <c r="AI33" s="92"/>
      <c r="AJ33" s="49"/>
      <c r="AK33" s="49"/>
      <c r="AL33" s="49"/>
    </row>
    <row r="34" spans="1:38" x14ac:dyDescent="0.2">
      <c r="A34" s="87" t="s">
        <v>141</v>
      </c>
      <c r="B34" s="70">
        <f t="shared" ref="B34:H34" si="11">B33*B32</f>
        <v>2.85</v>
      </c>
      <c r="C34" s="70">
        <f t="shared" si="11"/>
        <v>2.8000000000000003</v>
      </c>
      <c r="D34" s="70">
        <f t="shared" si="11"/>
        <v>1.8</v>
      </c>
      <c r="E34" s="70">
        <f t="shared" si="11"/>
        <v>1</v>
      </c>
      <c r="F34" s="70">
        <f t="shared" si="11"/>
        <v>8</v>
      </c>
      <c r="G34" s="70">
        <f t="shared" si="11"/>
        <v>8</v>
      </c>
      <c r="H34" s="70">
        <f t="shared" si="11"/>
        <v>10</v>
      </c>
      <c r="I34" s="70">
        <f>J33*I32</f>
        <v>0</v>
      </c>
      <c r="J34" s="70">
        <f>SUM(B34:I34)</f>
        <v>34.450000000000003</v>
      </c>
      <c r="K34" s="86"/>
      <c r="L34" s="87" t="s">
        <v>141</v>
      </c>
      <c r="M34" s="70">
        <f t="shared" ref="M34:V34" si="12">M33*M32</f>
        <v>2.95</v>
      </c>
      <c r="N34" s="70">
        <f t="shared" si="12"/>
        <v>2.8000000000000003</v>
      </c>
      <c r="O34" s="70">
        <f t="shared" si="12"/>
        <v>1.6</v>
      </c>
      <c r="P34" s="70">
        <f t="shared" si="12"/>
        <v>4.5</v>
      </c>
      <c r="Q34" s="70">
        <f t="shared" si="12"/>
        <v>18</v>
      </c>
      <c r="R34" s="70">
        <f t="shared" si="12"/>
        <v>18</v>
      </c>
      <c r="S34" s="70">
        <f t="shared" si="12"/>
        <v>25</v>
      </c>
      <c r="T34" s="70">
        <f t="shared" si="12"/>
        <v>10</v>
      </c>
      <c r="U34" s="70">
        <f t="shared" si="12"/>
        <v>40</v>
      </c>
      <c r="V34" s="70">
        <f t="shared" si="12"/>
        <v>150</v>
      </c>
      <c r="W34" s="70"/>
      <c r="X34" s="70">
        <f>SUM(M34:V34)</f>
        <v>272.85000000000002</v>
      </c>
      <c r="Y34" s="96">
        <f>X34-J34</f>
        <v>238.40000000000003</v>
      </c>
      <c r="Z34" s="94">
        <v>108.4</v>
      </c>
      <c r="AA34" s="94">
        <v>31.5</v>
      </c>
      <c r="AB34" s="97">
        <f>Y34+AA34</f>
        <v>269.90000000000003</v>
      </c>
      <c r="AC34" s="85">
        <v>55</v>
      </c>
      <c r="AD34" s="96">
        <f>Z34-AC34</f>
        <v>53.400000000000006</v>
      </c>
      <c r="AE34" s="96">
        <f>Y34-Z34</f>
        <v>130.00000000000003</v>
      </c>
      <c r="AF34" s="85">
        <v>130</v>
      </c>
      <c r="AG34" s="96">
        <f>AE34-AF34</f>
        <v>0</v>
      </c>
      <c r="AH34" s="49"/>
      <c r="AI34" s="98">
        <f>(SUM(Z34:AA34)/(1+10/100))*(10/100)</f>
        <v>12.718181818181819</v>
      </c>
      <c r="AJ34" s="49"/>
      <c r="AK34" s="49"/>
      <c r="AL34" s="49"/>
    </row>
    <row r="36" spans="1:38" x14ac:dyDescent="0.2">
      <c r="A36" s="83" t="s">
        <v>135</v>
      </c>
      <c r="B36" s="84">
        <v>45971</v>
      </c>
      <c r="C36" s="85"/>
      <c r="D36" s="85"/>
      <c r="E36" s="85"/>
      <c r="F36" s="85"/>
      <c r="G36" s="85"/>
      <c r="H36" s="85"/>
      <c r="I36" s="85"/>
      <c r="J36" s="85"/>
      <c r="K36" s="86"/>
      <c r="L36" s="83" t="s">
        <v>136</v>
      </c>
      <c r="M36" s="84">
        <v>45971</v>
      </c>
      <c r="N36" s="85"/>
      <c r="O36" s="85"/>
      <c r="P36" s="85"/>
      <c r="Q36" s="85"/>
      <c r="R36" s="85"/>
      <c r="S36" s="85"/>
      <c r="T36" s="85"/>
      <c r="U36" s="85"/>
      <c r="V36" s="85"/>
      <c r="W36" s="87" t="s">
        <v>314</v>
      </c>
      <c r="X36" s="87" t="s">
        <v>141</v>
      </c>
      <c r="Y36" s="88" t="s">
        <v>192</v>
      </c>
      <c r="Z36" s="89" t="s">
        <v>142</v>
      </c>
      <c r="AA36" s="90" t="s">
        <v>193</v>
      </c>
      <c r="AB36" s="91" t="s">
        <v>194</v>
      </c>
      <c r="AC36" s="88" t="s">
        <v>312</v>
      </c>
      <c r="AD36" s="87" t="s">
        <v>195</v>
      </c>
      <c r="AE36" s="87" t="s">
        <v>196</v>
      </c>
      <c r="AF36" s="88" t="s">
        <v>313</v>
      </c>
      <c r="AG36" s="87" t="s">
        <v>198</v>
      </c>
      <c r="AH36" s="49"/>
      <c r="AI36" s="92"/>
      <c r="AJ36" s="49"/>
      <c r="AK36" s="49"/>
      <c r="AL36" s="49"/>
    </row>
    <row r="37" spans="1:38" x14ac:dyDescent="0.2">
      <c r="A37" s="87" t="s">
        <v>199</v>
      </c>
      <c r="B37" s="93">
        <v>0.05</v>
      </c>
      <c r="C37" s="93">
        <v>0.1</v>
      </c>
      <c r="D37" s="93">
        <v>0.2</v>
      </c>
      <c r="E37" s="93">
        <v>0.5</v>
      </c>
      <c r="F37" s="93">
        <v>1</v>
      </c>
      <c r="G37" s="93">
        <v>2</v>
      </c>
      <c r="H37" s="93">
        <v>5</v>
      </c>
      <c r="I37" s="93">
        <v>10</v>
      </c>
      <c r="J37" s="49"/>
      <c r="K37" s="86"/>
      <c r="L37" s="87" t="s">
        <v>199</v>
      </c>
      <c r="M37" s="93">
        <v>0.05</v>
      </c>
      <c r="N37" s="93">
        <v>0.1</v>
      </c>
      <c r="O37" s="93">
        <v>0.2</v>
      </c>
      <c r="P37" s="93">
        <v>0.5</v>
      </c>
      <c r="Q37" s="93">
        <v>1</v>
      </c>
      <c r="R37" s="93">
        <v>2</v>
      </c>
      <c r="S37" s="93">
        <v>5</v>
      </c>
      <c r="T37" s="93">
        <v>10</v>
      </c>
      <c r="U37" s="93">
        <v>20</v>
      </c>
      <c r="V37" s="93">
        <v>50</v>
      </c>
      <c r="W37" s="85"/>
      <c r="X37" s="85"/>
      <c r="Y37" s="85"/>
      <c r="Z37" s="49"/>
      <c r="AA37" s="94"/>
      <c r="AB37" s="95"/>
      <c r="AC37" s="85"/>
      <c r="AD37" s="85"/>
      <c r="AE37" s="85"/>
      <c r="AF37" s="85"/>
      <c r="AG37" s="85"/>
      <c r="AH37" s="49"/>
      <c r="AI37" s="92"/>
      <c r="AJ37" s="49"/>
      <c r="AK37" s="49"/>
      <c r="AL37" s="49"/>
    </row>
    <row r="38" spans="1:38" x14ac:dyDescent="0.2">
      <c r="A38" s="87" t="s">
        <v>200</v>
      </c>
      <c r="B38" s="38">
        <v>59</v>
      </c>
      <c r="C38" s="38">
        <v>28</v>
      </c>
      <c r="D38" s="38">
        <v>8</v>
      </c>
      <c r="E38" s="38">
        <v>9</v>
      </c>
      <c r="F38" s="38">
        <v>6</v>
      </c>
      <c r="G38" s="38">
        <v>6</v>
      </c>
      <c r="H38" s="38">
        <v>2</v>
      </c>
      <c r="I38" s="85"/>
      <c r="J38" s="85"/>
      <c r="K38" s="86"/>
      <c r="L38" s="87" t="s">
        <v>200</v>
      </c>
      <c r="M38" s="38">
        <v>59</v>
      </c>
      <c r="N38" s="38">
        <v>42</v>
      </c>
      <c r="O38" s="38">
        <v>11</v>
      </c>
      <c r="P38" s="38">
        <v>0</v>
      </c>
      <c r="Q38" s="38">
        <v>5</v>
      </c>
      <c r="R38" s="38">
        <v>14</v>
      </c>
      <c r="S38" s="38">
        <v>7</v>
      </c>
      <c r="T38" s="38">
        <v>14</v>
      </c>
      <c r="U38" s="49">
        <v>1</v>
      </c>
      <c r="V38" s="49">
        <v>3</v>
      </c>
      <c r="W38" s="85"/>
      <c r="X38" s="85"/>
      <c r="Y38" s="85"/>
      <c r="Z38" s="49"/>
      <c r="AA38" s="94"/>
      <c r="AB38" s="95"/>
      <c r="AC38" s="85"/>
      <c r="AD38" s="85"/>
      <c r="AE38" s="85"/>
      <c r="AF38" s="85"/>
      <c r="AG38" s="85"/>
      <c r="AH38" s="49"/>
      <c r="AI38" s="92"/>
      <c r="AJ38" s="49"/>
      <c r="AK38" s="49"/>
      <c r="AL38" s="49"/>
    </row>
    <row r="39" spans="1:38" x14ac:dyDescent="0.2">
      <c r="A39" s="87" t="s">
        <v>141</v>
      </c>
      <c r="B39" s="70">
        <f t="shared" ref="B39:H39" si="13">B38*B37</f>
        <v>2.95</v>
      </c>
      <c r="C39" s="70">
        <f t="shared" si="13"/>
        <v>2.8000000000000003</v>
      </c>
      <c r="D39" s="70">
        <f t="shared" si="13"/>
        <v>1.6</v>
      </c>
      <c r="E39" s="70">
        <f t="shared" si="13"/>
        <v>4.5</v>
      </c>
      <c r="F39" s="70">
        <f t="shared" si="13"/>
        <v>6</v>
      </c>
      <c r="G39" s="70">
        <f t="shared" si="13"/>
        <v>12</v>
      </c>
      <c r="H39" s="70">
        <f t="shared" si="13"/>
        <v>10</v>
      </c>
      <c r="I39" s="70">
        <f>J38*I37</f>
        <v>0</v>
      </c>
      <c r="J39" s="70">
        <f>SUM(B39:I39)</f>
        <v>39.85</v>
      </c>
      <c r="K39" s="86"/>
      <c r="L39" s="87" t="s">
        <v>141</v>
      </c>
      <c r="M39" s="70">
        <f t="shared" ref="M39:V39" si="14">M38*M37</f>
        <v>2.95</v>
      </c>
      <c r="N39" s="70">
        <f t="shared" si="14"/>
        <v>4.2</v>
      </c>
      <c r="O39" s="70">
        <f t="shared" si="14"/>
        <v>2.2000000000000002</v>
      </c>
      <c r="P39" s="70">
        <f t="shared" si="14"/>
        <v>0</v>
      </c>
      <c r="Q39" s="70">
        <f t="shared" si="14"/>
        <v>5</v>
      </c>
      <c r="R39" s="70">
        <f t="shared" si="14"/>
        <v>28</v>
      </c>
      <c r="S39" s="70">
        <f t="shared" si="14"/>
        <v>35</v>
      </c>
      <c r="T39" s="70">
        <f t="shared" si="14"/>
        <v>140</v>
      </c>
      <c r="U39" s="70">
        <f t="shared" si="14"/>
        <v>20</v>
      </c>
      <c r="V39" s="70">
        <f t="shared" si="14"/>
        <v>150</v>
      </c>
      <c r="W39" s="70"/>
      <c r="X39" s="70">
        <f>SUM(M39:V39)</f>
        <v>387.35</v>
      </c>
      <c r="Y39" s="96">
        <f>X39-J39</f>
        <v>347.5</v>
      </c>
      <c r="Z39" s="94">
        <v>217.3</v>
      </c>
      <c r="AA39" s="94">
        <v>67.900000000000006</v>
      </c>
      <c r="AB39" s="97">
        <f>Y39+AA39</f>
        <v>415.4</v>
      </c>
      <c r="AC39" s="85">
        <v>145</v>
      </c>
      <c r="AD39" s="96">
        <f>Z39-AC39</f>
        <v>72.300000000000011</v>
      </c>
      <c r="AE39" s="96">
        <f>Y39-Z39</f>
        <v>130.19999999999999</v>
      </c>
      <c r="AF39" s="85"/>
      <c r="AG39" s="96">
        <f>AE39-AF39</f>
        <v>130.19999999999999</v>
      </c>
      <c r="AH39" s="49"/>
      <c r="AI39" s="98">
        <f>(SUM(Z39:AA39)/(1+10/100))*(10/100)</f>
        <v>25.927272727272733</v>
      </c>
      <c r="AJ39" s="49"/>
      <c r="AK39" s="49"/>
      <c r="AL39" s="49"/>
    </row>
    <row r="41" spans="1:38" x14ac:dyDescent="0.2">
      <c r="A41" s="83" t="s">
        <v>135</v>
      </c>
      <c r="B41" s="84">
        <v>45972</v>
      </c>
      <c r="C41" s="85"/>
      <c r="D41" s="85"/>
      <c r="E41" s="85"/>
      <c r="F41" s="85"/>
      <c r="G41" s="85"/>
      <c r="H41" s="85"/>
      <c r="I41" s="85"/>
      <c r="J41" s="85"/>
      <c r="K41" s="86"/>
      <c r="L41" s="83" t="s">
        <v>136</v>
      </c>
      <c r="M41" s="84">
        <v>45972</v>
      </c>
      <c r="N41" s="85"/>
      <c r="O41" s="85"/>
      <c r="P41" s="85"/>
      <c r="Q41" s="85"/>
      <c r="R41" s="85"/>
      <c r="S41" s="85"/>
      <c r="T41" s="85"/>
      <c r="U41" s="85"/>
      <c r="V41" s="85"/>
      <c r="W41" s="87" t="s">
        <v>314</v>
      </c>
      <c r="X41" s="87" t="s">
        <v>141</v>
      </c>
      <c r="Y41" s="88" t="s">
        <v>192</v>
      </c>
      <c r="Z41" s="89" t="s">
        <v>142</v>
      </c>
      <c r="AA41" s="90" t="s">
        <v>193</v>
      </c>
      <c r="AB41" s="91" t="s">
        <v>194</v>
      </c>
      <c r="AC41" s="88" t="s">
        <v>312</v>
      </c>
      <c r="AD41" s="87" t="s">
        <v>195</v>
      </c>
      <c r="AE41" s="87" t="s">
        <v>196</v>
      </c>
      <c r="AF41" s="88" t="s">
        <v>313</v>
      </c>
      <c r="AG41" s="87" t="s">
        <v>198</v>
      </c>
      <c r="AH41" s="49"/>
      <c r="AI41" s="92"/>
      <c r="AJ41" s="49"/>
      <c r="AK41" s="49"/>
      <c r="AL41" s="49"/>
    </row>
    <row r="42" spans="1:38" x14ac:dyDescent="0.2">
      <c r="A42" s="87" t="s">
        <v>199</v>
      </c>
      <c r="B42" s="93">
        <v>0.05</v>
      </c>
      <c r="C42" s="93">
        <v>0.1</v>
      </c>
      <c r="D42" s="93">
        <v>0.2</v>
      </c>
      <c r="E42" s="93">
        <v>0.5</v>
      </c>
      <c r="F42" s="93">
        <v>1</v>
      </c>
      <c r="G42" s="93">
        <v>2</v>
      </c>
      <c r="H42" s="93">
        <v>5</v>
      </c>
      <c r="I42" s="93">
        <v>10</v>
      </c>
      <c r="J42" s="49"/>
      <c r="K42" s="86"/>
      <c r="L42" s="87" t="s">
        <v>199</v>
      </c>
      <c r="M42" s="93">
        <v>0.05</v>
      </c>
      <c r="N42" s="93">
        <v>0.1</v>
      </c>
      <c r="O42" s="93">
        <v>0.2</v>
      </c>
      <c r="P42" s="93">
        <v>0.5</v>
      </c>
      <c r="Q42" s="93">
        <v>1</v>
      </c>
      <c r="R42" s="93">
        <v>2</v>
      </c>
      <c r="S42" s="93">
        <v>5</v>
      </c>
      <c r="T42" s="93">
        <v>10</v>
      </c>
      <c r="U42" s="93">
        <v>20</v>
      </c>
      <c r="V42" s="93">
        <v>50</v>
      </c>
      <c r="W42" s="85"/>
      <c r="X42" s="85"/>
      <c r="Y42" s="85"/>
      <c r="Z42" s="49"/>
      <c r="AA42" s="94"/>
      <c r="AB42" s="95"/>
      <c r="AC42" s="85"/>
      <c r="AD42" s="85"/>
      <c r="AE42" s="85"/>
      <c r="AF42" s="85"/>
      <c r="AG42" s="85"/>
      <c r="AH42" s="49"/>
      <c r="AI42" s="92"/>
      <c r="AJ42" s="49"/>
      <c r="AK42" s="49"/>
      <c r="AL42" s="49"/>
    </row>
    <row r="43" spans="1:38" x14ac:dyDescent="0.2">
      <c r="A43" s="87" t="s">
        <v>200</v>
      </c>
      <c r="B43" s="38">
        <v>59</v>
      </c>
      <c r="C43" s="38">
        <v>42</v>
      </c>
      <c r="D43" s="38">
        <v>11</v>
      </c>
      <c r="E43" s="38">
        <v>0</v>
      </c>
      <c r="F43" s="38">
        <v>5</v>
      </c>
      <c r="G43" s="38">
        <v>7</v>
      </c>
      <c r="H43" s="38">
        <v>2</v>
      </c>
      <c r="I43" s="85"/>
      <c r="J43" s="85"/>
      <c r="K43" s="86"/>
      <c r="L43" s="87" t="s">
        <v>200</v>
      </c>
      <c r="M43" s="38">
        <v>82</v>
      </c>
      <c r="N43" s="38">
        <v>46</v>
      </c>
      <c r="O43" s="38">
        <v>9</v>
      </c>
      <c r="P43" s="38">
        <v>12</v>
      </c>
      <c r="Q43" s="38">
        <v>18</v>
      </c>
      <c r="R43" s="38">
        <v>7</v>
      </c>
      <c r="S43" s="38">
        <v>10</v>
      </c>
      <c r="T43" s="38">
        <v>6</v>
      </c>
      <c r="U43" s="49">
        <v>2</v>
      </c>
      <c r="V43" s="49">
        <v>0</v>
      </c>
      <c r="W43" s="85"/>
      <c r="X43" s="85"/>
      <c r="Y43" s="85"/>
      <c r="Z43" s="49"/>
      <c r="AA43" s="94"/>
      <c r="AB43" s="95"/>
      <c r="AC43" s="85"/>
      <c r="AD43" s="85"/>
      <c r="AE43" s="85"/>
      <c r="AF43" s="85"/>
      <c r="AG43" s="85"/>
      <c r="AH43" s="49"/>
      <c r="AI43" s="92"/>
      <c r="AJ43" s="49"/>
      <c r="AK43" s="49"/>
      <c r="AL43" s="49"/>
    </row>
    <row r="44" spans="1:38" x14ac:dyDescent="0.2">
      <c r="A44" s="87" t="s">
        <v>141</v>
      </c>
      <c r="B44" s="70">
        <f t="shared" ref="B44:H44" si="15">B43*B42</f>
        <v>2.95</v>
      </c>
      <c r="C44" s="70">
        <f t="shared" si="15"/>
        <v>4.2</v>
      </c>
      <c r="D44" s="70">
        <f t="shared" si="15"/>
        <v>2.2000000000000002</v>
      </c>
      <c r="E44" s="70">
        <f t="shared" si="15"/>
        <v>0</v>
      </c>
      <c r="F44" s="70">
        <f t="shared" si="15"/>
        <v>5</v>
      </c>
      <c r="G44" s="70">
        <f t="shared" si="15"/>
        <v>14</v>
      </c>
      <c r="H44" s="70">
        <f t="shared" si="15"/>
        <v>10</v>
      </c>
      <c r="I44" s="70">
        <f>J43*I42</f>
        <v>0</v>
      </c>
      <c r="J44" s="70">
        <f>SUM(B44:I44)</f>
        <v>38.35</v>
      </c>
      <c r="K44" s="86"/>
      <c r="L44" s="87" t="s">
        <v>141</v>
      </c>
      <c r="M44" s="70">
        <f t="shared" ref="M44:V44" si="16">M43*M42</f>
        <v>4.1000000000000005</v>
      </c>
      <c r="N44" s="70">
        <f t="shared" si="16"/>
        <v>4.6000000000000005</v>
      </c>
      <c r="O44" s="70">
        <f t="shared" si="16"/>
        <v>1.8</v>
      </c>
      <c r="P44" s="70">
        <f t="shared" si="16"/>
        <v>6</v>
      </c>
      <c r="Q44" s="70">
        <f t="shared" si="16"/>
        <v>18</v>
      </c>
      <c r="R44" s="70">
        <f t="shared" si="16"/>
        <v>14</v>
      </c>
      <c r="S44" s="70">
        <f t="shared" si="16"/>
        <v>50</v>
      </c>
      <c r="T44" s="70">
        <f t="shared" si="16"/>
        <v>60</v>
      </c>
      <c r="U44" s="70">
        <f t="shared" si="16"/>
        <v>40</v>
      </c>
      <c r="V44" s="70">
        <f t="shared" si="16"/>
        <v>0</v>
      </c>
      <c r="W44" s="70"/>
      <c r="X44" s="70">
        <f>SUM(M44:V44)</f>
        <v>198.5</v>
      </c>
      <c r="Y44" s="96">
        <f>X44-J44</f>
        <v>160.15</v>
      </c>
      <c r="Z44" s="94">
        <v>82.7</v>
      </c>
      <c r="AA44" s="94">
        <v>133.82</v>
      </c>
      <c r="AB44" s="97">
        <f>Y44+AA44</f>
        <v>293.97000000000003</v>
      </c>
      <c r="AC44" s="85">
        <v>40</v>
      </c>
      <c r="AD44" s="96">
        <f>Z44-AC44</f>
        <v>42.7</v>
      </c>
      <c r="AE44" s="96">
        <f>Y44-Z44</f>
        <v>77.45</v>
      </c>
      <c r="AF44" s="85">
        <v>1.45</v>
      </c>
      <c r="AG44" s="96">
        <f>AE44-AF44</f>
        <v>76</v>
      </c>
      <c r="AH44" s="49"/>
      <c r="AI44" s="98">
        <f>(SUM(Z44:AA44)/(1+10/100))*(10/100)</f>
        <v>19.683636363636364</v>
      </c>
      <c r="AJ44" s="49"/>
      <c r="AK44" s="49"/>
      <c r="AL44" s="49"/>
    </row>
    <row r="46" spans="1:38" x14ac:dyDescent="0.2">
      <c r="A46" s="83" t="s">
        <v>135</v>
      </c>
      <c r="B46" s="84">
        <v>45973</v>
      </c>
      <c r="C46" s="85"/>
      <c r="D46" s="85"/>
      <c r="E46" s="85"/>
      <c r="F46" s="85"/>
      <c r="G46" s="85"/>
      <c r="H46" s="85"/>
      <c r="I46" s="85"/>
      <c r="J46" s="85"/>
      <c r="K46" s="86"/>
      <c r="L46" s="83" t="s">
        <v>136</v>
      </c>
      <c r="M46" s="84">
        <v>45973</v>
      </c>
      <c r="N46" s="85"/>
      <c r="O46" s="85"/>
      <c r="P46" s="85"/>
      <c r="Q46" s="85"/>
      <c r="R46" s="85"/>
      <c r="S46" s="85"/>
      <c r="T46" s="85"/>
      <c r="U46" s="85"/>
      <c r="V46" s="85"/>
      <c r="W46" s="87" t="s">
        <v>314</v>
      </c>
      <c r="X46" s="87" t="s">
        <v>141</v>
      </c>
      <c r="Y46" s="88" t="s">
        <v>192</v>
      </c>
      <c r="Z46" s="89" t="s">
        <v>142</v>
      </c>
      <c r="AA46" s="90" t="s">
        <v>193</v>
      </c>
      <c r="AB46" s="91" t="s">
        <v>194</v>
      </c>
      <c r="AC46" s="88" t="s">
        <v>312</v>
      </c>
      <c r="AD46" s="87" t="s">
        <v>195</v>
      </c>
      <c r="AE46" s="87" t="s">
        <v>196</v>
      </c>
      <c r="AF46" s="88" t="s">
        <v>313</v>
      </c>
      <c r="AG46" s="87" t="s">
        <v>198</v>
      </c>
      <c r="AH46" s="49"/>
      <c r="AI46" s="92"/>
      <c r="AJ46" s="49"/>
      <c r="AK46" s="49"/>
      <c r="AL46" s="49"/>
    </row>
    <row r="47" spans="1:38" x14ac:dyDescent="0.2">
      <c r="A47" s="87" t="s">
        <v>199</v>
      </c>
      <c r="B47" s="93">
        <v>0.05</v>
      </c>
      <c r="C47" s="93">
        <v>0.1</v>
      </c>
      <c r="D47" s="93">
        <v>0.2</v>
      </c>
      <c r="E47" s="93">
        <v>0.5</v>
      </c>
      <c r="F47" s="93">
        <v>1</v>
      </c>
      <c r="G47" s="93">
        <v>2</v>
      </c>
      <c r="H47" s="93">
        <v>5</v>
      </c>
      <c r="I47" s="93">
        <v>10</v>
      </c>
      <c r="J47" s="49"/>
      <c r="K47" s="86"/>
      <c r="L47" s="87" t="s">
        <v>199</v>
      </c>
      <c r="M47" s="93">
        <v>0.05</v>
      </c>
      <c r="N47" s="93">
        <v>0.1</v>
      </c>
      <c r="O47" s="93">
        <v>0.2</v>
      </c>
      <c r="P47" s="93">
        <v>0.5</v>
      </c>
      <c r="Q47" s="93">
        <v>1</v>
      </c>
      <c r="R47" s="93">
        <v>2</v>
      </c>
      <c r="S47" s="93">
        <v>5</v>
      </c>
      <c r="T47" s="93">
        <v>10</v>
      </c>
      <c r="U47" s="93">
        <v>20</v>
      </c>
      <c r="V47" s="93">
        <v>50</v>
      </c>
      <c r="W47" s="85"/>
      <c r="X47" s="85"/>
      <c r="Y47" s="85"/>
      <c r="Z47" s="49"/>
      <c r="AA47" s="94"/>
      <c r="AB47" s="95"/>
      <c r="AC47" s="85"/>
      <c r="AD47" s="85"/>
      <c r="AE47" s="85"/>
      <c r="AF47" s="85"/>
      <c r="AG47" s="85"/>
      <c r="AH47" s="49"/>
      <c r="AI47" s="92"/>
      <c r="AJ47" s="49"/>
      <c r="AK47" s="49"/>
      <c r="AL47" s="49"/>
    </row>
    <row r="48" spans="1:38" x14ac:dyDescent="0.2">
      <c r="A48" s="87" t="s">
        <v>200</v>
      </c>
      <c r="B48" s="38">
        <v>82</v>
      </c>
      <c r="C48" s="38">
        <v>46</v>
      </c>
      <c r="D48" s="38">
        <v>9</v>
      </c>
      <c r="E48" s="38">
        <v>12</v>
      </c>
      <c r="F48" s="38">
        <v>5</v>
      </c>
      <c r="G48" s="38">
        <v>5</v>
      </c>
      <c r="H48" s="38">
        <v>2</v>
      </c>
      <c r="I48" s="85"/>
      <c r="J48" s="85"/>
      <c r="K48" s="86"/>
      <c r="L48" s="87" t="s">
        <v>200</v>
      </c>
      <c r="M48" s="38">
        <v>70</v>
      </c>
      <c r="N48" s="38">
        <v>46</v>
      </c>
      <c r="O48" s="38">
        <v>16</v>
      </c>
      <c r="P48" s="38">
        <v>8</v>
      </c>
      <c r="Q48" s="38">
        <v>14</v>
      </c>
      <c r="R48" s="38">
        <v>6</v>
      </c>
      <c r="S48" s="38">
        <v>4</v>
      </c>
      <c r="T48" s="38">
        <v>5</v>
      </c>
      <c r="U48" s="49">
        <v>7</v>
      </c>
      <c r="V48" s="49">
        <v>1</v>
      </c>
      <c r="W48" s="85"/>
      <c r="X48" s="85"/>
      <c r="Y48" s="85"/>
      <c r="Z48" s="49"/>
      <c r="AA48" s="94"/>
      <c r="AB48" s="95"/>
      <c r="AC48" s="85"/>
      <c r="AD48" s="85"/>
      <c r="AE48" s="85"/>
      <c r="AF48" s="85"/>
      <c r="AG48" s="85"/>
      <c r="AH48" s="49"/>
      <c r="AI48" s="92"/>
      <c r="AJ48" s="49"/>
      <c r="AK48" s="49"/>
      <c r="AL48" s="49"/>
    </row>
    <row r="49" spans="1:38" x14ac:dyDescent="0.2">
      <c r="A49" s="87" t="s">
        <v>141</v>
      </c>
      <c r="B49" s="70">
        <f t="shared" ref="B49:H49" si="17">B48*B47</f>
        <v>4.1000000000000005</v>
      </c>
      <c r="C49" s="70">
        <f t="shared" si="17"/>
        <v>4.6000000000000005</v>
      </c>
      <c r="D49" s="70">
        <f t="shared" si="17"/>
        <v>1.8</v>
      </c>
      <c r="E49" s="70">
        <f t="shared" si="17"/>
        <v>6</v>
      </c>
      <c r="F49" s="70">
        <f t="shared" si="17"/>
        <v>5</v>
      </c>
      <c r="G49" s="70">
        <f t="shared" si="17"/>
        <v>10</v>
      </c>
      <c r="H49" s="70">
        <f t="shared" si="17"/>
        <v>10</v>
      </c>
      <c r="I49" s="70">
        <f>J48*I47</f>
        <v>0</v>
      </c>
      <c r="J49" s="70">
        <f>SUM(B49:I49)</f>
        <v>41.5</v>
      </c>
      <c r="K49" s="86"/>
      <c r="L49" s="87" t="s">
        <v>141</v>
      </c>
      <c r="M49" s="70">
        <f t="shared" ref="M49:V49" si="18">M48*M47</f>
        <v>3.5</v>
      </c>
      <c r="N49" s="70">
        <f t="shared" si="18"/>
        <v>4.6000000000000005</v>
      </c>
      <c r="O49" s="70">
        <f t="shared" si="18"/>
        <v>3.2</v>
      </c>
      <c r="P49" s="70">
        <f t="shared" si="18"/>
        <v>4</v>
      </c>
      <c r="Q49" s="70">
        <f t="shared" si="18"/>
        <v>14</v>
      </c>
      <c r="R49" s="70">
        <f t="shared" si="18"/>
        <v>12</v>
      </c>
      <c r="S49" s="70">
        <f t="shared" si="18"/>
        <v>20</v>
      </c>
      <c r="T49" s="70">
        <f t="shared" si="18"/>
        <v>50</v>
      </c>
      <c r="U49" s="70">
        <f t="shared" si="18"/>
        <v>140</v>
      </c>
      <c r="V49" s="70">
        <f t="shared" si="18"/>
        <v>50</v>
      </c>
      <c r="W49" s="70"/>
      <c r="X49" s="70">
        <f>SUM(M49:V49)</f>
        <v>301.3</v>
      </c>
      <c r="Y49" s="96">
        <f>X49-J49</f>
        <v>259.8</v>
      </c>
      <c r="Z49" s="94">
        <v>147.9</v>
      </c>
      <c r="AA49" s="94">
        <v>13.4</v>
      </c>
      <c r="AB49" s="97">
        <f>Y49+AA49</f>
        <v>273.2</v>
      </c>
      <c r="AC49" s="85">
        <v>90</v>
      </c>
      <c r="AD49" s="96">
        <f>Z49-AC49</f>
        <v>57.900000000000006</v>
      </c>
      <c r="AE49" s="96">
        <f>Y49-Z49</f>
        <v>111.9</v>
      </c>
      <c r="AF49" s="85">
        <v>20</v>
      </c>
      <c r="AG49" s="96">
        <f>AE49-AF49</f>
        <v>91.9</v>
      </c>
      <c r="AH49" s="49"/>
      <c r="AI49" s="98">
        <f>(SUM(Z49:AA49)/(1+10/100))*(10/100)</f>
        <v>14.663636363636364</v>
      </c>
      <c r="AJ49" s="49"/>
      <c r="AK49" s="49"/>
      <c r="AL49" s="49"/>
    </row>
    <row r="51" spans="1:38" x14ac:dyDescent="0.2">
      <c r="A51" s="83" t="s">
        <v>135</v>
      </c>
      <c r="B51" s="84">
        <v>45974</v>
      </c>
      <c r="C51" s="85"/>
      <c r="D51" s="85"/>
      <c r="E51" s="85"/>
      <c r="F51" s="85"/>
      <c r="G51" s="85"/>
      <c r="H51" s="85"/>
      <c r="I51" s="85"/>
      <c r="J51" s="85"/>
      <c r="K51" s="86"/>
      <c r="L51" s="83" t="s">
        <v>136</v>
      </c>
      <c r="M51" s="84">
        <v>45974</v>
      </c>
      <c r="N51" s="85"/>
      <c r="O51" s="85"/>
      <c r="P51" s="85"/>
      <c r="Q51" s="85"/>
      <c r="R51" s="85"/>
      <c r="S51" s="85"/>
      <c r="T51" s="85"/>
      <c r="U51" s="85"/>
      <c r="V51" s="85"/>
      <c r="W51" s="87" t="s">
        <v>314</v>
      </c>
      <c r="X51" s="87" t="s">
        <v>141</v>
      </c>
      <c r="Y51" s="88" t="s">
        <v>192</v>
      </c>
      <c r="Z51" s="89" t="s">
        <v>142</v>
      </c>
      <c r="AA51" s="90" t="s">
        <v>193</v>
      </c>
      <c r="AB51" s="91" t="s">
        <v>194</v>
      </c>
      <c r="AC51" s="88" t="s">
        <v>312</v>
      </c>
      <c r="AD51" s="87" t="s">
        <v>195</v>
      </c>
      <c r="AE51" s="87" t="s">
        <v>196</v>
      </c>
      <c r="AF51" s="88" t="s">
        <v>313</v>
      </c>
      <c r="AG51" s="87" t="s">
        <v>198</v>
      </c>
      <c r="AH51" s="49"/>
      <c r="AI51" s="92"/>
      <c r="AJ51" s="49"/>
      <c r="AK51" s="49"/>
      <c r="AL51" s="49"/>
    </row>
    <row r="52" spans="1:38" x14ac:dyDescent="0.2">
      <c r="A52" s="87" t="s">
        <v>199</v>
      </c>
      <c r="B52" s="93">
        <v>0.05</v>
      </c>
      <c r="C52" s="93">
        <v>0.1</v>
      </c>
      <c r="D52" s="93">
        <v>0.2</v>
      </c>
      <c r="E52" s="93">
        <v>0.5</v>
      </c>
      <c r="F52" s="93">
        <v>1</v>
      </c>
      <c r="G52" s="93">
        <v>2</v>
      </c>
      <c r="H52" s="93">
        <v>5</v>
      </c>
      <c r="I52" s="93">
        <v>10</v>
      </c>
      <c r="J52" s="49"/>
      <c r="K52" s="86"/>
      <c r="L52" s="87" t="s">
        <v>199</v>
      </c>
      <c r="M52" s="93">
        <v>0.05</v>
      </c>
      <c r="N52" s="93">
        <v>0.1</v>
      </c>
      <c r="O52" s="93">
        <v>0.2</v>
      </c>
      <c r="P52" s="93">
        <v>0.5</v>
      </c>
      <c r="Q52" s="93">
        <v>1</v>
      </c>
      <c r="R52" s="93">
        <v>2</v>
      </c>
      <c r="S52" s="93">
        <v>5</v>
      </c>
      <c r="T52" s="93">
        <v>10</v>
      </c>
      <c r="U52" s="93">
        <v>20</v>
      </c>
      <c r="V52" s="93">
        <v>50</v>
      </c>
      <c r="W52" s="85"/>
      <c r="X52" s="85"/>
      <c r="Y52" s="85"/>
      <c r="Z52" s="49"/>
      <c r="AA52" s="94"/>
      <c r="AB52" s="95"/>
      <c r="AC52" s="85"/>
      <c r="AD52" s="85"/>
      <c r="AE52" s="85"/>
      <c r="AF52" s="85"/>
      <c r="AG52" s="85"/>
      <c r="AH52" s="49"/>
      <c r="AI52" s="92"/>
      <c r="AJ52" s="49"/>
      <c r="AK52" s="49"/>
      <c r="AL52" s="49"/>
    </row>
    <row r="53" spans="1:38" x14ac:dyDescent="0.2">
      <c r="A53" s="87" t="s">
        <v>200</v>
      </c>
      <c r="B53" s="38">
        <v>70</v>
      </c>
      <c r="C53" s="38">
        <v>46</v>
      </c>
      <c r="D53" s="38">
        <v>16</v>
      </c>
      <c r="E53" s="38">
        <v>8</v>
      </c>
      <c r="F53" s="38">
        <v>6</v>
      </c>
      <c r="G53" s="38">
        <v>6</v>
      </c>
      <c r="H53" s="38">
        <v>2</v>
      </c>
      <c r="I53" s="85"/>
      <c r="J53" s="85"/>
      <c r="K53" s="86"/>
      <c r="L53" s="87" t="s">
        <v>200</v>
      </c>
      <c r="M53" s="38">
        <v>66</v>
      </c>
      <c r="N53" s="38">
        <v>43</v>
      </c>
      <c r="O53" s="38">
        <v>12</v>
      </c>
      <c r="P53" s="38">
        <v>2</v>
      </c>
      <c r="Q53" s="38">
        <v>17</v>
      </c>
      <c r="R53" s="38">
        <v>2</v>
      </c>
      <c r="S53" s="38">
        <v>2</v>
      </c>
      <c r="T53" s="38">
        <v>2</v>
      </c>
      <c r="U53" s="49">
        <v>5</v>
      </c>
      <c r="V53" s="49">
        <v>4</v>
      </c>
      <c r="W53" s="85"/>
      <c r="X53" s="85"/>
      <c r="Y53" s="85"/>
      <c r="Z53" s="49"/>
      <c r="AA53" s="94"/>
      <c r="AB53" s="95"/>
      <c r="AC53" s="85"/>
      <c r="AD53" s="85"/>
      <c r="AE53" s="85"/>
      <c r="AF53" s="85"/>
      <c r="AG53" s="85"/>
      <c r="AH53" s="49"/>
      <c r="AI53" s="92"/>
      <c r="AJ53" s="49"/>
      <c r="AK53" s="49"/>
      <c r="AL53" s="49"/>
    </row>
    <row r="54" spans="1:38" x14ac:dyDescent="0.2">
      <c r="A54" s="87" t="s">
        <v>141</v>
      </c>
      <c r="B54" s="70">
        <f t="shared" ref="B54:H54" si="19">B53*B52</f>
        <v>3.5</v>
      </c>
      <c r="C54" s="70">
        <f t="shared" si="19"/>
        <v>4.6000000000000005</v>
      </c>
      <c r="D54" s="70">
        <f t="shared" si="19"/>
        <v>3.2</v>
      </c>
      <c r="E54" s="70">
        <f t="shared" si="19"/>
        <v>4</v>
      </c>
      <c r="F54" s="70">
        <f t="shared" si="19"/>
        <v>6</v>
      </c>
      <c r="G54" s="70">
        <f t="shared" si="19"/>
        <v>12</v>
      </c>
      <c r="H54" s="70">
        <f t="shared" si="19"/>
        <v>10</v>
      </c>
      <c r="I54" s="70">
        <f>J53*I52</f>
        <v>0</v>
      </c>
      <c r="J54" s="70">
        <f>SUM(B54:I54)</f>
        <v>43.3</v>
      </c>
      <c r="K54" s="86"/>
      <c r="L54" s="87" t="s">
        <v>141</v>
      </c>
      <c r="M54" s="70">
        <f t="shared" ref="M54:V54" si="20">M53*M52</f>
        <v>3.3000000000000003</v>
      </c>
      <c r="N54" s="70">
        <f t="shared" si="20"/>
        <v>4.3</v>
      </c>
      <c r="O54" s="70">
        <f t="shared" si="20"/>
        <v>2.4000000000000004</v>
      </c>
      <c r="P54" s="70">
        <f t="shared" si="20"/>
        <v>1</v>
      </c>
      <c r="Q54" s="70">
        <f t="shared" si="20"/>
        <v>17</v>
      </c>
      <c r="R54" s="70">
        <f t="shared" si="20"/>
        <v>4</v>
      </c>
      <c r="S54" s="70">
        <f t="shared" si="20"/>
        <v>10</v>
      </c>
      <c r="T54" s="70">
        <f t="shared" si="20"/>
        <v>20</v>
      </c>
      <c r="U54" s="70">
        <f t="shared" si="20"/>
        <v>100</v>
      </c>
      <c r="V54" s="70">
        <f t="shared" si="20"/>
        <v>200</v>
      </c>
      <c r="W54" s="70"/>
      <c r="X54" s="70">
        <f>SUM(M54:V54)</f>
        <v>362</v>
      </c>
      <c r="Y54" s="96">
        <f>X54-J54</f>
        <v>318.7</v>
      </c>
      <c r="Z54" s="94">
        <v>227.1</v>
      </c>
      <c r="AA54" s="94">
        <v>66.8</v>
      </c>
      <c r="AB54" s="97">
        <f>Y54+AA54</f>
        <v>385.5</v>
      </c>
      <c r="AC54" s="85">
        <v>135</v>
      </c>
      <c r="AD54" s="96">
        <f>Z54-AC54</f>
        <v>92.1</v>
      </c>
      <c r="AE54" s="96">
        <f>Y54-Z54</f>
        <v>91.6</v>
      </c>
      <c r="AF54" s="85"/>
      <c r="AG54" s="96">
        <f>AE54-AF54</f>
        <v>91.6</v>
      </c>
      <c r="AH54" s="49"/>
      <c r="AI54" s="98">
        <f>(SUM(Z54:AA54)/(1+10/100))*(10/100)</f>
        <v>26.718181818181815</v>
      </c>
      <c r="AJ54" s="49"/>
      <c r="AK54" s="49"/>
      <c r="AL54" s="49"/>
    </row>
    <row r="56" spans="1:38" x14ac:dyDescent="0.2">
      <c r="A56" s="83" t="s">
        <v>135</v>
      </c>
      <c r="B56" s="84">
        <v>45975</v>
      </c>
      <c r="C56" s="85"/>
      <c r="D56" s="85"/>
      <c r="E56" s="85"/>
      <c r="F56" s="85"/>
      <c r="G56" s="85"/>
      <c r="H56" s="85"/>
      <c r="I56" s="85"/>
      <c r="J56" s="85"/>
      <c r="K56" s="86"/>
      <c r="L56" s="83" t="s">
        <v>136</v>
      </c>
      <c r="M56" s="84">
        <v>45975</v>
      </c>
      <c r="N56" s="85"/>
      <c r="O56" s="85"/>
      <c r="P56" s="85"/>
      <c r="Q56" s="85"/>
      <c r="R56" s="85"/>
      <c r="S56" s="85"/>
      <c r="T56" s="85"/>
      <c r="U56" s="85"/>
      <c r="V56" s="85"/>
      <c r="W56" s="87" t="s">
        <v>314</v>
      </c>
      <c r="X56" s="87" t="s">
        <v>141</v>
      </c>
      <c r="Y56" s="88" t="s">
        <v>192</v>
      </c>
      <c r="Z56" s="89" t="s">
        <v>142</v>
      </c>
      <c r="AA56" s="90" t="s">
        <v>193</v>
      </c>
      <c r="AB56" s="91" t="s">
        <v>194</v>
      </c>
      <c r="AC56" s="88" t="s">
        <v>312</v>
      </c>
      <c r="AD56" s="87" t="s">
        <v>195</v>
      </c>
      <c r="AE56" s="87" t="s">
        <v>196</v>
      </c>
      <c r="AF56" s="88" t="s">
        <v>313</v>
      </c>
      <c r="AG56" s="87" t="s">
        <v>198</v>
      </c>
      <c r="AH56" s="49"/>
      <c r="AI56" s="92"/>
      <c r="AJ56" s="49"/>
      <c r="AK56" s="49"/>
      <c r="AL56" s="49"/>
    </row>
    <row r="57" spans="1:38" x14ac:dyDescent="0.2">
      <c r="A57" s="87" t="s">
        <v>199</v>
      </c>
      <c r="B57" s="93">
        <v>0.05</v>
      </c>
      <c r="C57" s="93">
        <v>0.1</v>
      </c>
      <c r="D57" s="93">
        <v>0.2</v>
      </c>
      <c r="E57" s="93">
        <v>0.5</v>
      </c>
      <c r="F57" s="93">
        <v>1</v>
      </c>
      <c r="G57" s="93">
        <v>2</v>
      </c>
      <c r="H57" s="93">
        <v>5</v>
      </c>
      <c r="I57" s="93">
        <v>10</v>
      </c>
      <c r="J57" s="49"/>
      <c r="K57" s="86"/>
      <c r="L57" s="87" t="s">
        <v>199</v>
      </c>
      <c r="M57" s="93">
        <v>0.05</v>
      </c>
      <c r="N57" s="93">
        <v>0.1</v>
      </c>
      <c r="O57" s="93">
        <v>0.2</v>
      </c>
      <c r="P57" s="93">
        <v>0.5</v>
      </c>
      <c r="Q57" s="93">
        <v>1</v>
      </c>
      <c r="R57" s="93">
        <v>2</v>
      </c>
      <c r="S57" s="93">
        <v>5</v>
      </c>
      <c r="T57" s="93">
        <v>10</v>
      </c>
      <c r="U57" s="93">
        <v>20</v>
      </c>
      <c r="V57" s="93">
        <v>50</v>
      </c>
      <c r="W57" s="85"/>
      <c r="X57" s="85"/>
      <c r="Y57" s="85"/>
      <c r="Z57" s="49"/>
      <c r="AA57" s="94"/>
      <c r="AB57" s="95"/>
      <c r="AC57" s="85"/>
      <c r="AD57" s="85"/>
      <c r="AE57" s="85"/>
      <c r="AF57" s="85"/>
      <c r="AG57" s="85"/>
      <c r="AH57" s="49"/>
      <c r="AI57" s="92"/>
      <c r="AJ57" s="49"/>
      <c r="AK57" s="49"/>
      <c r="AL57" s="49"/>
    </row>
    <row r="58" spans="1:38" x14ac:dyDescent="0.2">
      <c r="A58" s="87" t="s">
        <v>200</v>
      </c>
      <c r="B58" s="38">
        <v>66</v>
      </c>
      <c r="C58" s="38">
        <v>43</v>
      </c>
      <c r="D58" s="38">
        <v>12</v>
      </c>
      <c r="E58" s="38">
        <v>2</v>
      </c>
      <c r="F58" s="38">
        <v>17</v>
      </c>
      <c r="G58" s="38">
        <v>2</v>
      </c>
      <c r="H58" s="38">
        <v>2</v>
      </c>
      <c r="I58" s="85"/>
      <c r="J58" s="85"/>
      <c r="K58" s="86"/>
      <c r="L58" s="87" t="s">
        <v>200</v>
      </c>
      <c r="M58" s="38">
        <v>69</v>
      </c>
      <c r="N58" s="38">
        <v>40</v>
      </c>
      <c r="O58" s="38">
        <v>10</v>
      </c>
      <c r="P58" s="38">
        <v>7</v>
      </c>
      <c r="Q58" s="38">
        <v>17</v>
      </c>
      <c r="R58" s="38">
        <v>2</v>
      </c>
      <c r="S58" s="38">
        <v>17</v>
      </c>
      <c r="T58" s="38">
        <v>5</v>
      </c>
      <c r="U58" s="49">
        <v>4</v>
      </c>
      <c r="V58" s="49">
        <v>1</v>
      </c>
      <c r="W58" s="85"/>
      <c r="X58" s="85"/>
      <c r="Y58" s="85"/>
      <c r="Z58" s="49"/>
      <c r="AA58" s="94"/>
      <c r="AB58" s="95"/>
      <c r="AC58" s="85"/>
      <c r="AD58" s="85"/>
      <c r="AE58" s="85"/>
      <c r="AF58" s="85"/>
      <c r="AG58" s="85"/>
      <c r="AH58" s="49"/>
      <c r="AI58" s="92"/>
      <c r="AJ58" s="49"/>
      <c r="AK58" s="49"/>
      <c r="AL58" s="49"/>
    </row>
    <row r="59" spans="1:38" x14ac:dyDescent="0.2">
      <c r="A59" s="87" t="s">
        <v>141</v>
      </c>
      <c r="B59" s="70">
        <f t="shared" ref="B59:H59" si="21">B58*B57</f>
        <v>3.3000000000000003</v>
      </c>
      <c r="C59" s="70">
        <f t="shared" si="21"/>
        <v>4.3</v>
      </c>
      <c r="D59" s="70">
        <f t="shared" si="21"/>
        <v>2.4000000000000004</v>
      </c>
      <c r="E59" s="70">
        <f t="shared" si="21"/>
        <v>1</v>
      </c>
      <c r="F59" s="70">
        <f t="shared" si="21"/>
        <v>17</v>
      </c>
      <c r="G59" s="70">
        <f t="shared" si="21"/>
        <v>4</v>
      </c>
      <c r="H59" s="70">
        <f t="shared" si="21"/>
        <v>10</v>
      </c>
      <c r="I59" s="70">
        <f>J58*I57</f>
        <v>0</v>
      </c>
      <c r="J59" s="70">
        <f>SUM(B59:I59)</f>
        <v>42</v>
      </c>
      <c r="K59" s="86"/>
      <c r="L59" s="87" t="s">
        <v>141</v>
      </c>
      <c r="M59" s="70">
        <f t="shared" ref="M59:V59" si="22">M58*M57</f>
        <v>3.45</v>
      </c>
      <c r="N59" s="70">
        <f t="shared" si="22"/>
        <v>4</v>
      </c>
      <c r="O59" s="70">
        <f t="shared" si="22"/>
        <v>2</v>
      </c>
      <c r="P59" s="70">
        <f t="shared" si="22"/>
        <v>3.5</v>
      </c>
      <c r="Q59" s="70">
        <f t="shared" si="22"/>
        <v>17</v>
      </c>
      <c r="R59" s="70">
        <f t="shared" si="22"/>
        <v>4</v>
      </c>
      <c r="S59" s="70">
        <f t="shared" si="22"/>
        <v>85</v>
      </c>
      <c r="T59" s="70">
        <f t="shared" si="22"/>
        <v>50</v>
      </c>
      <c r="U59" s="70">
        <f t="shared" si="22"/>
        <v>80</v>
      </c>
      <c r="V59" s="70">
        <f t="shared" si="22"/>
        <v>50</v>
      </c>
      <c r="W59" s="70"/>
      <c r="X59" s="70">
        <f>SUM(M59:V59)</f>
        <v>298.95</v>
      </c>
      <c r="Y59" s="96">
        <f>X59-J59</f>
        <v>256.95</v>
      </c>
      <c r="Z59" s="94">
        <v>156.1</v>
      </c>
      <c r="AA59" s="94">
        <v>53.6</v>
      </c>
      <c r="AB59" s="97">
        <f>Y59+AA59</f>
        <v>310.55</v>
      </c>
      <c r="AC59" s="85"/>
      <c r="AD59" s="96">
        <f>Z59-AC59</f>
        <v>156.1</v>
      </c>
      <c r="AE59" s="96">
        <f>Y59-Z59</f>
        <v>100.85</v>
      </c>
      <c r="AF59" s="85"/>
      <c r="AG59" s="96">
        <f>AE59-AF59</f>
        <v>100.85</v>
      </c>
      <c r="AH59" s="49"/>
      <c r="AI59" s="98">
        <f>(SUM(Z59:AA59)/(1+10/100))*(10/100)</f>
        <v>19.063636363636359</v>
      </c>
      <c r="AJ59" s="49"/>
      <c r="AK59" s="49"/>
      <c r="AL59" s="49"/>
    </row>
    <row r="61" spans="1:38" x14ac:dyDescent="0.2">
      <c r="A61" s="83" t="s">
        <v>135</v>
      </c>
      <c r="B61" s="84">
        <v>45976</v>
      </c>
      <c r="C61" s="85"/>
      <c r="D61" s="85"/>
      <c r="E61" s="85"/>
      <c r="F61" s="85"/>
      <c r="G61" s="85"/>
      <c r="H61" s="85"/>
      <c r="I61" s="85"/>
      <c r="J61" s="85"/>
      <c r="K61" s="86"/>
      <c r="L61" s="83" t="s">
        <v>136</v>
      </c>
      <c r="M61" s="84"/>
      <c r="N61" s="85"/>
      <c r="O61" s="85"/>
      <c r="P61" s="85"/>
      <c r="Q61" s="85"/>
      <c r="R61" s="85"/>
      <c r="S61" s="85"/>
      <c r="T61" s="85"/>
      <c r="U61" s="85"/>
      <c r="V61" s="85"/>
      <c r="W61" s="87" t="s">
        <v>314</v>
      </c>
      <c r="X61" s="87" t="s">
        <v>141</v>
      </c>
      <c r="Y61" s="88" t="s">
        <v>192</v>
      </c>
      <c r="Z61" s="89" t="s">
        <v>142</v>
      </c>
      <c r="AA61" s="90" t="s">
        <v>193</v>
      </c>
      <c r="AB61" s="91" t="s">
        <v>194</v>
      </c>
      <c r="AC61" s="88" t="s">
        <v>312</v>
      </c>
      <c r="AD61" s="87" t="s">
        <v>195</v>
      </c>
      <c r="AE61" s="87" t="s">
        <v>196</v>
      </c>
      <c r="AF61" s="88" t="s">
        <v>313</v>
      </c>
      <c r="AG61" s="87" t="s">
        <v>198</v>
      </c>
      <c r="AH61" s="49"/>
      <c r="AI61" s="92"/>
      <c r="AJ61" s="49"/>
      <c r="AK61" s="49"/>
      <c r="AL61" s="49"/>
    </row>
    <row r="62" spans="1:38" x14ac:dyDescent="0.2">
      <c r="A62" s="87" t="s">
        <v>199</v>
      </c>
      <c r="B62" s="93">
        <v>0.05</v>
      </c>
      <c r="C62" s="93">
        <v>0.1</v>
      </c>
      <c r="D62" s="93">
        <v>0.2</v>
      </c>
      <c r="E62" s="93">
        <v>0.5</v>
      </c>
      <c r="F62" s="93">
        <v>1</v>
      </c>
      <c r="G62" s="93">
        <v>2</v>
      </c>
      <c r="H62" s="93">
        <v>5</v>
      </c>
      <c r="I62" s="93">
        <v>10</v>
      </c>
      <c r="J62" s="49"/>
      <c r="K62" s="86"/>
      <c r="L62" s="87" t="s">
        <v>199</v>
      </c>
      <c r="M62" s="93">
        <v>0.05</v>
      </c>
      <c r="N62" s="93">
        <v>0.1</v>
      </c>
      <c r="O62" s="93">
        <v>0.2</v>
      </c>
      <c r="P62" s="93">
        <v>0.5</v>
      </c>
      <c r="Q62" s="93">
        <v>1</v>
      </c>
      <c r="R62" s="93">
        <v>2</v>
      </c>
      <c r="S62" s="93">
        <v>5</v>
      </c>
      <c r="T62" s="93">
        <v>10</v>
      </c>
      <c r="U62" s="93">
        <v>20</v>
      </c>
      <c r="V62" s="93">
        <v>50</v>
      </c>
      <c r="W62" s="85"/>
      <c r="X62" s="85"/>
      <c r="Y62" s="85"/>
      <c r="Z62" s="49"/>
      <c r="AA62" s="94"/>
      <c r="AB62" s="95"/>
      <c r="AC62" s="85"/>
      <c r="AD62" s="85"/>
      <c r="AE62" s="85"/>
      <c r="AF62" s="85"/>
      <c r="AG62" s="85"/>
      <c r="AH62" s="49"/>
      <c r="AI62" s="92"/>
      <c r="AJ62" s="49"/>
      <c r="AK62" s="49"/>
      <c r="AL62" s="49"/>
    </row>
    <row r="63" spans="1:38" x14ac:dyDescent="0.2">
      <c r="A63" s="87" t="s">
        <v>200</v>
      </c>
      <c r="B63" s="38">
        <v>69</v>
      </c>
      <c r="C63" s="38">
        <v>40</v>
      </c>
      <c r="D63" s="38">
        <v>10</v>
      </c>
      <c r="E63" s="38">
        <v>7</v>
      </c>
      <c r="F63" s="38">
        <v>17</v>
      </c>
      <c r="G63" s="38">
        <v>2</v>
      </c>
      <c r="H63" s="38">
        <v>2</v>
      </c>
      <c r="I63" s="85"/>
      <c r="J63" s="85"/>
      <c r="K63" s="86"/>
      <c r="L63" s="87" t="s">
        <v>200</v>
      </c>
      <c r="U63" s="49"/>
      <c r="V63" s="49"/>
      <c r="W63" s="85"/>
      <c r="X63" s="85"/>
      <c r="Y63" s="85"/>
      <c r="Z63" s="49"/>
      <c r="AA63" s="94"/>
      <c r="AB63" s="95"/>
      <c r="AC63" s="85"/>
      <c r="AD63" s="85"/>
      <c r="AE63" s="85"/>
      <c r="AF63" s="85"/>
      <c r="AG63" s="85"/>
      <c r="AH63" s="49"/>
      <c r="AI63" s="92"/>
      <c r="AJ63" s="49"/>
      <c r="AK63" s="49"/>
      <c r="AL63" s="49"/>
    </row>
    <row r="64" spans="1:38" x14ac:dyDescent="0.2">
      <c r="A64" s="87" t="s">
        <v>141</v>
      </c>
      <c r="B64" s="70">
        <f t="shared" ref="B64:H64" si="23">B63*B62</f>
        <v>3.45</v>
      </c>
      <c r="C64" s="70">
        <f t="shared" si="23"/>
        <v>4</v>
      </c>
      <c r="D64" s="70">
        <f t="shared" si="23"/>
        <v>2</v>
      </c>
      <c r="E64" s="70">
        <f t="shared" si="23"/>
        <v>3.5</v>
      </c>
      <c r="F64" s="70">
        <f t="shared" si="23"/>
        <v>17</v>
      </c>
      <c r="G64" s="70">
        <f t="shared" si="23"/>
        <v>4</v>
      </c>
      <c r="H64" s="70">
        <f t="shared" si="23"/>
        <v>10</v>
      </c>
      <c r="I64" s="70">
        <f>J63*I62</f>
        <v>0</v>
      </c>
      <c r="J64" s="70">
        <f>SUM(B64:I64)</f>
        <v>43.95</v>
      </c>
      <c r="K64" s="86"/>
      <c r="L64" s="87" t="s">
        <v>141</v>
      </c>
      <c r="M64" s="70">
        <f t="shared" ref="M64:V64" si="24">M63*M62</f>
        <v>0</v>
      </c>
      <c r="N64" s="70">
        <f t="shared" si="24"/>
        <v>0</v>
      </c>
      <c r="O64" s="70">
        <f t="shared" si="24"/>
        <v>0</v>
      </c>
      <c r="P64" s="70">
        <f t="shared" si="24"/>
        <v>0</v>
      </c>
      <c r="Q64" s="70">
        <f t="shared" si="24"/>
        <v>0</v>
      </c>
      <c r="R64" s="70">
        <f t="shared" si="24"/>
        <v>0</v>
      </c>
      <c r="S64" s="70">
        <f t="shared" si="24"/>
        <v>0</v>
      </c>
      <c r="T64" s="70">
        <f t="shared" si="24"/>
        <v>0</v>
      </c>
      <c r="U64" s="70">
        <f t="shared" si="24"/>
        <v>0</v>
      </c>
      <c r="V64" s="70">
        <f t="shared" si="24"/>
        <v>0</v>
      </c>
      <c r="W64" s="70"/>
      <c r="X64" s="70">
        <f>SUM(M64:V64)</f>
        <v>0</v>
      </c>
      <c r="Y64" s="96">
        <f>X64-J64</f>
        <v>-43.95</v>
      </c>
      <c r="Z64" s="94"/>
      <c r="AA64" s="94"/>
      <c r="AB64" s="97">
        <f>Y64+AA64</f>
        <v>-43.95</v>
      </c>
      <c r="AC64" s="85"/>
      <c r="AD64" s="96">
        <f>Z64-AC64</f>
        <v>0</v>
      </c>
      <c r="AE64" s="96">
        <f>Y64-Z64</f>
        <v>-43.95</v>
      </c>
      <c r="AF64" s="85"/>
      <c r="AG64" s="96">
        <f>AE64-AF64</f>
        <v>-43.95</v>
      </c>
      <c r="AH64" s="49"/>
      <c r="AI64" s="98">
        <f>(SUM(Z64:AA64)/(1+10/100))*(10/100)</f>
        <v>0</v>
      </c>
      <c r="AJ64" s="49"/>
      <c r="AK64" s="49"/>
      <c r="AL64" s="49"/>
    </row>
    <row r="66" spans="1:38" x14ac:dyDescent="0.2">
      <c r="A66" s="83" t="s">
        <v>135</v>
      </c>
      <c r="B66" s="84"/>
      <c r="C66" s="85"/>
      <c r="D66" s="85"/>
      <c r="E66" s="85"/>
      <c r="F66" s="85"/>
      <c r="G66" s="85"/>
      <c r="H66" s="85"/>
      <c r="I66" s="85"/>
      <c r="J66" s="85"/>
      <c r="K66" s="86"/>
      <c r="L66" s="83" t="s">
        <v>136</v>
      </c>
      <c r="M66" s="84"/>
      <c r="N66" s="85"/>
      <c r="O66" s="85"/>
      <c r="P66" s="85"/>
      <c r="Q66" s="85"/>
      <c r="R66" s="85"/>
      <c r="S66" s="85"/>
      <c r="T66" s="85"/>
      <c r="U66" s="85"/>
      <c r="V66" s="85"/>
      <c r="W66" s="87" t="s">
        <v>314</v>
      </c>
      <c r="X66" s="87" t="s">
        <v>141</v>
      </c>
      <c r="Y66" s="88" t="s">
        <v>192</v>
      </c>
      <c r="Z66" s="89" t="s">
        <v>142</v>
      </c>
      <c r="AA66" s="90" t="s">
        <v>193</v>
      </c>
      <c r="AB66" s="91" t="s">
        <v>194</v>
      </c>
      <c r="AC66" s="88" t="s">
        <v>312</v>
      </c>
      <c r="AD66" s="87" t="s">
        <v>195</v>
      </c>
      <c r="AE66" s="87" t="s">
        <v>196</v>
      </c>
      <c r="AF66" s="88" t="s">
        <v>313</v>
      </c>
      <c r="AG66" s="87" t="s">
        <v>198</v>
      </c>
      <c r="AH66" s="49"/>
      <c r="AI66" s="92"/>
      <c r="AJ66" s="49"/>
      <c r="AK66" s="49"/>
      <c r="AL66" s="49"/>
    </row>
    <row r="67" spans="1:38" x14ac:dyDescent="0.2">
      <c r="A67" s="87" t="s">
        <v>199</v>
      </c>
      <c r="B67" s="93">
        <v>0.05</v>
      </c>
      <c r="C67" s="93">
        <v>0.1</v>
      </c>
      <c r="D67" s="93">
        <v>0.2</v>
      </c>
      <c r="E67" s="93">
        <v>0.5</v>
      </c>
      <c r="F67" s="93">
        <v>1</v>
      </c>
      <c r="G67" s="93">
        <v>2</v>
      </c>
      <c r="H67" s="93">
        <v>5</v>
      </c>
      <c r="I67" s="93">
        <v>10</v>
      </c>
      <c r="J67" s="49"/>
      <c r="K67" s="86"/>
      <c r="L67" s="87" t="s">
        <v>199</v>
      </c>
      <c r="M67" s="93">
        <v>0.05</v>
      </c>
      <c r="N67" s="93">
        <v>0.1</v>
      </c>
      <c r="O67" s="93">
        <v>0.2</v>
      </c>
      <c r="P67" s="93">
        <v>0.5</v>
      </c>
      <c r="Q67" s="93">
        <v>1</v>
      </c>
      <c r="R67" s="93">
        <v>2</v>
      </c>
      <c r="S67" s="93">
        <v>5</v>
      </c>
      <c r="T67" s="93">
        <v>10</v>
      </c>
      <c r="U67" s="93">
        <v>20</v>
      </c>
      <c r="V67" s="93">
        <v>50</v>
      </c>
      <c r="W67" s="85"/>
      <c r="X67" s="85"/>
      <c r="Y67" s="85"/>
      <c r="Z67" s="49"/>
      <c r="AA67" s="94"/>
      <c r="AB67" s="95"/>
      <c r="AC67" s="85"/>
      <c r="AD67" s="85"/>
      <c r="AE67" s="85"/>
      <c r="AF67" s="85"/>
      <c r="AG67" s="85"/>
      <c r="AH67" s="49"/>
      <c r="AI67" s="92"/>
      <c r="AJ67" s="49"/>
      <c r="AK67" s="49"/>
      <c r="AL67" s="49"/>
    </row>
    <row r="68" spans="1:38" x14ac:dyDescent="0.2">
      <c r="A68" s="87" t="s">
        <v>200</v>
      </c>
      <c r="I68" s="85"/>
      <c r="J68" s="85"/>
      <c r="K68" s="86"/>
      <c r="L68" s="87" t="s">
        <v>200</v>
      </c>
      <c r="U68" s="49"/>
      <c r="V68" s="49"/>
      <c r="W68" s="85"/>
      <c r="X68" s="85"/>
      <c r="Y68" s="85"/>
      <c r="Z68" s="49"/>
      <c r="AA68" s="94"/>
      <c r="AB68" s="95"/>
      <c r="AC68" s="85"/>
      <c r="AD68" s="85"/>
      <c r="AE68" s="85"/>
      <c r="AF68" s="85"/>
      <c r="AG68" s="85"/>
      <c r="AH68" s="49"/>
      <c r="AI68" s="92"/>
      <c r="AJ68" s="49"/>
      <c r="AK68" s="49"/>
      <c r="AL68" s="49"/>
    </row>
    <row r="69" spans="1:38" x14ac:dyDescent="0.2">
      <c r="A69" s="87" t="s">
        <v>141</v>
      </c>
      <c r="B69" s="70">
        <f t="shared" ref="B69:H69" si="25">B68*B67</f>
        <v>0</v>
      </c>
      <c r="C69" s="70">
        <f t="shared" si="25"/>
        <v>0</v>
      </c>
      <c r="D69" s="70">
        <f t="shared" si="25"/>
        <v>0</v>
      </c>
      <c r="E69" s="70">
        <f t="shared" si="25"/>
        <v>0</v>
      </c>
      <c r="F69" s="70">
        <f t="shared" si="25"/>
        <v>0</v>
      </c>
      <c r="G69" s="70">
        <f t="shared" si="25"/>
        <v>0</v>
      </c>
      <c r="H69" s="70">
        <f t="shared" si="25"/>
        <v>0</v>
      </c>
      <c r="I69" s="70">
        <f>J68*I67</f>
        <v>0</v>
      </c>
      <c r="J69" s="70">
        <f>SUM(B69:I69)</f>
        <v>0</v>
      </c>
      <c r="K69" s="86"/>
      <c r="L69" s="87" t="s">
        <v>141</v>
      </c>
      <c r="M69" s="70">
        <f t="shared" ref="M69:V69" si="26">M68*M67</f>
        <v>0</v>
      </c>
      <c r="N69" s="70">
        <f t="shared" si="26"/>
        <v>0</v>
      </c>
      <c r="O69" s="70">
        <f t="shared" si="26"/>
        <v>0</v>
      </c>
      <c r="P69" s="70">
        <f t="shared" si="26"/>
        <v>0</v>
      </c>
      <c r="Q69" s="70">
        <f t="shared" si="26"/>
        <v>0</v>
      </c>
      <c r="R69" s="70">
        <f t="shared" si="26"/>
        <v>0</v>
      </c>
      <c r="S69" s="70">
        <f t="shared" si="26"/>
        <v>0</v>
      </c>
      <c r="T69" s="70">
        <f t="shared" si="26"/>
        <v>0</v>
      </c>
      <c r="U69" s="70">
        <f t="shared" si="26"/>
        <v>0</v>
      </c>
      <c r="V69" s="70">
        <f t="shared" si="26"/>
        <v>0</v>
      </c>
      <c r="W69" s="70"/>
      <c r="X69" s="70">
        <f>SUM(M69:V69)</f>
        <v>0</v>
      </c>
      <c r="Y69" s="96">
        <f>X69-J69</f>
        <v>0</v>
      </c>
      <c r="Z69" s="94"/>
      <c r="AA69" s="94"/>
      <c r="AB69" s="97">
        <f>Y69+AA69</f>
        <v>0</v>
      </c>
      <c r="AC69" s="85"/>
      <c r="AD69" s="96">
        <f>Z69-AC69</f>
        <v>0</v>
      </c>
      <c r="AE69" s="96">
        <f>Y69-Z69</f>
        <v>0</v>
      </c>
      <c r="AF69" s="85"/>
      <c r="AG69" s="96">
        <f>AE69-AF69</f>
        <v>0</v>
      </c>
      <c r="AH69" s="49"/>
      <c r="AI69" s="98">
        <f>(SUM(Z69:AA69)/(1+10/100))*(10/100)</f>
        <v>0</v>
      </c>
      <c r="AJ69" s="49"/>
      <c r="AK69" s="49"/>
      <c r="AL69" s="49"/>
    </row>
    <row r="71" spans="1:38" x14ac:dyDescent="0.2">
      <c r="A71" s="83" t="s">
        <v>135</v>
      </c>
      <c r="B71" s="84"/>
      <c r="C71" s="85"/>
      <c r="D71" s="85"/>
      <c r="E71" s="85"/>
      <c r="F71" s="85"/>
      <c r="G71" s="85"/>
      <c r="H71" s="85"/>
      <c r="I71" s="85"/>
      <c r="J71" s="85"/>
      <c r="K71" s="86"/>
      <c r="L71" s="83" t="s">
        <v>136</v>
      </c>
      <c r="M71" s="84"/>
      <c r="N71" s="85"/>
      <c r="O71" s="85"/>
      <c r="P71" s="85"/>
      <c r="Q71" s="85"/>
      <c r="R71" s="85"/>
      <c r="S71" s="85"/>
      <c r="T71" s="85"/>
      <c r="U71" s="85"/>
      <c r="V71" s="85"/>
      <c r="W71" s="87" t="s">
        <v>314</v>
      </c>
      <c r="X71" s="87" t="s">
        <v>141</v>
      </c>
      <c r="Y71" s="88" t="s">
        <v>192</v>
      </c>
      <c r="Z71" s="89" t="s">
        <v>142</v>
      </c>
      <c r="AA71" s="90" t="s">
        <v>193</v>
      </c>
      <c r="AB71" s="91" t="s">
        <v>194</v>
      </c>
      <c r="AC71" s="88" t="s">
        <v>312</v>
      </c>
      <c r="AD71" s="87" t="s">
        <v>195</v>
      </c>
      <c r="AE71" s="87" t="s">
        <v>196</v>
      </c>
      <c r="AF71" s="88" t="s">
        <v>313</v>
      </c>
      <c r="AG71" s="87" t="s">
        <v>198</v>
      </c>
      <c r="AH71" s="49"/>
      <c r="AI71" s="92"/>
      <c r="AJ71" s="49"/>
      <c r="AK71" s="49"/>
      <c r="AL71" s="49"/>
    </row>
    <row r="72" spans="1:38" x14ac:dyDescent="0.2">
      <c r="A72" s="87" t="s">
        <v>199</v>
      </c>
      <c r="B72" s="93">
        <v>0.05</v>
      </c>
      <c r="C72" s="93">
        <v>0.1</v>
      </c>
      <c r="D72" s="93">
        <v>0.2</v>
      </c>
      <c r="E72" s="93">
        <v>0.5</v>
      </c>
      <c r="F72" s="93">
        <v>1</v>
      </c>
      <c r="G72" s="93">
        <v>2</v>
      </c>
      <c r="H72" s="93">
        <v>5</v>
      </c>
      <c r="I72" s="93">
        <v>10</v>
      </c>
      <c r="J72" s="49"/>
      <c r="K72" s="86"/>
      <c r="L72" s="87" t="s">
        <v>199</v>
      </c>
      <c r="M72" s="93">
        <v>0.05</v>
      </c>
      <c r="N72" s="93">
        <v>0.1</v>
      </c>
      <c r="O72" s="93">
        <v>0.2</v>
      </c>
      <c r="P72" s="93">
        <v>0.5</v>
      </c>
      <c r="Q72" s="93">
        <v>1</v>
      </c>
      <c r="R72" s="93">
        <v>2</v>
      </c>
      <c r="S72" s="93">
        <v>5</v>
      </c>
      <c r="T72" s="93">
        <v>10</v>
      </c>
      <c r="U72" s="93">
        <v>20</v>
      </c>
      <c r="V72" s="93">
        <v>50</v>
      </c>
      <c r="W72" s="85"/>
      <c r="X72" s="85"/>
      <c r="Y72" s="85"/>
      <c r="Z72" s="49"/>
      <c r="AA72" s="94"/>
      <c r="AB72" s="95"/>
      <c r="AC72" s="85"/>
      <c r="AD72" s="85"/>
      <c r="AE72" s="85"/>
      <c r="AF72" s="85"/>
      <c r="AG72" s="85"/>
      <c r="AH72" s="49"/>
      <c r="AI72" s="92"/>
      <c r="AJ72" s="49"/>
      <c r="AK72" s="49"/>
      <c r="AL72" s="49"/>
    </row>
    <row r="73" spans="1:38" x14ac:dyDescent="0.2">
      <c r="A73" s="87" t="s">
        <v>200</v>
      </c>
      <c r="I73" s="85"/>
      <c r="J73" s="85"/>
      <c r="K73" s="86"/>
      <c r="L73" s="87" t="s">
        <v>200</v>
      </c>
      <c r="U73" s="49"/>
      <c r="V73" s="49"/>
      <c r="W73" s="85"/>
      <c r="X73" s="85"/>
      <c r="Y73" s="85"/>
      <c r="Z73" s="49"/>
      <c r="AA73" s="94"/>
      <c r="AB73" s="95"/>
      <c r="AC73" s="85"/>
      <c r="AD73" s="85"/>
      <c r="AE73" s="85"/>
      <c r="AF73" s="85"/>
      <c r="AG73" s="85"/>
      <c r="AH73" s="49"/>
      <c r="AI73" s="92"/>
      <c r="AJ73" s="49"/>
      <c r="AK73" s="49"/>
      <c r="AL73" s="49"/>
    </row>
    <row r="74" spans="1:38" x14ac:dyDescent="0.2">
      <c r="A74" s="87" t="s">
        <v>141</v>
      </c>
      <c r="B74" s="70">
        <f t="shared" ref="B74:H74" si="27">B73*B72</f>
        <v>0</v>
      </c>
      <c r="C74" s="70">
        <f t="shared" si="27"/>
        <v>0</v>
      </c>
      <c r="D74" s="70">
        <f t="shared" si="27"/>
        <v>0</v>
      </c>
      <c r="E74" s="70">
        <f t="shared" si="27"/>
        <v>0</v>
      </c>
      <c r="F74" s="70">
        <f t="shared" si="27"/>
        <v>0</v>
      </c>
      <c r="G74" s="70">
        <f t="shared" si="27"/>
        <v>0</v>
      </c>
      <c r="H74" s="70">
        <f t="shared" si="27"/>
        <v>0</v>
      </c>
      <c r="I74" s="70">
        <f>J73*I72</f>
        <v>0</v>
      </c>
      <c r="J74" s="70">
        <f>SUM(B74:I74)</f>
        <v>0</v>
      </c>
      <c r="K74" s="86"/>
      <c r="L74" s="87" t="s">
        <v>141</v>
      </c>
      <c r="M74" s="70">
        <f t="shared" ref="M74:V74" si="28">M73*M72</f>
        <v>0</v>
      </c>
      <c r="N74" s="70">
        <f t="shared" si="28"/>
        <v>0</v>
      </c>
      <c r="O74" s="70">
        <f t="shared" si="28"/>
        <v>0</v>
      </c>
      <c r="P74" s="70">
        <f t="shared" si="28"/>
        <v>0</v>
      </c>
      <c r="Q74" s="70">
        <f t="shared" si="28"/>
        <v>0</v>
      </c>
      <c r="R74" s="70">
        <f t="shared" si="28"/>
        <v>0</v>
      </c>
      <c r="S74" s="70">
        <f t="shared" si="28"/>
        <v>0</v>
      </c>
      <c r="T74" s="70">
        <f t="shared" si="28"/>
        <v>0</v>
      </c>
      <c r="U74" s="70">
        <f t="shared" si="28"/>
        <v>0</v>
      </c>
      <c r="V74" s="70">
        <f t="shared" si="28"/>
        <v>0</v>
      </c>
      <c r="W74" s="70"/>
      <c r="X74" s="70">
        <f>SUM(M74:V74)</f>
        <v>0</v>
      </c>
      <c r="Y74" s="96">
        <f>X74-J74</f>
        <v>0</v>
      </c>
      <c r="Z74" s="94"/>
      <c r="AA74" s="94"/>
      <c r="AB74" s="97">
        <f>Y74+AA74</f>
        <v>0</v>
      </c>
      <c r="AC74" s="85"/>
      <c r="AD74" s="96">
        <f>Z74-AC74</f>
        <v>0</v>
      </c>
      <c r="AE74" s="96">
        <f>Y74-Z74</f>
        <v>0</v>
      </c>
      <c r="AF74" s="85"/>
      <c r="AG74" s="96">
        <f>AE74-AF74</f>
        <v>0</v>
      </c>
      <c r="AH74" s="49"/>
      <c r="AI74" s="98">
        <f>(SUM(Z74:AA74)/(1+10/100))*(10/100)</f>
        <v>0</v>
      </c>
      <c r="AJ74" s="49"/>
      <c r="AK74" s="49"/>
      <c r="AL74" s="49"/>
    </row>
    <row r="76" spans="1:38" x14ac:dyDescent="0.2">
      <c r="A76" s="83" t="s">
        <v>135</v>
      </c>
      <c r="B76" s="84"/>
      <c r="C76" s="85"/>
      <c r="D76" s="85"/>
      <c r="E76" s="85"/>
      <c r="F76" s="85"/>
      <c r="G76" s="85"/>
      <c r="H76" s="85"/>
      <c r="I76" s="85"/>
      <c r="J76" s="85"/>
      <c r="K76" s="86"/>
      <c r="L76" s="83" t="s">
        <v>136</v>
      </c>
      <c r="M76" s="84"/>
      <c r="N76" s="85"/>
      <c r="O76" s="85"/>
      <c r="P76" s="85"/>
      <c r="Q76" s="85"/>
      <c r="R76" s="85"/>
      <c r="S76" s="85"/>
      <c r="T76" s="85"/>
      <c r="U76" s="85"/>
      <c r="V76" s="85"/>
      <c r="W76" s="87" t="s">
        <v>314</v>
      </c>
      <c r="X76" s="87" t="s">
        <v>141</v>
      </c>
      <c r="Y76" s="88" t="s">
        <v>192</v>
      </c>
      <c r="Z76" s="89" t="s">
        <v>142</v>
      </c>
      <c r="AA76" s="90" t="s">
        <v>193</v>
      </c>
      <c r="AB76" s="91" t="s">
        <v>194</v>
      </c>
      <c r="AC76" s="88" t="s">
        <v>312</v>
      </c>
      <c r="AD76" s="87" t="s">
        <v>195</v>
      </c>
      <c r="AE76" s="87" t="s">
        <v>196</v>
      </c>
      <c r="AF76" s="88" t="s">
        <v>313</v>
      </c>
      <c r="AG76" s="87" t="s">
        <v>198</v>
      </c>
      <c r="AH76" s="49"/>
      <c r="AI76" s="92"/>
      <c r="AJ76" s="49"/>
      <c r="AK76" s="49"/>
      <c r="AL76" s="49"/>
    </row>
    <row r="77" spans="1:38" x14ac:dyDescent="0.2">
      <c r="A77" s="87" t="s">
        <v>199</v>
      </c>
      <c r="B77" s="93">
        <v>0.05</v>
      </c>
      <c r="C77" s="93">
        <v>0.1</v>
      </c>
      <c r="D77" s="93">
        <v>0.2</v>
      </c>
      <c r="E77" s="93">
        <v>0.5</v>
      </c>
      <c r="F77" s="93">
        <v>1</v>
      </c>
      <c r="G77" s="93">
        <v>2</v>
      </c>
      <c r="H77" s="93">
        <v>5</v>
      </c>
      <c r="I77" s="93">
        <v>10</v>
      </c>
      <c r="J77" s="49"/>
      <c r="K77" s="86"/>
      <c r="L77" s="87" t="s">
        <v>199</v>
      </c>
      <c r="M77" s="93">
        <v>0.05</v>
      </c>
      <c r="N77" s="93">
        <v>0.1</v>
      </c>
      <c r="O77" s="93">
        <v>0.2</v>
      </c>
      <c r="P77" s="93">
        <v>0.5</v>
      </c>
      <c r="Q77" s="93">
        <v>1</v>
      </c>
      <c r="R77" s="93">
        <v>2</v>
      </c>
      <c r="S77" s="93">
        <v>5</v>
      </c>
      <c r="T77" s="93">
        <v>10</v>
      </c>
      <c r="U77" s="93">
        <v>20</v>
      </c>
      <c r="V77" s="93">
        <v>50</v>
      </c>
      <c r="W77" s="85"/>
      <c r="X77" s="85"/>
      <c r="Y77" s="85"/>
      <c r="Z77" s="49"/>
      <c r="AA77" s="94"/>
      <c r="AB77" s="95"/>
      <c r="AC77" s="85"/>
      <c r="AD77" s="85"/>
      <c r="AE77" s="85"/>
      <c r="AF77" s="85"/>
      <c r="AG77" s="85"/>
      <c r="AH77" s="49"/>
      <c r="AI77" s="92"/>
      <c r="AJ77" s="49"/>
      <c r="AK77" s="49"/>
      <c r="AL77" s="49"/>
    </row>
    <row r="78" spans="1:38" x14ac:dyDescent="0.2">
      <c r="A78" s="87" t="s">
        <v>200</v>
      </c>
      <c r="I78" s="85"/>
      <c r="J78" s="85"/>
      <c r="K78" s="86"/>
      <c r="L78" s="87" t="s">
        <v>200</v>
      </c>
      <c r="U78" s="49"/>
      <c r="V78" s="49"/>
      <c r="W78" s="85"/>
      <c r="X78" s="85"/>
      <c r="Y78" s="85"/>
      <c r="Z78" s="49"/>
      <c r="AA78" s="94"/>
      <c r="AB78" s="95"/>
      <c r="AC78" s="85"/>
      <c r="AD78" s="85"/>
      <c r="AE78" s="85"/>
      <c r="AF78" s="85"/>
      <c r="AG78" s="85"/>
      <c r="AH78" s="49"/>
      <c r="AI78" s="92"/>
      <c r="AJ78" s="49"/>
      <c r="AK78" s="49"/>
      <c r="AL78" s="49"/>
    </row>
    <row r="79" spans="1:38" x14ac:dyDescent="0.2">
      <c r="A79" s="87" t="s">
        <v>141</v>
      </c>
      <c r="B79" s="70">
        <f t="shared" ref="B79:H79" si="29">B78*B77</f>
        <v>0</v>
      </c>
      <c r="C79" s="70">
        <f t="shared" si="29"/>
        <v>0</v>
      </c>
      <c r="D79" s="70">
        <f t="shared" si="29"/>
        <v>0</v>
      </c>
      <c r="E79" s="70">
        <f t="shared" si="29"/>
        <v>0</v>
      </c>
      <c r="F79" s="70">
        <f t="shared" si="29"/>
        <v>0</v>
      </c>
      <c r="G79" s="70">
        <f t="shared" si="29"/>
        <v>0</v>
      </c>
      <c r="H79" s="70">
        <f t="shared" si="29"/>
        <v>0</v>
      </c>
      <c r="I79" s="70">
        <f>J78*I77</f>
        <v>0</v>
      </c>
      <c r="J79" s="70">
        <f>SUM(B79:I79)</f>
        <v>0</v>
      </c>
      <c r="K79" s="86"/>
      <c r="L79" s="87" t="s">
        <v>141</v>
      </c>
      <c r="M79" s="70">
        <f t="shared" ref="M79:V79" si="30">M78*M77</f>
        <v>0</v>
      </c>
      <c r="N79" s="70">
        <f t="shared" si="30"/>
        <v>0</v>
      </c>
      <c r="O79" s="70">
        <f t="shared" si="30"/>
        <v>0</v>
      </c>
      <c r="P79" s="70">
        <f t="shared" si="30"/>
        <v>0</v>
      </c>
      <c r="Q79" s="70">
        <f t="shared" si="30"/>
        <v>0</v>
      </c>
      <c r="R79" s="70">
        <f t="shared" si="30"/>
        <v>0</v>
      </c>
      <c r="S79" s="70">
        <f t="shared" si="30"/>
        <v>0</v>
      </c>
      <c r="T79" s="70">
        <f t="shared" si="30"/>
        <v>0</v>
      </c>
      <c r="U79" s="70">
        <f t="shared" si="30"/>
        <v>0</v>
      </c>
      <c r="V79" s="70">
        <f t="shared" si="30"/>
        <v>0</v>
      </c>
      <c r="W79" s="70"/>
      <c r="X79" s="70">
        <f>SUM(M79:V79)</f>
        <v>0</v>
      </c>
      <c r="Y79" s="96">
        <f>X79-J79</f>
        <v>0</v>
      </c>
      <c r="Z79" s="94"/>
      <c r="AA79" s="94"/>
      <c r="AB79" s="97">
        <f>Y79+AA79</f>
        <v>0</v>
      </c>
      <c r="AC79" s="85"/>
      <c r="AD79" s="96">
        <f>Z79-AC79</f>
        <v>0</v>
      </c>
      <c r="AE79" s="96">
        <f>Y79-Z79</f>
        <v>0</v>
      </c>
      <c r="AF79" s="85"/>
      <c r="AG79" s="96">
        <f>AE79-AF79</f>
        <v>0</v>
      </c>
      <c r="AH79" s="49"/>
      <c r="AI79" s="98">
        <f>(SUM(Z79:AA79)/(1+10/100))*(10/100)</f>
        <v>0</v>
      </c>
      <c r="AJ79" s="49"/>
      <c r="AK79" s="49"/>
      <c r="AL79" s="49"/>
    </row>
    <row r="81" spans="1:38" x14ac:dyDescent="0.2">
      <c r="A81" s="83" t="s">
        <v>135</v>
      </c>
      <c r="B81" s="84"/>
      <c r="C81" s="85"/>
      <c r="D81" s="85"/>
      <c r="E81" s="85"/>
      <c r="F81" s="85"/>
      <c r="G81" s="85"/>
      <c r="H81" s="85"/>
      <c r="I81" s="85"/>
      <c r="J81" s="85"/>
      <c r="K81" s="86"/>
      <c r="L81" s="83" t="s">
        <v>136</v>
      </c>
      <c r="M81" s="84"/>
      <c r="N81" s="85"/>
      <c r="O81" s="85"/>
      <c r="P81" s="85"/>
      <c r="Q81" s="85"/>
      <c r="R81" s="85"/>
      <c r="S81" s="85"/>
      <c r="T81" s="85"/>
      <c r="U81" s="85"/>
      <c r="V81" s="85"/>
      <c r="W81" s="87" t="s">
        <v>314</v>
      </c>
      <c r="X81" s="87" t="s">
        <v>141</v>
      </c>
      <c r="Y81" s="88" t="s">
        <v>192</v>
      </c>
      <c r="Z81" s="89" t="s">
        <v>142</v>
      </c>
      <c r="AA81" s="90" t="s">
        <v>193</v>
      </c>
      <c r="AB81" s="91" t="s">
        <v>194</v>
      </c>
      <c r="AC81" s="88" t="s">
        <v>312</v>
      </c>
      <c r="AD81" s="87" t="s">
        <v>195</v>
      </c>
      <c r="AE81" s="87" t="s">
        <v>196</v>
      </c>
      <c r="AF81" s="88" t="s">
        <v>313</v>
      </c>
      <c r="AG81" s="87" t="s">
        <v>198</v>
      </c>
      <c r="AH81" s="49"/>
      <c r="AI81" s="92"/>
      <c r="AJ81" s="49"/>
      <c r="AK81" s="49"/>
      <c r="AL81" s="49"/>
    </row>
    <row r="82" spans="1:38" x14ac:dyDescent="0.2">
      <c r="A82" s="87" t="s">
        <v>199</v>
      </c>
      <c r="B82" s="93">
        <v>0.05</v>
      </c>
      <c r="C82" s="93">
        <v>0.1</v>
      </c>
      <c r="D82" s="93">
        <v>0.2</v>
      </c>
      <c r="E82" s="93">
        <v>0.5</v>
      </c>
      <c r="F82" s="93">
        <v>1</v>
      </c>
      <c r="G82" s="93">
        <v>2</v>
      </c>
      <c r="H82" s="93">
        <v>5</v>
      </c>
      <c r="I82" s="93">
        <v>10</v>
      </c>
      <c r="J82" s="49"/>
      <c r="K82" s="86"/>
      <c r="L82" s="87" t="s">
        <v>199</v>
      </c>
      <c r="M82" s="93">
        <v>0.05</v>
      </c>
      <c r="N82" s="93">
        <v>0.1</v>
      </c>
      <c r="O82" s="93">
        <v>0.2</v>
      </c>
      <c r="P82" s="93">
        <v>0.5</v>
      </c>
      <c r="Q82" s="93">
        <v>1</v>
      </c>
      <c r="R82" s="93">
        <v>2</v>
      </c>
      <c r="S82" s="93">
        <v>5</v>
      </c>
      <c r="T82" s="93">
        <v>10</v>
      </c>
      <c r="U82" s="93">
        <v>20</v>
      </c>
      <c r="V82" s="93">
        <v>50</v>
      </c>
      <c r="W82" s="85"/>
      <c r="X82" s="85"/>
      <c r="Y82" s="85"/>
      <c r="Z82" s="49"/>
      <c r="AA82" s="94"/>
      <c r="AB82" s="95"/>
      <c r="AC82" s="85"/>
      <c r="AD82" s="85"/>
      <c r="AE82" s="85"/>
      <c r="AF82" s="85"/>
      <c r="AG82" s="85"/>
      <c r="AH82" s="49"/>
      <c r="AI82" s="92"/>
      <c r="AJ82" s="49"/>
      <c r="AK82" s="49"/>
      <c r="AL82" s="49"/>
    </row>
    <row r="83" spans="1:38" x14ac:dyDescent="0.2">
      <c r="A83" s="87" t="s">
        <v>200</v>
      </c>
      <c r="I83" s="85"/>
      <c r="J83" s="85"/>
      <c r="K83" s="86"/>
      <c r="L83" s="87" t="s">
        <v>200</v>
      </c>
      <c r="U83" s="49"/>
      <c r="V83" s="49"/>
      <c r="W83" s="85"/>
      <c r="X83" s="85"/>
      <c r="Y83" s="85"/>
      <c r="Z83" s="49"/>
      <c r="AA83" s="94"/>
      <c r="AB83" s="95"/>
      <c r="AC83" s="85"/>
      <c r="AD83" s="85"/>
      <c r="AE83" s="85"/>
      <c r="AF83" s="85"/>
      <c r="AG83" s="85"/>
      <c r="AH83" s="49"/>
      <c r="AI83" s="92"/>
      <c r="AJ83" s="49"/>
      <c r="AK83" s="49"/>
      <c r="AL83" s="49"/>
    </row>
    <row r="84" spans="1:38" x14ac:dyDescent="0.2">
      <c r="A84" s="87" t="s">
        <v>141</v>
      </c>
      <c r="B84" s="70">
        <f t="shared" ref="B84:H84" si="31">B83*B82</f>
        <v>0</v>
      </c>
      <c r="C84" s="70">
        <f t="shared" si="31"/>
        <v>0</v>
      </c>
      <c r="D84" s="70">
        <f t="shared" si="31"/>
        <v>0</v>
      </c>
      <c r="E84" s="70">
        <f t="shared" si="31"/>
        <v>0</v>
      </c>
      <c r="F84" s="70">
        <f t="shared" si="31"/>
        <v>0</v>
      </c>
      <c r="G84" s="70">
        <f t="shared" si="31"/>
        <v>0</v>
      </c>
      <c r="H84" s="70">
        <f t="shared" si="31"/>
        <v>0</v>
      </c>
      <c r="I84" s="70">
        <f>J83*I82</f>
        <v>0</v>
      </c>
      <c r="J84" s="70">
        <f>SUM(B84:I84)</f>
        <v>0</v>
      </c>
      <c r="K84" s="86"/>
      <c r="L84" s="87" t="s">
        <v>141</v>
      </c>
      <c r="M84" s="70">
        <f t="shared" ref="M84:V84" si="32">M83*M82</f>
        <v>0</v>
      </c>
      <c r="N84" s="70">
        <f t="shared" si="32"/>
        <v>0</v>
      </c>
      <c r="O84" s="70">
        <f t="shared" si="32"/>
        <v>0</v>
      </c>
      <c r="P84" s="70">
        <f t="shared" si="32"/>
        <v>0</v>
      </c>
      <c r="Q84" s="70">
        <f t="shared" si="32"/>
        <v>0</v>
      </c>
      <c r="R84" s="70">
        <f t="shared" si="32"/>
        <v>0</v>
      </c>
      <c r="S84" s="70">
        <f t="shared" si="32"/>
        <v>0</v>
      </c>
      <c r="T84" s="70">
        <f t="shared" si="32"/>
        <v>0</v>
      </c>
      <c r="U84" s="70">
        <f t="shared" si="32"/>
        <v>0</v>
      </c>
      <c r="V84" s="70">
        <f t="shared" si="32"/>
        <v>0</v>
      </c>
      <c r="W84" s="70"/>
      <c r="X84" s="70">
        <f>SUM(M84:V84)</f>
        <v>0</v>
      </c>
      <c r="Y84" s="96">
        <f>X84-J84</f>
        <v>0</v>
      </c>
      <c r="Z84" s="94"/>
      <c r="AA84" s="94"/>
      <c r="AB84" s="97">
        <f>Y84+AA84</f>
        <v>0</v>
      </c>
      <c r="AC84" s="85"/>
      <c r="AD84" s="96">
        <f>Z84-AC84</f>
        <v>0</v>
      </c>
      <c r="AE84" s="96">
        <f>Y84-Z84</f>
        <v>0</v>
      </c>
      <c r="AF84" s="85"/>
      <c r="AG84" s="96">
        <f>AE84-AF84</f>
        <v>0</v>
      </c>
      <c r="AH84" s="49"/>
      <c r="AI84" s="98">
        <f>(SUM(Z84:AA84)/(1+10/100))*(10/100)</f>
        <v>0</v>
      </c>
      <c r="AJ84" s="49"/>
      <c r="AK84" s="49"/>
      <c r="AL84" s="49"/>
    </row>
    <row r="86" spans="1:38" x14ac:dyDescent="0.2">
      <c r="A86" s="83" t="s">
        <v>135</v>
      </c>
      <c r="B86" s="84"/>
      <c r="C86" s="85"/>
      <c r="D86" s="85"/>
      <c r="E86" s="85"/>
      <c r="F86" s="85"/>
      <c r="G86" s="85"/>
      <c r="H86" s="85"/>
      <c r="I86" s="85"/>
      <c r="J86" s="85"/>
      <c r="K86" s="86"/>
      <c r="L86" s="83" t="s">
        <v>136</v>
      </c>
      <c r="M86" s="84"/>
      <c r="N86" s="85"/>
      <c r="O86" s="85"/>
      <c r="P86" s="85"/>
      <c r="Q86" s="85"/>
      <c r="R86" s="85"/>
      <c r="S86" s="85"/>
      <c r="T86" s="85"/>
      <c r="U86" s="85"/>
      <c r="V86" s="85"/>
      <c r="W86" s="87" t="s">
        <v>314</v>
      </c>
      <c r="X86" s="87" t="s">
        <v>141</v>
      </c>
      <c r="Y86" s="88" t="s">
        <v>192</v>
      </c>
      <c r="Z86" s="89" t="s">
        <v>142</v>
      </c>
      <c r="AA86" s="90" t="s">
        <v>193</v>
      </c>
      <c r="AB86" s="91" t="s">
        <v>194</v>
      </c>
      <c r="AC86" s="88" t="s">
        <v>312</v>
      </c>
      <c r="AD86" s="87" t="s">
        <v>195</v>
      </c>
      <c r="AE86" s="87" t="s">
        <v>196</v>
      </c>
      <c r="AF86" s="88" t="s">
        <v>313</v>
      </c>
      <c r="AG86" s="87" t="s">
        <v>198</v>
      </c>
      <c r="AH86" s="49"/>
      <c r="AI86" s="92"/>
      <c r="AJ86" s="49"/>
      <c r="AK86" s="49"/>
      <c r="AL86" s="49"/>
    </row>
    <row r="87" spans="1:38" x14ac:dyDescent="0.2">
      <c r="A87" s="87" t="s">
        <v>199</v>
      </c>
      <c r="B87" s="93">
        <v>0.05</v>
      </c>
      <c r="C87" s="93">
        <v>0.1</v>
      </c>
      <c r="D87" s="93">
        <v>0.2</v>
      </c>
      <c r="E87" s="93">
        <v>0.5</v>
      </c>
      <c r="F87" s="93">
        <v>1</v>
      </c>
      <c r="G87" s="93">
        <v>2</v>
      </c>
      <c r="H87" s="93">
        <v>5</v>
      </c>
      <c r="I87" s="93">
        <v>10</v>
      </c>
      <c r="J87" s="49"/>
      <c r="K87" s="86"/>
      <c r="L87" s="87" t="s">
        <v>199</v>
      </c>
      <c r="M87" s="93">
        <v>0.05</v>
      </c>
      <c r="N87" s="93">
        <v>0.1</v>
      </c>
      <c r="O87" s="93">
        <v>0.2</v>
      </c>
      <c r="P87" s="93">
        <v>0.5</v>
      </c>
      <c r="Q87" s="93">
        <v>1</v>
      </c>
      <c r="R87" s="93">
        <v>2</v>
      </c>
      <c r="S87" s="93">
        <v>5</v>
      </c>
      <c r="T87" s="93">
        <v>10</v>
      </c>
      <c r="U87" s="93">
        <v>20</v>
      </c>
      <c r="V87" s="93">
        <v>50</v>
      </c>
      <c r="W87" s="85"/>
      <c r="X87" s="85"/>
      <c r="Y87" s="85"/>
      <c r="Z87" s="49"/>
      <c r="AA87" s="94"/>
      <c r="AB87" s="95"/>
      <c r="AC87" s="85"/>
      <c r="AD87" s="85"/>
      <c r="AE87" s="85"/>
      <c r="AF87" s="85"/>
      <c r="AG87" s="85"/>
      <c r="AH87" s="49"/>
      <c r="AI87" s="92"/>
      <c r="AJ87" s="49"/>
      <c r="AK87" s="49"/>
      <c r="AL87" s="49"/>
    </row>
    <row r="88" spans="1:38" x14ac:dyDescent="0.2">
      <c r="A88" s="87" t="s">
        <v>200</v>
      </c>
      <c r="I88" s="85"/>
      <c r="J88" s="85"/>
      <c r="K88" s="86"/>
      <c r="L88" s="87" t="s">
        <v>200</v>
      </c>
      <c r="U88" s="49"/>
      <c r="V88" s="49"/>
      <c r="W88" s="85"/>
      <c r="X88" s="85"/>
      <c r="Y88" s="85"/>
      <c r="Z88" s="49"/>
      <c r="AA88" s="94"/>
      <c r="AB88" s="95"/>
      <c r="AC88" s="85"/>
      <c r="AD88" s="85"/>
      <c r="AE88" s="85"/>
      <c r="AF88" s="85"/>
      <c r="AG88" s="85"/>
      <c r="AH88" s="49"/>
      <c r="AI88" s="92"/>
      <c r="AJ88" s="49"/>
      <c r="AK88" s="49"/>
      <c r="AL88" s="49"/>
    </row>
    <row r="89" spans="1:38" x14ac:dyDescent="0.2">
      <c r="A89" s="87" t="s">
        <v>141</v>
      </c>
      <c r="B89" s="70">
        <f t="shared" ref="B89:H89" si="33">B88*B87</f>
        <v>0</v>
      </c>
      <c r="C89" s="70">
        <f t="shared" si="33"/>
        <v>0</v>
      </c>
      <c r="D89" s="70">
        <f t="shared" si="33"/>
        <v>0</v>
      </c>
      <c r="E89" s="70">
        <f t="shared" si="33"/>
        <v>0</v>
      </c>
      <c r="F89" s="70">
        <f t="shared" si="33"/>
        <v>0</v>
      </c>
      <c r="G89" s="70">
        <f t="shared" si="33"/>
        <v>0</v>
      </c>
      <c r="H89" s="70">
        <f t="shared" si="33"/>
        <v>0</v>
      </c>
      <c r="I89" s="70">
        <f>J88*I87</f>
        <v>0</v>
      </c>
      <c r="J89" s="70">
        <f>SUM(B89:I89)</f>
        <v>0</v>
      </c>
      <c r="K89" s="86"/>
      <c r="L89" s="87" t="s">
        <v>141</v>
      </c>
      <c r="M89" s="70">
        <f t="shared" ref="M89:V89" si="34">M88*M87</f>
        <v>0</v>
      </c>
      <c r="N89" s="70">
        <f t="shared" si="34"/>
        <v>0</v>
      </c>
      <c r="O89" s="70">
        <f t="shared" si="34"/>
        <v>0</v>
      </c>
      <c r="P89" s="70">
        <f t="shared" si="34"/>
        <v>0</v>
      </c>
      <c r="Q89" s="70">
        <f t="shared" si="34"/>
        <v>0</v>
      </c>
      <c r="R89" s="70">
        <f t="shared" si="34"/>
        <v>0</v>
      </c>
      <c r="S89" s="70">
        <f t="shared" si="34"/>
        <v>0</v>
      </c>
      <c r="T89" s="70">
        <f t="shared" si="34"/>
        <v>0</v>
      </c>
      <c r="U89" s="70">
        <f t="shared" si="34"/>
        <v>0</v>
      </c>
      <c r="V89" s="70">
        <f t="shared" si="34"/>
        <v>0</v>
      </c>
      <c r="W89" s="70"/>
      <c r="X89" s="70">
        <f>SUM(M89:V89)</f>
        <v>0</v>
      </c>
      <c r="Y89" s="96">
        <f>X89-J89</f>
        <v>0</v>
      </c>
      <c r="Z89" s="94"/>
      <c r="AA89" s="94"/>
      <c r="AB89" s="97">
        <f>Y89+AA89</f>
        <v>0</v>
      </c>
      <c r="AC89" s="85"/>
      <c r="AD89" s="96">
        <f>Z89-AC89</f>
        <v>0</v>
      </c>
      <c r="AE89" s="96">
        <f>Y89-Z89</f>
        <v>0</v>
      </c>
      <c r="AF89" s="85"/>
      <c r="AG89" s="96">
        <f>AE89-AF89</f>
        <v>0</v>
      </c>
      <c r="AH89" s="49"/>
      <c r="AI89" s="98">
        <f>(SUM(Z89:AA89)/(1+10/100))*(10/100)</f>
        <v>0</v>
      </c>
      <c r="AJ89" s="49"/>
      <c r="AK89" s="49"/>
      <c r="AL89" s="49"/>
    </row>
    <row r="91" spans="1:38" x14ac:dyDescent="0.2">
      <c r="A91" s="83" t="s">
        <v>135</v>
      </c>
      <c r="B91" s="84"/>
      <c r="C91" s="85"/>
      <c r="D91" s="85"/>
      <c r="E91" s="85"/>
      <c r="F91" s="85"/>
      <c r="G91" s="85"/>
      <c r="H91" s="85"/>
      <c r="I91" s="85"/>
      <c r="J91" s="85"/>
      <c r="K91" s="86"/>
      <c r="L91" s="83" t="s">
        <v>136</v>
      </c>
      <c r="M91" s="84"/>
      <c r="N91" s="85"/>
      <c r="O91" s="85"/>
      <c r="P91" s="85"/>
      <c r="Q91" s="85"/>
      <c r="R91" s="85"/>
      <c r="S91" s="85"/>
      <c r="T91" s="85"/>
      <c r="U91" s="85"/>
      <c r="V91" s="85"/>
      <c r="W91" s="87" t="s">
        <v>314</v>
      </c>
      <c r="X91" s="87" t="s">
        <v>141</v>
      </c>
      <c r="Y91" s="88" t="s">
        <v>192</v>
      </c>
      <c r="Z91" s="89" t="s">
        <v>142</v>
      </c>
      <c r="AA91" s="90" t="s">
        <v>193</v>
      </c>
      <c r="AB91" s="91" t="s">
        <v>194</v>
      </c>
      <c r="AC91" s="88" t="s">
        <v>312</v>
      </c>
      <c r="AD91" s="87" t="s">
        <v>195</v>
      </c>
      <c r="AE91" s="87" t="s">
        <v>196</v>
      </c>
      <c r="AF91" s="88" t="s">
        <v>313</v>
      </c>
      <c r="AG91" s="87" t="s">
        <v>198</v>
      </c>
      <c r="AH91" s="49"/>
      <c r="AI91" s="92"/>
      <c r="AJ91" s="49"/>
      <c r="AK91" s="49"/>
      <c r="AL91" s="49"/>
    </row>
    <row r="92" spans="1:38" x14ac:dyDescent="0.2">
      <c r="A92" s="87" t="s">
        <v>199</v>
      </c>
      <c r="B92" s="93">
        <v>0.05</v>
      </c>
      <c r="C92" s="93">
        <v>0.1</v>
      </c>
      <c r="D92" s="93">
        <v>0.2</v>
      </c>
      <c r="E92" s="93">
        <v>0.5</v>
      </c>
      <c r="F92" s="93">
        <v>1</v>
      </c>
      <c r="G92" s="93">
        <v>2</v>
      </c>
      <c r="H92" s="93">
        <v>5</v>
      </c>
      <c r="I92" s="93">
        <v>10</v>
      </c>
      <c r="J92" s="49"/>
      <c r="K92" s="86"/>
      <c r="L92" s="87" t="s">
        <v>199</v>
      </c>
      <c r="M92" s="93">
        <v>0.05</v>
      </c>
      <c r="N92" s="93">
        <v>0.1</v>
      </c>
      <c r="O92" s="93">
        <v>0.2</v>
      </c>
      <c r="P92" s="93">
        <v>0.5</v>
      </c>
      <c r="Q92" s="93">
        <v>1</v>
      </c>
      <c r="R92" s="93">
        <v>2</v>
      </c>
      <c r="S92" s="93">
        <v>5</v>
      </c>
      <c r="T92" s="93">
        <v>10</v>
      </c>
      <c r="U92" s="93">
        <v>20</v>
      </c>
      <c r="V92" s="93">
        <v>50</v>
      </c>
      <c r="W92" s="85"/>
      <c r="X92" s="85"/>
      <c r="Y92" s="85"/>
      <c r="Z92" s="49"/>
      <c r="AA92" s="94"/>
      <c r="AB92" s="95"/>
      <c r="AC92" s="85"/>
      <c r="AD92" s="85"/>
      <c r="AE92" s="85"/>
      <c r="AF92" s="85"/>
      <c r="AG92" s="85"/>
      <c r="AH92" s="49"/>
      <c r="AI92" s="92"/>
      <c r="AJ92" s="49"/>
      <c r="AK92" s="49"/>
      <c r="AL92" s="49"/>
    </row>
    <row r="93" spans="1:38" x14ac:dyDescent="0.2">
      <c r="A93" s="87" t="s">
        <v>200</v>
      </c>
      <c r="I93" s="85"/>
      <c r="J93" s="85"/>
      <c r="K93" s="86"/>
      <c r="L93" s="87" t="s">
        <v>200</v>
      </c>
      <c r="U93" s="49"/>
      <c r="V93" s="49"/>
      <c r="W93" s="85"/>
      <c r="X93" s="85"/>
      <c r="Y93" s="85"/>
      <c r="Z93" s="49"/>
      <c r="AA93" s="94"/>
      <c r="AB93" s="95"/>
      <c r="AC93" s="85"/>
      <c r="AD93" s="85"/>
      <c r="AE93" s="85"/>
      <c r="AF93" s="85"/>
      <c r="AG93" s="85"/>
      <c r="AH93" s="49"/>
      <c r="AI93" s="92"/>
      <c r="AJ93" s="49"/>
      <c r="AK93" s="49"/>
      <c r="AL93" s="49"/>
    </row>
    <row r="94" spans="1:38" x14ac:dyDescent="0.2">
      <c r="A94" s="87" t="s">
        <v>141</v>
      </c>
      <c r="B94" s="70">
        <f t="shared" ref="B94:H94" si="35">B93*B92</f>
        <v>0</v>
      </c>
      <c r="C94" s="70">
        <f t="shared" si="35"/>
        <v>0</v>
      </c>
      <c r="D94" s="70">
        <f t="shared" si="35"/>
        <v>0</v>
      </c>
      <c r="E94" s="70">
        <f t="shared" si="35"/>
        <v>0</v>
      </c>
      <c r="F94" s="70">
        <f t="shared" si="35"/>
        <v>0</v>
      </c>
      <c r="G94" s="70">
        <f t="shared" si="35"/>
        <v>0</v>
      </c>
      <c r="H94" s="70">
        <f t="shared" si="35"/>
        <v>0</v>
      </c>
      <c r="I94" s="70">
        <f>J93*I92</f>
        <v>0</v>
      </c>
      <c r="J94" s="70">
        <f>SUM(B94:I94)</f>
        <v>0</v>
      </c>
      <c r="K94" s="86"/>
      <c r="L94" s="87" t="s">
        <v>141</v>
      </c>
      <c r="M94" s="70">
        <f t="shared" ref="M94:V94" si="36">M93*M92</f>
        <v>0</v>
      </c>
      <c r="N94" s="70">
        <f t="shared" si="36"/>
        <v>0</v>
      </c>
      <c r="O94" s="70">
        <f t="shared" si="36"/>
        <v>0</v>
      </c>
      <c r="P94" s="70">
        <f t="shared" si="36"/>
        <v>0</v>
      </c>
      <c r="Q94" s="70">
        <f t="shared" si="36"/>
        <v>0</v>
      </c>
      <c r="R94" s="70">
        <f t="shared" si="36"/>
        <v>0</v>
      </c>
      <c r="S94" s="70">
        <f t="shared" si="36"/>
        <v>0</v>
      </c>
      <c r="T94" s="70">
        <f t="shared" si="36"/>
        <v>0</v>
      </c>
      <c r="U94" s="70">
        <f t="shared" si="36"/>
        <v>0</v>
      </c>
      <c r="V94" s="70">
        <f t="shared" si="36"/>
        <v>0</v>
      </c>
      <c r="W94" s="70"/>
      <c r="X94" s="70">
        <f>SUM(M94:V94)</f>
        <v>0</v>
      </c>
      <c r="Y94" s="96">
        <f>X94-J94</f>
        <v>0</v>
      </c>
      <c r="Z94" s="94"/>
      <c r="AA94" s="94"/>
      <c r="AB94" s="97">
        <f>Y94+AA94</f>
        <v>0</v>
      </c>
      <c r="AC94" s="85"/>
      <c r="AD94" s="96">
        <f>Z94-AC94</f>
        <v>0</v>
      </c>
      <c r="AE94" s="96">
        <f>Y94-Z94</f>
        <v>0</v>
      </c>
      <c r="AF94" s="85"/>
      <c r="AG94" s="96">
        <f>AE94-AF94</f>
        <v>0</v>
      </c>
      <c r="AH94" s="49"/>
      <c r="AI94" s="98">
        <f>(SUM(Z94:AA94)/(1+10/100))*(10/100)</f>
        <v>0</v>
      </c>
      <c r="AJ94" s="49"/>
      <c r="AK94" s="49"/>
      <c r="AL94" s="49"/>
    </row>
    <row r="96" spans="1:38" x14ac:dyDescent="0.2">
      <c r="A96" s="83" t="s">
        <v>135</v>
      </c>
      <c r="B96" s="84"/>
      <c r="C96" s="85"/>
      <c r="D96" s="85"/>
      <c r="E96" s="85"/>
      <c r="F96" s="85"/>
      <c r="G96" s="85"/>
      <c r="H96" s="85"/>
      <c r="I96" s="85"/>
      <c r="J96" s="85"/>
      <c r="K96" s="86"/>
      <c r="L96" s="83" t="s">
        <v>136</v>
      </c>
      <c r="M96" s="84"/>
      <c r="N96" s="85"/>
      <c r="O96" s="85"/>
      <c r="P96" s="85"/>
      <c r="Q96" s="85"/>
      <c r="R96" s="85"/>
      <c r="S96" s="85"/>
      <c r="T96" s="85"/>
      <c r="U96" s="85"/>
      <c r="V96" s="85"/>
      <c r="W96" s="87" t="s">
        <v>314</v>
      </c>
      <c r="X96" s="87" t="s">
        <v>141</v>
      </c>
      <c r="Y96" s="88" t="s">
        <v>192</v>
      </c>
      <c r="Z96" s="89" t="s">
        <v>142</v>
      </c>
      <c r="AA96" s="90" t="s">
        <v>193</v>
      </c>
      <c r="AB96" s="91" t="s">
        <v>194</v>
      </c>
      <c r="AC96" s="88" t="s">
        <v>312</v>
      </c>
      <c r="AD96" s="87" t="s">
        <v>195</v>
      </c>
      <c r="AE96" s="87" t="s">
        <v>196</v>
      </c>
      <c r="AF96" s="88" t="s">
        <v>313</v>
      </c>
      <c r="AG96" s="87" t="s">
        <v>198</v>
      </c>
      <c r="AH96" s="49"/>
      <c r="AI96" s="92"/>
      <c r="AJ96" s="49"/>
      <c r="AK96" s="49"/>
      <c r="AL96" s="49"/>
    </row>
    <row r="97" spans="1:38" x14ac:dyDescent="0.2">
      <c r="A97" s="87" t="s">
        <v>199</v>
      </c>
      <c r="B97" s="93">
        <v>0.05</v>
      </c>
      <c r="C97" s="93">
        <v>0.1</v>
      </c>
      <c r="D97" s="93">
        <v>0.2</v>
      </c>
      <c r="E97" s="93">
        <v>0.5</v>
      </c>
      <c r="F97" s="93">
        <v>1</v>
      </c>
      <c r="G97" s="93">
        <v>2</v>
      </c>
      <c r="H97" s="93">
        <v>5</v>
      </c>
      <c r="I97" s="93">
        <v>10</v>
      </c>
      <c r="J97" s="49"/>
      <c r="K97" s="86"/>
      <c r="L97" s="87" t="s">
        <v>199</v>
      </c>
      <c r="M97" s="93">
        <v>0.05</v>
      </c>
      <c r="N97" s="93">
        <v>0.1</v>
      </c>
      <c r="O97" s="93">
        <v>0.2</v>
      </c>
      <c r="P97" s="93">
        <v>0.5</v>
      </c>
      <c r="Q97" s="93">
        <v>1</v>
      </c>
      <c r="R97" s="93">
        <v>2</v>
      </c>
      <c r="S97" s="93">
        <v>5</v>
      </c>
      <c r="T97" s="93">
        <v>10</v>
      </c>
      <c r="U97" s="93">
        <v>20</v>
      </c>
      <c r="V97" s="93">
        <v>50</v>
      </c>
      <c r="W97" s="85"/>
      <c r="X97" s="85"/>
      <c r="Y97" s="85"/>
      <c r="Z97" s="49"/>
      <c r="AA97" s="94"/>
      <c r="AB97" s="95"/>
      <c r="AC97" s="85"/>
      <c r="AD97" s="85"/>
      <c r="AE97" s="85"/>
      <c r="AF97" s="85"/>
      <c r="AG97" s="85"/>
      <c r="AH97" s="49"/>
      <c r="AI97" s="92"/>
      <c r="AJ97" s="49"/>
      <c r="AK97" s="49"/>
      <c r="AL97" s="49"/>
    </row>
    <row r="98" spans="1:38" x14ac:dyDescent="0.2">
      <c r="A98" s="87" t="s">
        <v>200</v>
      </c>
      <c r="I98" s="85"/>
      <c r="J98" s="85"/>
      <c r="K98" s="86"/>
      <c r="L98" s="87" t="s">
        <v>200</v>
      </c>
      <c r="U98" s="49"/>
      <c r="V98" s="49"/>
      <c r="W98" s="85"/>
      <c r="X98" s="85"/>
      <c r="Y98" s="85"/>
      <c r="Z98" s="49"/>
      <c r="AA98" s="94"/>
      <c r="AB98" s="95"/>
      <c r="AC98" s="85"/>
      <c r="AD98" s="85"/>
      <c r="AE98" s="85"/>
      <c r="AF98" s="85"/>
      <c r="AG98" s="85"/>
      <c r="AH98" s="49"/>
      <c r="AI98" s="92"/>
      <c r="AJ98" s="49"/>
      <c r="AK98" s="49"/>
      <c r="AL98" s="49"/>
    </row>
    <row r="99" spans="1:38" x14ac:dyDescent="0.2">
      <c r="A99" s="87" t="s">
        <v>141</v>
      </c>
      <c r="B99" s="70">
        <f t="shared" ref="B99:H99" si="37">B98*B97</f>
        <v>0</v>
      </c>
      <c r="C99" s="70">
        <f t="shared" si="37"/>
        <v>0</v>
      </c>
      <c r="D99" s="70">
        <f t="shared" si="37"/>
        <v>0</v>
      </c>
      <c r="E99" s="70">
        <f t="shared" si="37"/>
        <v>0</v>
      </c>
      <c r="F99" s="70">
        <f t="shared" si="37"/>
        <v>0</v>
      </c>
      <c r="G99" s="70">
        <f t="shared" si="37"/>
        <v>0</v>
      </c>
      <c r="H99" s="70">
        <f t="shared" si="37"/>
        <v>0</v>
      </c>
      <c r="I99" s="70">
        <f>J98*I97</f>
        <v>0</v>
      </c>
      <c r="J99" s="70">
        <f>SUM(B99:I99)</f>
        <v>0</v>
      </c>
      <c r="K99" s="86"/>
      <c r="L99" s="87" t="s">
        <v>141</v>
      </c>
      <c r="M99" s="70">
        <f t="shared" ref="M99:V99" si="38">M98*M97</f>
        <v>0</v>
      </c>
      <c r="N99" s="70">
        <f t="shared" si="38"/>
        <v>0</v>
      </c>
      <c r="O99" s="70">
        <f t="shared" si="38"/>
        <v>0</v>
      </c>
      <c r="P99" s="70">
        <f t="shared" si="38"/>
        <v>0</v>
      </c>
      <c r="Q99" s="70">
        <f t="shared" si="38"/>
        <v>0</v>
      </c>
      <c r="R99" s="70">
        <f t="shared" si="38"/>
        <v>0</v>
      </c>
      <c r="S99" s="70">
        <f t="shared" si="38"/>
        <v>0</v>
      </c>
      <c r="T99" s="70">
        <f t="shared" si="38"/>
        <v>0</v>
      </c>
      <c r="U99" s="70">
        <f t="shared" si="38"/>
        <v>0</v>
      </c>
      <c r="V99" s="70">
        <f t="shared" si="38"/>
        <v>0</v>
      </c>
      <c r="W99" s="70"/>
      <c r="X99" s="70">
        <f>SUM(M99:V99)</f>
        <v>0</v>
      </c>
      <c r="Y99" s="96">
        <f>X99-J99</f>
        <v>0</v>
      </c>
      <c r="Z99" s="94"/>
      <c r="AA99" s="94"/>
      <c r="AB99" s="97">
        <f>Y99+AA99</f>
        <v>0</v>
      </c>
      <c r="AC99" s="85"/>
      <c r="AD99" s="96">
        <f>Z99-AC99</f>
        <v>0</v>
      </c>
      <c r="AE99" s="96">
        <f>Y99-Z99</f>
        <v>0</v>
      </c>
      <c r="AF99" s="85"/>
      <c r="AG99" s="96">
        <f>AE99-AF99</f>
        <v>0</v>
      </c>
      <c r="AH99" s="49"/>
      <c r="AI99" s="98">
        <f>(SUM(Z99:AA99)/(1+10/100))*(10/100)</f>
        <v>0</v>
      </c>
      <c r="AJ99" s="49"/>
      <c r="AK99" s="49"/>
      <c r="AL99" s="49"/>
    </row>
    <row r="101" spans="1:38" x14ac:dyDescent="0.2">
      <c r="A101" s="83" t="s">
        <v>135</v>
      </c>
      <c r="B101" s="84"/>
      <c r="C101" s="85"/>
      <c r="D101" s="85"/>
      <c r="E101" s="85"/>
      <c r="F101" s="85"/>
      <c r="G101" s="85"/>
      <c r="H101" s="85"/>
      <c r="I101" s="85"/>
      <c r="J101" s="85"/>
      <c r="K101" s="86"/>
      <c r="L101" s="83" t="s">
        <v>136</v>
      </c>
      <c r="M101" s="84"/>
      <c r="N101" s="85"/>
      <c r="O101" s="85"/>
      <c r="P101" s="85"/>
      <c r="Q101" s="85"/>
      <c r="R101" s="85"/>
      <c r="S101" s="85"/>
      <c r="T101" s="85"/>
      <c r="U101" s="85"/>
      <c r="V101" s="85"/>
      <c r="W101" s="87" t="s">
        <v>314</v>
      </c>
      <c r="X101" s="87" t="s">
        <v>141</v>
      </c>
      <c r="Y101" s="88" t="s">
        <v>192</v>
      </c>
      <c r="Z101" s="89" t="s">
        <v>142</v>
      </c>
      <c r="AA101" s="90" t="s">
        <v>193</v>
      </c>
      <c r="AB101" s="91" t="s">
        <v>194</v>
      </c>
      <c r="AC101" s="88" t="s">
        <v>312</v>
      </c>
      <c r="AD101" s="87" t="s">
        <v>195</v>
      </c>
      <c r="AE101" s="87" t="s">
        <v>196</v>
      </c>
      <c r="AF101" s="88" t="s">
        <v>313</v>
      </c>
      <c r="AG101" s="87" t="s">
        <v>198</v>
      </c>
      <c r="AH101" s="49"/>
      <c r="AI101" s="92"/>
      <c r="AJ101" s="49"/>
      <c r="AK101" s="49"/>
      <c r="AL101" s="49"/>
    </row>
    <row r="102" spans="1:38" x14ac:dyDescent="0.2">
      <c r="A102" s="87" t="s">
        <v>199</v>
      </c>
      <c r="B102" s="93">
        <v>0.05</v>
      </c>
      <c r="C102" s="93">
        <v>0.1</v>
      </c>
      <c r="D102" s="93">
        <v>0.2</v>
      </c>
      <c r="E102" s="93">
        <v>0.5</v>
      </c>
      <c r="F102" s="93">
        <v>1</v>
      </c>
      <c r="G102" s="93">
        <v>2</v>
      </c>
      <c r="H102" s="93">
        <v>5</v>
      </c>
      <c r="I102" s="93">
        <v>10</v>
      </c>
      <c r="J102" s="49"/>
      <c r="K102" s="86"/>
      <c r="L102" s="87" t="s">
        <v>199</v>
      </c>
      <c r="M102" s="93">
        <v>0.05</v>
      </c>
      <c r="N102" s="93">
        <v>0.1</v>
      </c>
      <c r="O102" s="93">
        <v>0.2</v>
      </c>
      <c r="P102" s="93">
        <v>0.5</v>
      </c>
      <c r="Q102" s="93">
        <v>1</v>
      </c>
      <c r="R102" s="93">
        <v>2</v>
      </c>
      <c r="S102" s="93">
        <v>5</v>
      </c>
      <c r="T102" s="93">
        <v>10</v>
      </c>
      <c r="U102" s="93">
        <v>20</v>
      </c>
      <c r="V102" s="93">
        <v>50</v>
      </c>
      <c r="W102" s="85"/>
      <c r="X102" s="85"/>
      <c r="Y102" s="85"/>
      <c r="Z102" s="49"/>
      <c r="AA102" s="94"/>
      <c r="AB102" s="95"/>
      <c r="AC102" s="85"/>
      <c r="AD102" s="85"/>
      <c r="AE102" s="85"/>
      <c r="AF102" s="85"/>
      <c r="AG102" s="85"/>
      <c r="AH102" s="49"/>
      <c r="AI102" s="92"/>
      <c r="AJ102" s="49"/>
      <c r="AK102" s="49"/>
      <c r="AL102" s="49"/>
    </row>
    <row r="103" spans="1:38" x14ac:dyDescent="0.2">
      <c r="A103" s="87" t="s">
        <v>200</v>
      </c>
      <c r="I103" s="85"/>
      <c r="J103" s="85"/>
      <c r="K103" s="86"/>
      <c r="L103" s="87" t="s">
        <v>200</v>
      </c>
      <c r="U103" s="49"/>
      <c r="V103" s="49"/>
      <c r="W103" s="85"/>
      <c r="X103" s="85"/>
      <c r="Y103" s="85"/>
      <c r="Z103" s="49"/>
      <c r="AA103" s="94"/>
      <c r="AB103" s="95"/>
      <c r="AC103" s="85"/>
      <c r="AD103" s="85"/>
      <c r="AE103" s="85"/>
      <c r="AF103" s="85"/>
      <c r="AG103" s="85"/>
      <c r="AH103" s="49"/>
      <c r="AI103" s="92"/>
      <c r="AJ103" s="49"/>
      <c r="AK103" s="49"/>
      <c r="AL103" s="49"/>
    </row>
    <row r="104" spans="1:38" x14ac:dyDescent="0.2">
      <c r="A104" s="87" t="s">
        <v>141</v>
      </c>
      <c r="B104" s="70">
        <f t="shared" ref="B104:H104" si="39">B103*B102</f>
        <v>0</v>
      </c>
      <c r="C104" s="70">
        <f t="shared" si="39"/>
        <v>0</v>
      </c>
      <c r="D104" s="70">
        <f t="shared" si="39"/>
        <v>0</v>
      </c>
      <c r="E104" s="70">
        <f t="shared" si="39"/>
        <v>0</v>
      </c>
      <c r="F104" s="70">
        <f t="shared" si="39"/>
        <v>0</v>
      </c>
      <c r="G104" s="70">
        <f t="shared" si="39"/>
        <v>0</v>
      </c>
      <c r="H104" s="70">
        <f t="shared" si="39"/>
        <v>0</v>
      </c>
      <c r="I104" s="70">
        <f>J103*I102</f>
        <v>0</v>
      </c>
      <c r="J104" s="70">
        <f>SUM(B104:I104)</f>
        <v>0</v>
      </c>
      <c r="K104" s="86"/>
      <c r="L104" s="87" t="s">
        <v>141</v>
      </c>
      <c r="M104" s="70">
        <f t="shared" ref="M104:V104" si="40">M103*M102</f>
        <v>0</v>
      </c>
      <c r="N104" s="70">
        <f t="shared" si="40"/>
        <v>0</v>
      </c>
      <c r="O104" s="70">
        <f t="shared" si="40"/>
        <v>0</v>
      </c>
      <c r="P104" s="70">
        <f t="shared" si="40"/>
        <v>0</v>
      </c>
      <c r="Q104" s="70">
        <f t="shared" si="40"/>
        <v>0</v>
      </c>
      <c r="R104" s="70">
        <f t="shared" si="40"/>
        <v>0</v>
      </c>
      <c r="S104" s="70">
        <f t="shared" si="40"/>
        <v>0</v>
      </c>
      <c r="T104" s="70">
        <f t="shared" si="40"/>
        <v>0</v>
      </c>
      <c r="U104" s="70">
        <f t="shared" si="40"/>
        <v>0</v>
      </c>
      <c r="V104" s="70">
        <f t="shared" si="40"/>
        <v>0</v>
      </c>
      <c r="W104" s="70"/>
      <c r="X104" s="70">
        <f>SUM(M104:V104)</f>
        <v>0</v>
      </c>
      <c r="Y104" s="96">
        <f>X104-J104</f>
        <v>0</v>
      </c>
      <c r="Z104" s="94"/>
      <c r="AA104" s="94"/>
      <c r="AB104" s="97">
        <f>Y104+AA104</f>
        <v>0</v>
      </c>
      <c r="AC104" s="85"/>
      <c r="AD104" s="96">
        <f>Z104-AC104</f>
        <v>0</v>
      </c>
      <c r="AE104" s="96">
        <f>Y104-Z104</f>
        <v>0</v>
      </c>
      <c r="AF104" s="85"/>
      <c r="AG104" s="96">
        <f>AE104-AF104</f>
        <v>0</v>
      </c>
      <c r="AH104" s="49"/>
      <c r="AI104" s="98">
        <f>(SUM(Z104:AA104)/(1+10/100))*(10/100)</f>
        <v>0</v>
      </c>
      <c r="AJ104" s="49"/>
      <c r="AK104" s="49"/>
      <c r="AL104" s="49"/>
    </row>
    <row r="106" spans="1:38" x14ac:dyDescent="0.2">
      <c r="A106" s="83" t="s">
        <v>135</v>
      </c>
      <c r="B106" s="84"/>
      <c r="C106" s="85"/>
      <c r="D106" s="85"/>
      <c r="E106" s="85"/>
      <c r="F106" s="85"/>
      <c r="G106" s="85"/>
      <c r="H106" s="85"/>
      <c r="I106" s="85"/>
      <c r="J106" s="85"/>
      <c r="K106" s="86"/>
      <c r="L106" s="83" t="s">
        <v>136</v>
      </c>
      <c r="M106" s="84"/>
      <c r="N106" s="85"/>
      <c r="O106" s="85"/>
      <c r="P106" s="85"/>
      <c r="Q106" s="85"/>
      <c r="R106" s="85"/>
      <c r="S106" s="85"/>
      <c r="T106" s="85"/>
      <c r="U106" s="85"/>
      <c r="V106" s="85"/>
      <c r="W106" s="87" t="s">
        <v>314</v>
      </c>
      <c r="X106" s="87" t="s">
        <v>141</v>
      </c>
      <c r="Y106" s="88" t="s">
        <v>192</v>
      </c>
      <c r="Z106" s="89" t="s">
        <v>142</v>
      </c>
      <c r="AA106" s="90" t="s">
        <v>193</v>
      </c>
      <c r="AB106" s="91" t="s">
        <v>194</v>
      </c>
      <c r="AC106" s="88" t="s">
        <v>312</v>
      </c>
      <c r="AD106" s="87" t="s">
        <v>195</v>
      </c>
      <c r="AE106" s="87" t="s">
        <v>196</v>
      </c>
      <c r="AF106" s="88" t="s">
        <v>313</v>
      </c>
      <c r="AG106" s="87" t="s">
        <v>198</v>
      </c>
      <c r="AH106" s="49"/>
      <c r="AI106" s="92"/>
      <c r="AJ106" s="49"/>
      <c r="AK106" s="49"/>
      <c r="AL106" s="49"/>
    </row>
    <row r="107" spans="1:38" x14ac:dyDescent="0.2">
      <c r="A107" s="87" t="s">
        <v>199</v>
      </c>
      <c r="B107" s="93">
        <v>0.05</v>
      </c>
      <c r="C107" s="93">
        <v>0.1</v>
      </c>
      <c r="D107" s="93">
        <v>0.2</v>
      </c>
      <c r="E107" s="93">
        <v>0.5</v>
      </c>
      <c r="F107" s="93">
        <v>1</v>
      </c>
      <c r="G107" s="93">
        <v>2</v>
      </c>
      <c r="H107" s="93">
        <v>5</v>
      </c>
      <c r="I107" s="93">
        <v>10</v>
      </c>
      <c r="J107" s="49"/>
      <c r="K107" s="86"/>
      <c r="L107" s="87" t="s">
        <v>199</v>
      </c>
      <c r="M107" s="93">
        <v>0.05</v>
      </c>
      <c r="N107" s="93">
        <v>0.1</v>
      </c>
      <c r="O107" s="93">
        <v>0.2</v>
      </c>
      <c r="P107" s="93">
        <v>0.5</v>
      </c>
      <c r="Q107" s="93">
        <v>1</v>
      </c>
      <c r="R107" s="93">
        <v>2</v>
      </c>
      <c r="S107" s="93">
        <v>5</v>
      </c>
      <c r="T107" s="93">
        <v>10</v>
      </c>
      <c r="U107" s="93">
        <v>20</v>
      </c>
      <c r="V107" s="93">
        <v>50</v>
      </c>
      <c r="W107" s="85"/>
      <c r="X107" s="85"/>
      <c r="Y107" s="85"/>
      <c r="Z107" s="49"/>
      <c r="AA107" s="94"/>
      <c r="AB107" s="95"/>
      <c r="AC107" s="85"/>
      <c r="AD107" s="85"/>
      <c r="AE107" s="85"/>
      <c r="AF107" s="85"/>
      <c r="AG107" s="85"/>
      <c r="AH107" s="49"/>
      <c r="AI107" s="92"/>
      <c r="AJ107" s="49"/>
      <c r="AK107" s="49"/>
      <c r="AL107" s="49"/>
    </row>
    <row r="108" spans="1:38" x14ac:dyDescent="0.2">
      <c r="A108" s="87" t="s">
        <v>200</v>
      </c>
      <c r="I108" s="85"/>
      <c r="J108" s="85"/>
      <c r="K108" s="86"/>
      <c r="L108" s="87" t="s">
        <v>200</v>
      </c>
      <c r="U108" s="49"/>
      <c r="V108" s="49"/>
      <c r="W108" s="85"/>
      <c r="X108" s="85"/>
      <c r="Y108" s="85"/>
      <c r="Z108" s="49"/>
      <c r="AA108" s="94"/>
      <c r="AB108" s="95"/>
      <c r="AC108" s="85"/>
      <c r="AD108" s="85"/>
      <c r="AE108" s="85"/>
      <c r="AF108" s="85"/>
      <c r="AG108" s="85"/>
      <c r="AH108" s="49"/>
      <c r="AI108" s="92"/>
      <c r="AJ108" s="49"/>
      <c r="AK108" s="49"/>
      <c r="AL108" s="49"/>
    </row>
    <row r="109" spans="1:38" x14ac:dyDescent="0.2">
      <c r="A109" s="87" t="s">
        <v>141</v>
      </c>
      <c r="B109" s="70">
        <f t="shared" ref="B109:H109" si="41">B108*B107</f>
        <v>0</v>
      </c>
      <c r="C109" s="70">
        <f t="shared" si="41"/>
        <v>0</v>
      </c>
      <c r="D109" s="70">
        <f t="shared" si="41"/>
        <v>0</v>
      </c>
      <c r="E109" s="70">
        <f t="shared" si="41"/>
        <v>0</v>
      </c>
      <c r="F109" s="70">
        <f t="shared" si="41"/>
        <v>0</v>
      </c>
      <c r="G109" s="70">
        <f t="shared" si="41"/>
        <v>0</v>
      </c>
      <c r="H109" s="70">
        <f t="shared" si="41"/>
        <v>0</v>
      </c>
      <c r="I109" s="70">
        <f>J108*I107</f>
        <v>0</v>
      </c>
      <c r="J109" s="70">
        <f>SUM(B109:I109)</f>
        <v>0</v>
      </c>
      <c r="K109" s="86"/>
      <c r="L109" s="87" t="s">
        <v>141</v>
      </c>
      <c r="M109" s="70">
        <f t="shared" ref="M109:V109" si="42">M108*M107</f>
        <v>0</v>
      </c>
      <c r="N109" s="70">
        <f t="shared" si="42"/>
        <v>0</v>
      </c>
      <c r="O109" s="70">
        <f t="shared" si="42"/>
        <v>0</v>
      </c>
      <c r="P109" s="70">
        <f t="shared" si="42"/>
        <v>0</v>
      </c>
      <c r="Q109" s="70">
        <f t="shared" si="42"/>
        <v>0</v>
      </c>
      <c r="R109" s="70">
        <f t="shared" si="42"/>
        <v>0</v>
      </c>
      <c r="S109" s="70">
        <f t="shared" si="42"/>
        <v>0</v>
      </c>
      <c r="T109" s="70">
        <f t="shared" si="42"/>
        <v>0</v>
      </c>
      <c r="U109" s="70">
        <f t="shared" si="42"/>
        <v>0</v>
      </c>
      <c r="V109" s="70">
        <f t="shared" si="42"/>
        <v>0</v>
      </c>
      <c r="W109" s="70"/>
      <c r="X109" s="70">
        <f>SUM(M109:V109)</f>
        <v>0</v>
      </c>
      <c r="Y109" s="96">
        <f>X109-J109</f>
        <v>0</v>
      </c>
      <c r="Z109" s="94"/>
      <c r="AA109" s="94"/>
      <c r="AB109" s="97">
        <f>Y109+AA109</f>
        <v>0</v>
      </c>
      <c r="AC109" s="85"/>
      <c r="AD109" s="96">
        <f>Z109-AC109</f>
        <v>0</v>
      </c>
      <c r="AE109" s="96">
        <f>Y109-Z109</f>
        <v>0</v>
      </c>
      <c r="AF109" s="85"/>
      <c r="AG109" s="96">
        <f>AE109-AF109</f>
        <v>0</v>
      </c>
      <c r="AH109" s="49"/>
      <c r="AI109" s="98">
        <f>(SUM(Z109:AA109)/(1+10/100))*(10/100)</f>
        <v>0</v>
      </c>
      <c r="AJ109" s="49"/>
      <c r="AK109" s="49"/>
      <c r="AL109" s="49"/>
    </row>
    <row r="111" spans="1:38" x14ac:dyDescent="0.2">
      <c r="A111" s="83" t="s">
        <v>135</v>
      </c>
      <c r="B111" s="84"/>
      <c r="C111" s="85"/>
      <c r="D111" s="85"/>
      <c r="E111" s="85"/>
      <c r="F111" s="85"/>
      <c r="G111" s="85"/>
      <c r="H111" s="85"/>
      <c r="I111" s="85"/>
      <c r="J111" s="85"/>
      <c r="K111" s="86"/>
      <c r="L111" s="83" t="s">
        <v>136</v>
      </c>
      <c r="M111" s="84"/>
      <c r="N111" s="85"/>
      <c r="O111" s="85"/>
      <c r="P111" s="85"/>
      <c r="Q111" s="85"/>
      <c r="R111" s="85"/>
      <c r="S111" s="85"/>
      <c r="T111" s="85"/>
      <c r="U111" s="85"/>
      <c r="V111" s="85"/>
      <c r="W111" s="87" t="s">
        <v>314</v>
      </c>
      <c r="X111" s="87" t="s">
        <v>141</v>
      </c>
      <c r="Y111" s="88" t="s">
        <v>192</v>
      </c>
      <c r="Z111" s="89" t="s">
        <v>142</v>
      </c>
      <c r="AA111" s="90" t="s">
        <v>193</v>
      </c>
      <c r="AB111" s="91" t="s">
        <v>194</v>
      </c>
      <c r="AC111" s="88" t="s">
        <v>312</v>
      </c>
      <c r="AD111" s="87" t="s">
        <v>195</v>
      </c>
      <c r="AE111" s="87" t="s">
        <v>196</v>
      </c>
      <c r="AF111" s="88" t="s">
        <v>313</v>
      </c>
      <c r="AG111" s="87" t="s">
        <v>198</v>
      </c>
      <c r="AH111" s="49"/>
      <c r="AI111" s="92"/>
      <c r="AJ111" s="49"/>
      <c r="AK111" s="49"/>
      <c r="AL111" s="49"/>
    </row>
    <row r="112" spans="1:38" x14ac:dyDescent="0.2">
      <c r="A112" s="87" t="s">
        <v>199</v>
      </c>
      <c r="B112" s="93">
        <v>0.05</v>
      </c>
      <c r="C112" s="93">
        <v>0.1</v>
      </c>
      <c r="D112" s="93">
        <v>0.2</v>
      </c>
      <c r="E112" s="93">
        <v>0.5</v>
      </c>
      <c r="F112" s="93">
        <v>1</v>
      </c>
      <c r="G112" s="93">
        <v>2</v>
      </c>
      <c r="H112" s="93">
        <v>5</v>
      </c>
      <c r="I112" s="93">
        <v>10</v>
      </c>
      <c r="J112" s="49"/>
      <c r="K112" s="86"/>
      <c r="L112" s="87" t="s">
        <v>199</v>
      </c>
      <c r="M112" s="93">
        <v>0.05</v>
      </c>
      <c r="N112" s="93">
        <v>0.1</v>
      </c>
      <c r="O112" s="93">
        <v>0.2</v>
      </c>
      <c r="P112" s="93">
        <v>0.5</v>
      </c>
      <c r="Q112" s="93">
        <v>1</v>
      </c>
      <c r="R112" s="93">
        <v>2</v>
      </c>
      <c r="S112" s="93">
        <v>5</v>
      </c>
      <c r="T112" s="93">
        <v>10</v>
      </c>
      <c r="U112" s="93">
        <v>20</v>
      </c>
      <c r="V112" s="93">
        <v>50</v>
      </c>
      <c r="W112" s="85"/>
      <c r="X112" s="85"/>
      <c r="Y112" s="85"/>
      <c r="Z112" s="49"/>
      <c r="AA112" s="94"/>
      <c r="AB112" s="95"/>
      <c r="AC112" s="85"/>
      <c r="AD112" s="85"/>
      <c r="AE112" s="85"/>
      <c r="AF112" s="85"/>
      <c r="AG112" s="85"/>
      <c r="AH112" s="49"/>
      <c r="AI112" s="92"/>
      <c r="AJ112" s="49"/>
      <c r="AK112" s="49"/>
      <c r="AL112" s="49"/>
    </row>
    <row r="113" spans="1:38" x14ac:dyDescent="0.2">
      <c r="A113" s="87" t="s">
        <v>200</v>
      </c>
      <c r="I113" s="85"/>
      <c r="J113" s="85"/>
      <c r="K113" s="86"/>
      <c r="L113" s="87" t="s">
        <v>200</v>
      </c>
      <c r="U113" s="49"/>
      <c r="V113" s="49"/>
      <c r="W113" s="85"/>
      <c r="X113" s="85"/>
      <c r="Y113" s="85"/>
      <c r="Z113" s="49"/>
      <c r="AA113" s="94"/>
      <c r="AB113" s="95"/>
      <c r="AC113" s="85"/>
      <c r="AD113" s="85"/>
      <c r="AE113" s="85"/>
      <c r="AF113" s="85"/>
      <c r="AG113" s="85"/>
      <c r="AH113" s="49"/>
      <c r="AI113" s="92"/>
      <c r="AJ113" s="49"/>
      <c r="AK113" s="49"/>
      <c r="AL113" s="49"/>
    </row>
    <row r="114" spans="1:38" x14ac:dyDescent="0.2">
      <c r="A114" s="87" t="s">
        <v>141</v>
      </c>
      <c r="B114" s="70">
        <f t="shared" ref="B114:H114" si="43">B113*B112</f>
        <v>0</v>
      </c>
      <c r="C114" s="70">
        <f t="shared" si="43"/>
        <v>0</v>
      </c>
      <c r="D114" s="70">
        <f t="shared" si="43"/>
        <v>0</v>
      </c>
      <c r="E114" s="70">
        <f t="shared" si="43"/>
        <v>0</v>
      </c>
      <c r="F114" s="70">
        <f t="shared" si="43"/>
        <v>0</v>
      </c>
      <c r="G114" s="70">
        <f t="shared" si="43"/>
        <v>0</v>
      </c>
      <c r="H114" s="70">
        <f t="shared" si="43"/>
        <v>0</v>
      </c>
      <c r="I114" s="70">
        <f>J113*I112</f>
        <v>0</v>
      </c>
      <c r="J114" s="70">
        <f>SUM(B114:I114)</f>
        <v>0</v>
      </c>
      <c r="K114" s="86"/>
      <c r="L114" s="87" t="s">
        <v>141</v>
      </c>
      <c r="M114" s="70">
        <f t="shared" ref="M114:V114" si="44">M113*M112</f>
        <v>0</v>
      </c>
      <c r="N114" s="70">
        <f t="shared" si="44"/>
        <v>0</v>
      </c>
      <c r="O114" s="70">
        <f t="shared" si="44"/>
        <v>0</v>
      </c>
      <c r="P114" s="70">
        <f t="shared" si="44"/>
        <v>0</v>
      </c>
      <c r="Q114" s="70">
        <f t="shared" si="44"/>
        <v>0</v>
      </c>
      <c r="R114" s="70">
        <f t="shared" si="44"/>
        <v>0</v>
      </c>
      <c r="S114" s="70">
        <f t="shared" si="44"/>
        <v>0</v>
      </c>
      <c r="T114" s="70">
        <f t="shared" si="44"/>
        <v>0</v>
      </c>
      <c r="U114" s="70">
        <f t="shared" si="44"/>
        <v>0</v>
      </c>
      <c r="V114" s="70">
        <f t="shared" si="44"/>
        <v>0</v>
      </c>
      <c r="W114" s="70"/>
      <c r="X114" s="70">
        <f>SUM(M114:V114)</f>
        <v>0</v>
      </c>
      <c r="Y114" s="96">
        <f>X114-J114</f>
        <v>0</v>
      </c>
      <c r="Z114" s="94"/>
      <c r="AA114" s="94"/>
      <c r="AB114" s="97">
        <f>Y114+AA114</f>
        <v>0</v>
      </c>
      <c r="AC114" s="85"/>
      <c r="AD114" s="96">
        <f>Z114-AC114</f>
        <v>0</v>
      </c>
      <c r="AE114" s="96">
        <f>Y114-Z114</f>
        <v>0</v>
      </c>
      <c r="AF114" s="85"/>
      <c r="AG114" s="96">
        <f>AE114-AF114</f>
        <v>0</v>
      </c>
      <c r="AH114" s="49"/>
      <c r="AI114" s="98">
        <f>(SUM(Z114:AA114)/(1+10/100))*(10/100)</f>
        <v>0</v>
      </c>
      <c r="AJ114" s="49"/>
      <c r="AK114" s="49"/>
      <c r="AL114" s="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17</vt:i4>
      </vt:variant>
    </vt:vector>
  </HeadingPairs>
  <TitlesOfParts>
    <vt:vector size="17" baseType="lpstr">
      <vt:lpstr>Listino</vt:lpstr>
      <vt:lpstr>Cassa</vt:lpstr>
      <vt:lpstr>09 Cassa</vt:lpstr>
      <vt:lpstr>102024</vt:lpstr>
      <vt:lpstr>112024</vt:lpstr>
      <vt:lpstr>12 2024</vt:lpstr>
      <vt:lpstr>01 2025</vt:lpstr>
      <vt:lpstr>02 2025</vt:lpstr>
      <vt:lpstr>03 2025</vt:lpstr>
      <vt:lpstr>04 2025</vt:lpstr>
      <vt:lpstr>05 2025</vt:lpstr>
      <vt:lpstr>06 2025</vt:lpstr>
      <vt:lpstr>07 2025</vt:lpstr>
      <vt:lpstr>08 2025</vt:lpstr>
      <vt:lpstr>09 2025</vt:lpstr>
      <vt:lpstr>10 2025</vt:lpstr>
      <vt:lpstr>11 2025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Yalian Rodriguez - ICOM Srl</cp:lastModifiedBy>
  <dcterms:modified xsi:type="dcterms:W3CDTF">2025-11-15T09:42:12Z</dcterms:modified>
</cp:coreProperties>
</file>